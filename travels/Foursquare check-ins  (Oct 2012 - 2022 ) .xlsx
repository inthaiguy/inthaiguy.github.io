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2012" sheetId="2" r:id="rId5"/>
    <sheet state="visible" name="2013" sheetId="3" r:id="rId6"/>
    <sheet state="visible" name="2014" sheetId="4" r:id="rId7"/>
    <sheet state="visible" name="2015" sheetId="5" r:id="rId8"/>
    <sheet state="visible" name="2016" sheetId="6" r:id="rId9"/>
    <sheet state="visible" name="2017" sheetId="7" r:id="rId10"/>
    <sheet state="visible" name="2018" sheetId="8" r:id="rId11"/>
    <sheet state="visible" name="2019" sheetId="9" r:id="rId12"/>
    <sheet state="visible" name="2020" sheetId="10" r:id="rId13"/>
    <sheet state="visible" name="2021" sheetId="11" r:id="rId14"/>
    <sheet state="visible" name="2022" sheetId="12" r:id="rId15"/>
  </sheets>
  <definedNames/>
  <calcPr/>
</workbook>
</file>

<file path=xl/sharedStrings.xml><?xml version="1.0" encoding="utf-8"?>
<sst xmlns="http://schemas.openxmlformats.org/spreadsheetml/2006/main" count="7403" uniqueCount="3474">
  <si>
    <t>October 05, 2012 at 01:34PM</t>
  </si>
  <si>
    <t>October 05, 2012 at 11:23PM</t>
  </si>
  <si>
    <t>October 06, 2012 at 07:37PM</t>
  </si>
  <si>
    <t>October 07, 2012 at 02:25PM</t>
  </si>
  <si>
    <t>October 08, 2012 at 04:11PM</t>
  </si>
  <si>
    <t>October 10, 2012 at 03:14PM</t>
  </si>
  <si>
    <t>October 10, 2012 at 04:13PM</t>
  </si>
  <si>
    <t>October 11, 2012 at 07:43PM</t>
  </si>
  <si>
    <t>October 11, 2012 at 11:47PM</t>
  </si>
  <si>
    <t>October 12, 2012 at 01:10AM</t>
  </si>
  <si>
    <t>October 12, 2012 at 02:38AM</t>
  </si>
  <si>
    <t>October 12, 2012 at 12:43PM</t>
  </si>
  <si>
    <t>October 12, 2012 at 05:53PM</t>
  </si>
  <si>
    <t>October 13, 2012 at 10:21AM</t>
  </si>
  <si>
    <t>October 13, 2012 at 10:44AM</t>
  </si>
  <si>
    <t>October 16, 2012 at 06:40PM</t>
  </si>
  <si>
    <t>October 18, 2012 at 09:09PM</t>
  </si>
  <si>
    <t>October 20, 2012 at 10:48AM</t>
  </si>
  <si>
    <t>October 20, 2012 at 03:27PM</t>
  </si>
  <si>
    <t>At the beach</t>
  </si>
  <si>
    <t>October 20, 2012 at 06:55PM</t>
  </si>
  <si>
    <t>October 20, 2012 at 07:17PM</t>
  </si>
  <si>
    <t>October 22, 2012 at 03:47PM</t>
  </si>
  <si>
    <t>October 23, 2012 at 09:30AM</t>
  </si>
  <si>
    <t>October 25, 2012 at 03:28PM</t>
  </si>
  <si>
    <t>October 25, 2012 at 08:17PM</t>
  </si>
  <si>
    <t>October 25, 2012 at 09:55PM</t>
  </si>
  <si>
    <t>October 25, 2012 at 10:30PM</t>
  </si>
  <si>
    <t>October 27, 2012 at 12:20PM</t>
  </si>
  <si>
    <t>October 27, 2012 at 04:49PM</t>
  </si>
  <si>
    <t>October 27, 2012 at 05:33PM</t>
  </si>
  <si>
    <t>October 27, 2012 at 07:24PM</t>
  </si>
  <si>
    <t>October 27, 2012 at 07:26PM</t>
  </si>
  <si>
    <t>October 28, 2012 at 01:50PM</t>
  </si>
  <si>
    <t>October 28, 2012 at 08:02PM</t>
  </si>
  <si>
    <t>October 30, 2012 at 12:32PM</t>
  </si>
  <si>
    <t>October 30, 2012 at 07:52PM</t>
  </si>
  <si>
    <t>November 04, 2012 at 12:37PM</t>
  </si>
  <si>
    <t>November 04, 2012 at 04:22PM</t>
  </si>
  <si>
    <t>November 07, 2012 at 01:24PM</t>
  </si>
  <si>
    <t>November 07, 2012 at 01:30PM</t>
  </si>
  <si>
    <t>November 07, 2012 at 02:21PM</t>
  </si>
  <si>
    <t>November 07, 2012 at 08:08PM</t>
  </si>
  <si>
    <t>November 07, 2012 at 08:18PM</t>
  </si>
  <si>
    <t>November 07, 2012 at 08:21PM</t>
  </si>
  <si>
    <t>November 08, 2012 at 01:35AM</t>
  </si>
  <si>
    <t>November 09, 2012 at 09:15PM</t>
  </si>
  <si>
    <t>November 10, 2012 at 05:54PM</t>
  </si>
  <si>
    <t>November 10, 2012 at 06:49PM</t>
  </si>
  <si>
    <t>November 10, 2012 at 08:58PM</t>
  </si>
  <si>
    <t>November 11, 2012 at 12:20AM</t>
  </si>
  <si>
    <t>November 13, 2012 at 12:03PM</t>
  </si>
  <si>
    <t>November 16, 2012 at 07:02AM</t>
  </si>
  <si>
    <t>November 16, 2012 at 09:47AM</t>
  </si>
  <si>
    <t>November 16, 2012 at 10:53AM</t>
  </si>
  <si>
    <t>November 16, 2012 at 02:06PM</t>
  </si>
  <si>
    <t>November 16, 2012 at 04:29PM</t>
  </si>
  <si>
    <t>November 16, 2012 at 05:06PM</t>
  </si>
  <si>
    <t>November 16, 2012 at 08:30PM</t>
  </si>
  <si>
    <t>November 17, 2012 at 01:00AM</t>
  </si>
  <si>
    <t>November 17, 2012 at 12:07PM</t>
  </si>
  <si>
    <t>November 18, 2012 at 06:12PM</t>
  </si>
  <si>
    <t>November 18, 2012 at 08:07PM</t>
  </si>
  <si>
    <t>November 18, 2012 at 09:51PM</t>
  </si>
  <si>
    <t>November 19, 2012 at 07:54PM</t>
  </si>
  <si>
    <t>November 20, 2012 at 03:20PM</t>
  </si>
  <si>
    <t>November 23, 2012 at 09:30AM</t>
  </si>
  <si>
    <t>November 23, 2012 at 01:11PM</t>
  </si>
  <si>
    <t>November 23, 2012 at 04:17PM</t>
  </si>
  <si>
    <t>November 23, 2012 at 07:53PM</t>
  </si>
  <si>
    <t>November 24, 2012 at 10:37AM</t>
  </si>
  <si>
    <t>November 25, 2012 at 01:30PM</t>
  </si>
  <si>
    <t>November 27, 2012 at 09:21AM</t>
  </si>
  <si>
    <t>November 27, 2012 at 06:45PM</t>
  </si>
  <si>
    <t>November 28, 2012 at 02:09PM</t>
  </si>
  <si>
    <t>November 28, 2012 at 04:43PM</t>
  </si>
  <si>
    <t>December 01, 2012 at 09:18AM</t>
  </si>
  <si>
    <t>December 01, 2012 at 07:21PM</t>
  </si>
  <si>
    <t>December 02, 2012 at 03:41PM</t>
  </si>
  <si>
    <t>December 02, 2012 at 04:06PM</t>
  </si>
  <si>
    <t>December 02, 2012 at 06:05PM</t>
  </si>
  <si>
    <t>December 03, 2012 at 07:00PM</t>
  </si>
  <si>
    <t>December 05, 2012 at 01:22PM</t>
  </si>
  <si>
    <t>December 07, 2012 at 03:55PM</t>
  </si>
  <si>
    <t>December 07, 2012 at 09:45PM</t>
  </si>
  <si>
    <t>December 08, 2012 at 10:02AM</t>
  </si>
  <si>
    <t>December 08, 2012 at 03:24PM</t>
  </si>
  <si>
    <t>December 08, 2012 at 06:36PM</t>
  </si>
  <si>
    <t>December 09, 2012 at 01:16PM</t>
  </si>
  <si>
    <t>December 10, 2012 at 08:47AM</t>
  </si>
  <si>
    <t>December 11, 2012 at 11:37AM</t>
  </si>
  <si>
    <t>December 11, 2012 at 07:32PM</t>
  </si>
  <si>
    <t>December 13, 2012 at 07:01PM</t>
  </si>
  <si>
    <t>December 14, 2012 at 12:23PM</t>
  </si>
  <si>
    <t>December 14, 2012 at 12:42PM</t>
  </si>
  <si>
    <t>December 15, 2012 at 06:49AM</t>
  </si>
  <si>
    <t>December 15, 2012 at 07:15AM</t>
  </si>
  <si>
    <t>December 15, 2012 at 12:13PM</t>
  </si>
  <si>
    <t>December 15, 2012 at 03:34PM</t>
  </si>
  <si>
    <t>December 15, 2012 at 06:24PM</t>
  </si>
  <si>
    <t>December 16, 2012 at 10:02AM</t>
  </si>
  <si>
    <t>December 16, 2012 at 11:35AM</t>
  </si>
  <si>
    <t>December 16, 2012 at 03:23PM</t>
  </si>
  <si>
    <t>December 16, 2012 at 07:02PM</t>
  </si>
  <si>
    <t>December 19, 2012 at 06:43PM</t>
  </si>
  <si>
    <t>December 19, 2012 at 07:41PM</t>
  </si>
  <si>
    <t>December 22, 2012 at 04:44PM</t>
  </si>
  <si>
    <t>December 22, 2012 at 07:39PM</t>
  </si>
  <si>
    <t>December 25, 2012 at 01:08PM</t>
  </si>
  <si>
    <t>December 26, 2012 at 12:46PM</t>
  </si>
  <si>
    <t>December 26, 2012 at 06:20PM</t>
  </si>
  <si>
    <t>December 26, 2012 at 06:24PM</t>
  </si>
  <si>
    <t>December 26, 2012 at 07:20PM</t>
  </si>
  <si>
    <t>December 28, 2012 at 06:16PM</t>
  </si>
  <si>
    <t>December 30, 2012 at 04:37PM</t>
  </si>
  <si>
    <t>December 31, 2012 at 05:28PM</t>
  </si>
  <si>
    <t>January 01, 2013 at 09:41AM</t>
  </si>
  <si>
    <t>January 01, 2013 at 01:02PM</t>
  </si>
  <si>
    <t>January 01, 2013 at 02:30PM</t>
  </si>
  <si>
    <t>January 01, 2013 at 03:57PM</t>
  </si>
  <si>
    <t>January 01, 2013 at 04:33PM</t>
  </si>
  <si>
    <t>January 01, 2013 at 06:59PM</t>
  </si>
  <si>
    <t>January 02, 2013 at 01:41AM</t>
  </si>
  <si>
    <t>January 02, 2013 at 10:37AM</t>
  </si>
  <si>
    <t>January 02, 2013 at 10:57AM</t>
  </si>
  <si>
    <t>January 02, 2013 at 03:26PM</t>
  </si>
  <si>
    <t>January 02, 2013 at 05:05PM</t>
  </si>
  <si>
    <t>January 02, 2013 at 08:35PM</t>
  </si>
  <si>
    <t>January 03, 2013 at 12:23PM</t>
  </si>
  <si>
    <t>January 03, 2013 at 02:18PM</t>
  </si>
  <si>
    <t>January 03, 2013 at 02:51PM</t>
  </si>
  <si>
    <t>January 03, 2013 at 04:03PM</t>
  </si>
  <si>
    <t>January 03, 2013 at 05:31PM</t>
  </si>
  <si>
    <t>January 03, 2013 at 06:25PM</t>
  </si>
  <si>
    <t>January 03, 2013 at 09:57PM</t>
  </si>
  <si>
    <t>January 04, 2013 at 01:49AM</t>
  </si>
  <si>
    <t>January 04, 2013 at 08:35AM</t>
  </si>
  <si>
    <t>January 04, 2013 at 10:12AM</t>
  </si>
  <si>
    <t>January 04, 2013 at 11:07AM</t>
  </si>
  <si>
    <t>January 04, 2013 at 12:11PM</t>
  </si>
  <si>
    <t>January 04, 2013 at 07:53PM</t>
  </si>
  <si>
    <t>January 04, 2013 at 09:20PM</t>
  </si>
  <si>
    <t>January 05, 2013 at 09:15AM</t>
  </si>
  <si>
    <t>January 05, 2013 at 10:08AM</t>
  </si>
  <si>
    <t>January 05, 2013 at 11:17AM</t>
  </si>
  <si>
    <t>January 05, 2013 at 12:28PM</t>
  </si>
  <si>
    <t>January 05, 2013 at 03:11PM</t>
  </si>
  <si>
    <t>January 05, 2013 at 03:18PM</t>
  </si>
  <si>
    <t>January 05, 2013 at 03:24PM</t>
  </si>
  <si>
    <t>January 05, 2013 at 05:14PM</t>
  </si>
  <si>
    <t>January 05, 2013 at 07:31PM</t>
  </si>
  <si>
    <t>January 05, 2013 at 07:40PM</t>
  </si>
  <si>
    <t>January 06, 2013 at 10:01AM</t>
  </si>
  <si>
    <t>January 06, 2013 at 10:18AM</t>
  </si>
  <si>
    <t>No civic pride! This could be a nice park, instead it it's falling apart, dirty and a a reflection of the attitude of the people here.</t>
  </si>
  <si>
    <t>January 06, 2013 at 12:21PM</t>
  </si>
  <si>
    <t>January 07, 2013 at 06:29PM</t>
  </si>
  <si>
    <t>January 07, 2013 at 07:18PM</t>
  </si>
  <si>
    <t>January 08, 2013 at 07:01PM</t>
  </si>
  <si>
    <t>January 09, 2013 at 04:16PM</t>
  </si>
  <si>
    <t>January 11, 2013 at 02:47PM</t>
  </si>
  <si>
    <t>January 11, 2013 at 07:23PM</t>
  </si>
  <si>
    <t>January 11, 2013 at 07:24PM</t>
  </si>
  <si>
    <t>January 12, 2013 at 08:51PM</t>
  </si>
  <si>
    <t>January 13, 2013 at 08:03AM</t>
  </si>
  <si>
    <t>January 13, 2013 at 12:11PM</t>
  </si>
  <si>
    <t>January 15, 2013 at 07:21PM</t>
  </si>
  <si>
    <t>January 16, 2013 at 06:34PM</t>
  </si>
  <si>
    <t>January 16, 2013 at 09:20PM</t>
  </si>
  <si>
    <t>January 18, 2013 at 06:43PM</t>
  </si>
  <si>
    <t>January 18, 2013 at 07:49PM</t>
  </si>
  <si>
    <t>January 19, 2013 at 12:32PM</t>
  </si>
  <si>
    <t>January 19, 2013 at 12:35PM</t>
  </si>
  <si>
    <t>January 19, 2013 at 02:33PM</t>
  </si>
  <si>
    <t>January 20, 2013 at 04:57PM</t>
  </si>
  <si>
    <t>January 21, 2013 at 01:32PM</t>
  </si>
  <si>
    <t>January 21, 2013 at 06:41PM</t>
  </si>
  <si>
    <t>January 21, 2013 at 07:12PM</t>
  </si>
  <si>
    <t>January 23, 2013 at 07:22PM</t>
  </si>
  <si>
    <t>January 26, 2013 at 06:40PM</t>
  </si>
  <si>
    <t>January 26, 2013 at 08:23PM</t>
  </si>
  <si>
    <t>January 26, 2013 at 11:32PM</t>
  </si>
  <si>
    <t>January 27, 2013 at 05:33PM</t>
  </si>
  <si>
    <t>January 27, 2013 at 06:22PM</t>
  </si>
  <si>
    <t>January 28, 2013 at 07:16PM</t>
  </si>
  <si>
    <t>January 30, 2013 at 09:55AM</t>
  </si>
  <si>
    <t>January 30, 2013 at 10:27AM</t>
  </si>
  <si>
    <t>January 30, 2013 at 07:36PM</t>
  </si>
  <si>
    <t>January 30, 2013 at 09:36PM</t>
  </si>
  <si>
    <t>February 01, 2013 at 07:35PM</t>
  </si>
  <si>
    <t>February 01, 2013 at 11:50PM</t>
  </si>
  <si>
    <t>February 02, 2013 at 07:02PM</t>
  </si>
  <si>
    <t>February 02, 2013 at 08:11PM</t>
  </si>
  <si>
    <t>February 02, 2013 at 09:32PM</t>
  </si>
  <si>
    <t>February 03, 2013 at 08:16AM</t>
  </si>
  <si>
    <t>February 03, 2013 at 08:59AM</t>
  </si>
  <si>
    <t>February 03, 2013 at 10:30AM</t>
  </si>
  <si>
    <t>February 03, 2013 at 11:54AM</t>
  </si>
  <si>
    <t>February 03, 2013 at 01:40PM</t>
  </si>
  <si>
    <t>February 04, 2013 at 06:31AM</t>
  </si>
  <si>
    <t>February 04, 2013 at 02:54PM</t>
  </si>
  <si>
    <t>February 04, 2013 at 03:45PM</t>
  </si>
  <si>
    <t>February 06, 2013 at 06:45PM</t>
  </si>
  <si>
    <t>February 07, 2013 at 06:22PM</t>
  </si>
  <si>
    <t>February 08, 2013 at 12:30PM</t>
  </si>
  <si>
    <t>February 08, 2013 at 02:47PM</t>
  </si>
  <si>
    <t>February 09, 2013 at 12:17PM</t>
  </si>
  <si>
    <t>February 09, 2013 at 01:05PM</t>
  </si>
  <si>
    <t>February 09, 2013 at 06:32PM</t>
  </si>
  <si>
    <t>February 10, 2013 at 04:05PM</t>
  </si>
  <si>
    <t>February 10, 2013 at 08:03PM</t>
  </si>
  <si>
    <t>February 11, 2013 at 06:46PM</t>
  </si>
  <si>
    <t>February 12, 2013 at 06:54PM</t>
  </si>
  <si>
    <t>February 13, 2013 at 06:02PM</t>
  </si>
  <si>
    <t>February 15, 2013 at 06:35PM</t>
  </si>
  <si>
    <t>February 15, 2013 at 09:52PM</t>
  </si>
  <si>
    <t>February 17, 2013 at 07:20AM</t>
  </si>
  <si>
    <t>February 17, 2013 at 10:07AM</t>
  </si>
  <si>
    <t>February 17, 2013 at 02:40PM</t>
  </si>
  <si>
    <t>February 17, 2013 at 05:20PM</t>
  </si>
  <si>
    <t>February 17, 2013 at 06:59PM</t>
  </si>
  <si>
    <t>February 17, 2013 at 07:00PM</t>
  </si>
  <si>
    <t>February 18, 2013 at 09:08AM</t>
  </si>
  <si>
    <t>February 18, 2013 at 06:56PM</t>
  </si>
  <si>
    <t>February 19, 2013 at 07:24PM</t>
  </si>
  <si>
    <t>February 20, 2013 at 08:14PM</t>
  </si>
  <si>
    <t>February 20, 2013 at 09:01PM</t>
  </si>
  <si>
    <t>February 21, 2013 at 07:06PM</t>
  </si>
  <si>
    <t>February 22, 2013 at 06:30PM</t>
  </si>
  <si>
    <t>February 23, 2013 at 08:33AM</t>
  </si>
  <si>
    <t>February 23, 2013 at 11:01AM</t>
  </si>
  <si>
    <t>February 23, 2013 at 07:46PM</t>
  </si>
  <si>
    <t>February 25, 2013 at 02:34PM</t>
  </si>
  <si>
    <t>February 28, 2013 at 03:06PM</t>
  </si>
  <si>
    <t>February 28, 2013 at 05:40PM</t>
  </si>
  <si>
    <t>February 28, 2013 at 07:05PM</t>
  </si>
  <si>
    <t>March 01, 2013 at 07:44PM</t>
  </si>
  <si>
    <t>March 01, 2013 at 10:19PM</t>
  </si>
  <si>
    <t>March 01, 2013 at 11:41PM</t>
  </si>
  <si>
    <t>March 02, 2013 at 01:18PM</t>
  </si>
  <si>
    <t>March 02, 2013 at 10:04PM</t>
  </si>
  <si>
    <t>March 05, 2013 at 07:04PM</t>
  </si>
  <si>
    <t>March 06, 2013 at 10:37PM</t>
  </si>
  <si>
    <t>March 07, 2013 at 04:35PM</t>
  </si>
  <si>
    <t>March 07, 2013 at 05:30PM</t>
  </si>
  <si>
    <t>March 08, 2013 at 06:01PM</t>
  </si>
  <si>
    <t>March 08, 2013 at 06:35PM</t>
  </si>
  <si>
    <t>March 08, 2013 at 08:43PM</t>
  </si>
  <si>
    <t>March 09, 2013 at 07:33PM</t>
  </si>
  <si>
    <t>March 10, 2013 at 11:56AM</t>
  </si>
  <si>
    <t>March 10, 2013 at 04:38PM</t>
  </si>
  <si>
    <t>March 11, 2013 at 07:44PM</t>
  </si>
  <si>
    <t>March 13, 2013 at 04:54PM</t>
  </si>
  <si>
    <t>March 13, 2013 at 08:09PM</t>
  </si>
  <si>
    <t>March 15, 2013 at 09:16AM</t>
  </si>
  <si>
    <t>March 15, 2013 at 03:29PM</t>
  </si>
  <si>
    <t>March 16, 2013 at 10:03AM</t>
  </si>
  <si>
    <t>March 19, 2013 at 06:45PM</t>
  </si>
  <si>
    <t>March 20, 2013 at 11:59AM</t>
  </si>
  <si>
    <t>March 20, 2013 at 05:14PM</t>
  </si>
  <si>
    <t>March 20, 2013 at 07:39PM</t>
  </si>
  <si>
    <t>March 23, 2013 at 07:35PM</t>
  </si>
  <si>
    <t>March 24, 2013 at 01:20PM</t>
  </si>
  <si>
    <t>March 24, 2013 at 01:21PM</t>
  </si>
  <si>
    <t>March 26, 2013 at 09:42AM</t>
  </si>
  <si>
    <t>March 26, 2013 at 06:44PM</t>
  </si>
  <si>
    <t>March 28, 2013 at 06:48PM</t>
  </si>
  <si>
    <t>March 29, 2013 at 10:03AM</t>
  </si>
  <si>
    <t>March 29, 2013 at 07:04PM</t>
  </si>
  <si>
    <t>March 30, 2013 at 05:29PM</t>
  </si>
  <si>
    <t>March 31, 2013 at 12:02AM</t>
  </si>
  <si>
    <t>April 02, 2013 at 09:02AM</t>
  </si>
  <si>
    <t>April 04, 2013 at 02:01PM</t>
  </si>
  <si>
    <t>April 04, 2013 at 02:31PM</t>
  </si>
  <si>
    <t>April 05, 2013 at 08:45PM</t>
  </si>
  <si>
    <t>April 06, 2013 at 11:21AM</t>
  </si>
  <si>
    <t>April 06, 2013 at 12:07PM</t>
  </si>
  <si>
    <t>April 06, 2013 at 12:08PM</t>
  </si>
  <si>
    <t>April 09, 2013 at 07:46PM</t>
  </si>
  <si>
    <t>April 11, 2013 at 06:04PM</t>
  </si>
  <si>
    <t>April 13, 2013 at 04:46PM</t>
  </si>
  <si>
    <t>April 13, 2013 at 06:29PM</t>
  </si>
  <si>
    <t>April 14, 2013 at 02:32AM</t>
  </si>
  <si>
    <t>April 14, 2013 at 12:54PM</t>
  </si>
  <si>
    <t>April 15, 2013 at 03:34PM</t>
  </si>
  <si>
    <t>April 15, 2013 at 08:22PM</t>
  </si>
  <si>
    <t>April 16, 2013 at 10:32AM</t>
  </si>
  <si>
    <t>April 16, 2013 at 02:21PM</t>
  </si>
  <si>
    <t>April 16, 2013 at 06:13PM</t>
  </si>
  <si>
    <t>April 17, 2013 at 10:31AM</t>
  </si>
  <si>
    <t>April 17, 2013 at 10:32AM</t>
  </si>
  <si>
    <t>April 18, 2013 at 01:27PM</t>
  </si>
  <si>
    <t>April 18, 2013 at 03:19PM</t>
  </si>
  <si>
    <t>April 18, 2013 at 03:49PM</t>
  </si>
  <si>
    <t>April 18, 2013 at 04:35PM</t>
  </si>
  <si>
    <t>April 19, 2013 at 03:47PM</t>
  </si>
  <si>
    <t>April 19, 2013 at 05:40PM</t>
  </si>
  <si>
    <t>April 19, 2013 at 06:55PM</t>
  </si>
  <si>
    <t>April 19, 2013 at 07:41PM</t>
  </si>
  <si>
    <t>April 19, 2013 at 11:19PM</t>
  </si>
  <si>
    <t>April 20, 2013 at 01:48PM</t>
  </si>
  <si>
    <t>April 20, 2013 at 01:52PM</t>
  </si>
  <si>
    <t>April 20, 2013 at 02:25PM</t>
  </si>
  <si>
    <t>April 20, 2013 at 04:27PM</t>
  </si>
  <si>
    <t>April 21, 2013 at 12:46PM</t>
  </si>
  <si>
    <t>April 21, 2013 at 07:04PM</t>
  </si>
  <si>
    <t>April 22, 2013 at 10:25AM</t>
  </si>
  <si>
    <t>April 22, 2013 at 12:55PM</t>
  </si>
  <si>
    <t>April 22, 2013 at 05:50PM</t>
  </si>
  <si>
    <t>April 23, 2013 at 10:13AM</t>
  </si>
  <si>
    <t>April 23, 2013 at 12:54PM</t>
  </si>
  <si>
    <t>April 23, 2013 at 02:28PM</t>
  </si>
  <si>
    <t>April 23, 2013 at 03:09PM</t>
  </si>
  <si>
    <t>April 24, 2013 at 07:37PM</t>
  </si>
  <si>
    <t>April 26, 2013 at 03:59PM</t>
  </si>
  <si>
    <t>April 27, 2013 at 10:12AM</t>
  </si>
  <si>
    <t>April 27, 2013 at 02:14PM</t>
  </si>
  <si>
    <t>April 27, 2013 at 03:18PM</t>
  </si>
  <si>
    <t>April 28, 2013 at 10:29AM</t>
  </si>
  <si>
    <t>April 28, 2013 at 02:11PM</t>
  </si>
  <si>
    <t>April 30, 2013 at 02:20PM</t>
  </si>
  <si>
    <t>April 30, 2013 at 06:19PM</t>
  </si>
  <si>
    <t>May 01, 2013 at 06:30PM</t>
  </si>
  <si>
    <t>May 03, 2013 at 07:07PM</t>
  </si>
  <si>
    <t>May 03, 2013 at 07:52PM</t>
  </si>
  <si>
    <t>May 06, 2013 at 12:57PM</t>
  </si>
  <si>
    <t>May 09, 2013 at 08:59PM</t>
  </si>
  <si>
    <t>May 11, 2013 at 12:33PM</t>
  </si>
  <si>
    <t>May 11, 2013 at 02:03PM</t>
  </si>
  <si>
    <t>May 14, 2013 at 06:05PM</t>
  </si>
  <si>
    <t>May 16, 2013 at 07:15PM</t>
  </si>
  <si>
    <t>May 17, 2013 at 09:48PM</t>
  </si>
  <si>
    <t>May 18, 2013 at 10:41AM</t>
  </si>
  <si>
    <t>May 18, 2013 at 02:26PM</t>
  </si>
  <si>
    <t>May 19, 2013 at 06:17PM</t>
  </si>
  <si>
    <t>May 21, 2013 at 07:11PM</t>
  </si>
  <si>
    <t>May 22, 2013 at 07:21PM</t>
  </si>
  <si>
    <t>May 24, 2013 at 06:44PM</t>
  </si>
  <si>
    <t>May 25, 2013 at 12:57PM</t>
  </si>
  <si>
    <t>May 25, 2013 at 03:36PM</t>
  </si>
  <si>
    <t>May 26, 2013 at 02:36PM</t>
  </si>
  <si>
    <t>May 26, 2013 at 04:27PM</t>
  </si>
  <si>
    <t>May 26, 2013 at 04:29PM</t>
  </si>
  <si>
    <t>May 28, 2013 at 07:23PM</t>
  </si>
  <si>
    <t>May 28, 2013 at 09:07PM</t>
  </si>
  <si>
    <t>May 29, 2013 at 07:44PM</t>
  </si>
  <si>
    <t>May 29, 2013 at 07:45PM</t>
  </si>
  <si>
    <t>May 30, 2013 at 12:21AM</t>
  </si>
  <si>
    <t>May 31, 2013 at 03:37PM</t>
  </si>
  <si>
    <t>June 01, 2013 at 09:33AM</t>
  </si>
  <si>
    <t>June 02, 2013 at 03:56PM</t>
  </si>
  <si>
    <t>June 02, 2013 at 06:08PM</t>
  </si>
  <si>
    <t>June 04, 2013 at 07:10PM</t>
  </si>
  <si>
    <t>June 07, 2013 at 06:02PM</t>
  </si>
  <si>
    <t>June 08, 2013 at 10:07AM</t>
  </si>
  <si>
    <t>June 08, 2013 at 10:37AM</t>
  </si>
  <si>
    <t>June 08, 2013 at 11:34AM</t>
  </si>
  <si>
    <t>June 08, 2013 at 10:40PM</t>
  </si>
  <si>
    <t>June 10, 2013 at 07:39PM</t>
  </si>
  <si>
    <t>June 11, 2013 at 12:01PM</t>
  </si>
  <si>
    <t>June 11, 2013 at 05:10PM</t>
  </si>
  <si>
    <t>June 11, 2013 at 08:37PM</t>
  </si>
  <si>
    <t>June 13, 2013 at 08:57PM</t>
  </si>
  <si>
    <t>June 14, 2013 at 08:41PM</t>
  </si>
  <si>
    <t>June 15, 2013 at 04:12PM</t>
  </si>
  <si>
    <t>June 15, 2013 at 07:18PM</t>
  </si>
  <si>
    <t>June 17, 2013 at 06:46PM</t>
  </si>
  <si>
    <t>June 19, 2013 at 10:39AM</t>
  </si>
  <si>
    <t>June 19, 2013 at 12:14PM</t>
  </si>
  <si>
    <t>June 19, 2013 at 06:56PM</t>
  </si>
  <si>
    <t>June 21, 2013 at 09:24PM</t>
  </si>
  <si>
    <t>June 22, 2013 at 04:24PM</t>
  </si>
  <si>
    <t>June 23, 2013 at 09:14AM</t>
  </si>
  <si>
    <t>June 23, 2013 at 05:52PM</t>
  </si>
  <si>
    <t>June 25, 2013 at 06:36PM</t>
  </si>
  <si>
    <t>June 26, 2013 at 07:48PM</t>
  </si>
  <si>
    <t>June 27, 2013 at 02:21PM</t>
  </si>
  <si>
    <t>June 27, 2013 at 09:43PM</t>
  </si>
  <si>
    <t>June 29, 2013 at 01:43PM</t>
  </si>
  <si>
    <t>June 30, 2013 at 09:06AM</t>
  </si>
  <si>
    <t>June 30, 2013 at 10:45AM</t>
  </si>
  <si>
    <t>June 30, 2013 at 11:08AM</t>
  </si>
  <si>
    <t>June 30, 2013 at 01:19PM</t>
  </si>
  <si>
    <t>June 30, 2013 at 02:28PM</t>
  </si>
  <si>
    <t>June 30, 2013 at 03:37PM</t>
  </si>
  <si>
    <t>June 30, 2013 at 05:02PM</t>
  </si>
  <si>
    <t>July 01, 2013 at 07:35PM</t>
  </si>
  <si>
    <t>July 05, 2013 at 10:29PM</t>
  </si>
  <si>
    <t>July 06, 2013 at 02:09PM</t>
  </si>
  <si>
    <t>July 10, 2013 at 03:45PM</t>
  </si>
  <si>
    <t>July 10, 2013 at 08:05PM</t>
  </si>
  <si>
    <t>July 11, 2013 at 07:15PM</t>
  </si>
  <si>
    <t>July 11, 2013 at 07:31PM</t>
  </si>
  <si>
    <t>July 12, 2013 at 09:55PM</t>
  </si>
  <si>
    <t>July 13, 2013 at 02:06AM</t>
  </si>
  <si>
    <t>July 14, 2013 at 06:38PM</t>
  </si>
  <si>
    <t>July 16, 2013 at 07:01PM</t>
  </si>
  <si>
    <t>July 20, 2013 at 04:07PM</t>
  </si>
  <si>
    <t>July 23, 2013 at 07:39PM</t>
  </si>
  <si>
    <t>July 24, 2013 at 07:08PM</t>
  </si>
  <si>
    <t>July 25, 2013 at 10:16AM</t>
  </si>
  <si>
    <t>July 26, 2013 at 04:57PM</t>
  </si>
  <si>
    <t>July 28, 2013 at 03:05PM</t>
  </si>
  <si>
    <t>July 29, 2013 at 08:12PM</t>
  </si>
  <si>
    <t>July 29, 2013 at 09:35PM</t>
  </si>
  <si>
    <t>August 04, 2013 at 02:00PM</t>
  </si>
  <si>
    <t>August 04, 2013 at 02:01PM</t>
  </si>
  <si>
    <t>August 05, 2013 at 07:28AM</t>
  </si>
  <si>
    <t>August 09, 2013 at 08:15PM</t>
  </si>
  <si>
    <t>August 10, 2013 at 11:53AM</t>
  </si>
  <si>
    <t>August 10, 2013 at 06:47PM</t>
  </si>
  <si>
    <t>August 12, 2013 at 07:42AM</t>
  </si>
  <si>
    <t>August 12, 2013 at 03:37PM</t>
  </si>
  <si>
    <t>August 12, 2013 at 03:58PM</t>
  </si>
  <si>
    <t>August 15, 2013 at 06:42PM</t>
  </si>
  <si>
    <t>August 16, 2013 at 07:33PM</t>
  </si>
  <si>
    <t>August 17, 2013 at 01:04PM</t>
  </si>
  <si>
    <t>August 18, 2013 at 04:19PM</t>
  </si>
  <si>
    <t>August 19, 2013 at 07:57AM</t>
  </si>
  <si>
    <t>August 20, 2013 at 09:14AM</t>
  </si>
  <si>
    <t>August 21, 2013 at 08:00PM</t>
  </si>
  <si>
    <t>August 24, 2013 at 10:35AM</t>
  </si>
  <si>
    <t>August 24, 2013 at 10:36AM</t>
  </si>
  <si>
    <t>August 24, 2013 at 01:58PM</t>
  </si>
  <si>
    <t>August 25, 2013 at 09:00AM</t>
  </si>
  <si>
    <t>August 25, 2013 at 03:02PM</t>
  </si>
  <si>
    <t>August 28, 2013 at 03:18PM</t>
  </si>
  <si>
    <t>August 28, 2013 at 04:59PM</t>
  </si>
  <si>
    <t>August 28, 2013 at 07:54PM</t>
  </si>
  <si>
    <t>August 30, 2013 at 04:00PM</t>
  </si>
  <si>
    <t>August 31, 2013 at 10:16AM</t>
  </si>
  <si>
    <t>September 01, 2013 at 02:38PM</t>
  </si>
  <si>
    <t>September 03, 2013 at 06:15PM</t>
  </si>
  <si>
    <t>September 04, 2013 at 06:36PM</t>
  </si>
  <si>
    <t>Underground Japanese Resturant.</t>
  </si>
  <si>
    <t>September 06, 2013 at 04:42PM</t>
  </si>
  <si>
    <t>September 06, 2013 at 05:34PM</t>
  </si>
  <si>
    <t>September 06, 2013 at 10:00PM</t>
  </si>
  <si>
    <t>September 07, 2013 at 01:21PM</t>
  </si>
  <si>
    <t>September 07, 2013 at 04:26PM</t>
  </si>
  <si>
    <t>September 08, 2013 at 01:02PM</t>
  </si>
  <si>
    <t>September 12, 2013 at 10:18AM</t>
  </si>
  <si>
    <t>September 14, 2013 at 01:49PM</t>
  </si>
  <si>
    <t>September 14, 2013 at 01:50PM</t>
  </si>
  <si>
    <t>September 15, 2013 at 02:12PM</t>
  </si>
  <si>
    <t>September 16, 2013 at 08:40AM</t>
  </si>
  <si>
    <t>September 17, 2013 at 05:59PM</t>
  </si>
  <si>
    <t>September 21, 2013 at 12:27PM</t>
  </si>
  <si>
    <t>September 23, 2013 at 10:30AM</t>
  </si>
  <si>
    <t>September 23, 2013 at 11:59AM</t>
  </si>
  <si>
    <t>September 24, 2013 at 10:19AM</t>
  </si>
  <si>
    <t>September 25, 2013 at 09:56AM</t>
  </si>
  <si>
    <t>September 25, 2013 at 11:02AM</t>
  </si>
  <si>
    <t>September 25, 2013 at 11:57AM</t>
  </si>
  <si>
    <t>September 25, 2013 at 03:13PM</t>
  </si>
  <si>
    <t>September 26, 2013 at 07:13PM</t>
  </si>
  <si>
    <t>September 27, 2013 at 12:04PM</t>
  </si>
  <si>
    <t>September 28, 2013 at 07:17PM</t>
  </si>
  <si>
    <t>September 28, 2013 at 10:07PM</t>
  </si>
  <si>
    <t>September 29, 2013 at 05:55PM</t>
  </si>
  <si>
    <t>September 30, 2013 at 06:58PM</t>
  </si>
  <si>
    <t>October 01, 2013 at 05:52PM</t>
  </si>
  <si>
    <t>October 03, 2013 at 10:58AM</t>
  </si>
  <si>
    <t>October 03, 2013 at 12:31PM</t>
  </si>
  <si>
    <t>October 04, 2013 at 05:38PM</t>
  </si>
  <si>
    <t>October 05, 2013 at 10:17AM</t>
  </si>
  <si>
    <t>October 08, 2013 at 08:15PM</t>
  </si>
  <si>
    <t>October 09, 2013 at 05:20PM</t>
  </si>
  <si>
    <t>October 11, 2013 at 08:49AM</t>
  </si>
  <si>
    <t>October 11, 2013 at 06:25PM</t>
  </si>
  <si>
    <t>October 11, 2013 at 10:16PM</t>
  </si>
  <si>
    <t>October 12, 2013 at 02:39PM</t>
  </si>
  <si>
    <t>October 12, 2013 at 04:50PM</t>
  </si>
  <si>
    <t>October 13, 2013 at 12:14PM</t>
  </si>
  <si>
    <t>October 13, 2013 at 02:20PM</t>
  </si>
  <si>
    <t>October 13, 2013 at 06:18PM</t>
  </si>
  <si>
    <t>October 15, 2013 at 10:11PM</t>
  </si>
  <si>
    <t>October 16, 2013 at 11:34AM</t>
  </si>
  <si>
    <t>October 16, 2013 at 04:47PM</t>
  </si>
  <si>
    <t>October 16, 2013 at 05:11PM</t>
  </si>
  <si>
    <t>October 17, 2013 at 09:05PM</t>
  </si>
  <si>
    <t>October 19, 2013 at 12:41PM</t>
  </si>
  <si>
    <t>October 19, 2013 at 07:13PM</t>
  </si>
  <si>
    <t>October 20, 2013 at 09:22AM</t>
  </si>
  <si>
    <t>October 20, 2013 at 11:19AM</t>
  </si>
  <si>
    <t>October 21, 2013 at 11:50AM</t>
  </si>
  <si>
    <t>October 21, 2013 at 01:33PM</t>
  </si>
  <si>
    <t>October 22, 2013 at 06:11PM</t>
  </si>
  <si>
    <t>October 26, 2013 at 09:44AM</t>
  </si>
  <si>
    <t>October 26, 2013 at 11:07AM</t>
  </si>
  <si>
    <t>October 27, 2013 at 04:03PM</t>
  </si>
  <si>
    <t>October 30, 2013 at 09:14AM</t>
  </si>
  <si>
    <t>October 30, 2013 at 06:22PM</t>
  </si>
  <si>
    <t>November 02, 2013 at 09:51AM</t>
  </si>
  <si>
    <t>November 02, 2013 at 12:19PM</t>
  </si>
  <si>
    <t>November 02, 2013 at 05:10PM</t>
  </si>
  <si>
    <t>November 02, 2013 at 08:35PM</t>
  </si>
  <si>
    <t>November 05, 2013 at 07:31PM</t>
  </si>
  <si>
    <t>November 07, 2013 at 12:23PM</t>
  </si>
  <si>
    <t>November 09, 2013 at 10:05AM</t>
  </si>
  <si>
    <t>November 09, 2013 at 08:37PM</t>
  </si>
  <si>
    <t>November 11, 2013 at 12:48PM</t>
  </si>
  <si>
    <t>November 12, 2013 at 09:10PM</t>
  </si>
  <si>
    <t>November 15, 2013 at 07:06PM</t>
  </si>
  <si>
    <t>November 15, 2013 at 08:56PM</t>
  </si>
  <si>
    <t>November 16, 2013 at 02:40PM</t>
  </si>
  <si>
    <t>November 17, 2013 at 02:04PM</t>
  </si>
  <si>
    <t>November 17, 2013 at 04:38PM</t>
  </si>
  <si>
    <t>November 17, 2013 at 06:24PM</t>
  </si>
  <si>
    <t>November 17, 2013 at 07:43PM</t>
  </si>
  <si>
    <t>November 19, 2013 at 02:12PM</t>
  </si>
  <si>
    <t>November 19, 2013 at 04:45PM</t>
  </si>
  <si>
    <t>November 19, 2013 at 07:43PM</t>
  </si>
  <si>
    <t>November 21, 2013 at 07:49PM</t>
  </si>
  <si>
    <t>November 22, 2013 at 06:52PM</t>
  </si>
  <si>
    <t>November 23, 2013 at 07:37PM</t>
  </si>
  <si>
    <t>November 23, 2013 at 07:38PM</t>
  </si>
  <si>
    <t>November 24, 2013 at 11:45AM</t>
  </si>
  <si>
    <t>November 24, 2013 at 01:39PM</t>
  </si>
  <si>
    <t>November 28, 2013 at 02:33PM</t>
  </si>
  <si>
    <t>November 29, 2013 at 01:23PM</t>
  </si>
  <si>
    <t>December 01, 2013 at 01:26PM</t>
  </si>
  <si>
    <t>December 04, 2013 at 07:56AM</t>
  </si>
  <si>
    <t>December 04, 2013 at 11:20AM</t>
  </si>
  <si>
    <t>December 04, 2013 at 02:02PM</t>
  </si>
  <si>
    <t>December 04, 2013 at 04:25PM</t>
  </si>
  <si>
    <t>December 05, 2013 at 08:06AM</t>
  </si>
  <si>
    <t>December 05, 2013 at 10:36AM</t>
  </si>
  <si>
    <t>December 05, 2013 at 11:19AM</t>
  </si>
  <si>
    <t>December 05, 2013 at 02:05PM</t>
  </si>
  <si>
    <t>December 05, 2013 at 04:20PM</t>
  </si>
  <si>
    <t>December 05, 2013 at 06:49PM</t>
  </si>
  <si>
    <t>December 06, 2013 at 11:14AM</t>
  </si>
  <si>
    <t>December 06, 2013 at 05:59PM</t>
  </si>
  <si>
    <t>December 06, 2013 at 06:16PM</t>
  </si>
  <si>
    <t>December 06, 2013 at 08:24PM</t>
  </si>
  <si>
    <t>December 07, 2013 at 12:36PM</t>
  </si>
  <si>
    <t>December 07, 2013 at 04:33PM</t>
  </si>
  <si>
    <t>December 07, 2013 at 05:22PM</t>
  </si>
  <si>
    <t>December 08, 2013 at 10:49AM</t>
  </si>
  <si>
    <t>December 08, 2013 at 11:53AM</t>
  </si>
  <si>
    <t>December 08, 2013 at 01:51PM</t>
  </si>
  <si>
    <t>December 08, 2013 at 07:30PM</t>
  </si>
  <si>
    <t>December 09, 2013 at 07:58AM</t>
  </si>
  <si>
    <t>December 09, 2013 at 10:23AM</t>
  </si>
  <si>
    <t>December 09, 2013 at 01:42PM</t>
  </si>
  <si>
    <t>December 09, 2013 at 06:00PM</t>
  </si>
  <si>
    <t>December 09, 2013 at 07:24PM</t>
  </si>
  <si>
    <t>December 09, 2013 at 09:47PM</t>
  </si>
  <si>
    <t>December 10, 2013 at 01:12AM</t>
  </si>
  <si>
    <t>December 10, 2013 at 02:28AM</t>
  </si>
  <si>
    <t>December 10, 2013 at 11:12AM</t>
  </si>
  <si>
    <t>December 10, 2013 at 02:05PM</t>
  </si>
  <si>
    <t>December 10, 2013 at 05:31PM</t>
  </si>
  <si>
    <t>December 10, 2013 at 05:32PM</t>
  </si>
  <si>
    <t>December 10, 2013 at 09:06PM</t>
  </si>
  <si>
    <t>December 11, 2013 at 10:02AM</t>
  </si>
  <si>
    <t>December 11, 2013 at 02:43PM</t>
  </si>
  <si>
    <t>December 11, 2013 at 04:26PM</t>
  </si>
  <si>
    <t>December 12, 2013 at 01:46PM</t>
  </si>
  <si>
    <t>December 12, 2013 at 07:13PM</t>
  </si>
  <si>
    <t>December 13, 2013 at 07:04PM</t>
  </si>
  <si>
    <t>December 13, 2013 at 09:09PM</t>
  </si>
  <si>
    <t>December 14, 2013 at 10:47AM</t>
  </si>
  <si>
    <t>December 14, 2013 at 07:05PM</t>
  </si>
  <si>
    <t>December 14, 2013 at 08:09PM</t>
  </si>
  <si>
    <t>December 15, 2013 at 10:10AM</t>
  </si>
  <si>
    <t>December 17, 2013 at 06:20PM</t>
  </si>
  <si>
    <t>December 20, 2013 at 10:43AM</t>
  </si>
  <si>
    <t>December 21, 2013 at 11:46AM</t>
  </si>
  <si>
    <t>December 22, 2013 at 04:44PM</t>
  </si>
  <si>
    <t>December 22, 2013 at 06:33PM</t>
  </si>
  <si>
    <t>December 23, 2013 at 04:29PM</t>
  </si>
  <si>
    <t>December 24, 2013 at 09:40PM</t>
  </si>
  <si>
    <t>December 31, 2013 at 05:42PM</t>
  </si>
  <si>
    <t>January 01, 2014 at 12:29AM</t>
  </si>
  <si>
    <t>January 01, 2014 at 06:21PM</t>
  </si>
  <si>
    <t>January 01, 2014 at 06:44PM</t>
  </si>
  <si>
    <t>January 02, 2014 at 06:19PM</t>
  </si>
  <si>
    <t>January 02, 2014 at 08:32PM</t>
  </si>
  <si>
    <t>January 04, 2014 at 06:27PM</t>
  </si>
  <si>
    <t>January 05, 2014 at 12:46PM</t>
  </si>
  <si>
    <t>January 06, 2014 at 09:38AM</t>
  </si>
  <si>
    <t>January 06, 2014 at 01:25PM</t>
  </si>
  <si>
    <t>January 07, 2014 at 06:28PM</t>
  </si>
  <si>
    <t>January 11, 2014 at 03:17PM</t>
  </si>
  <si>
    <t>January 11, 2014 at 05:59PM</t>
  </si>
  <si>
    <t>January 12, 2014 at 06:39PM</t>
  </si>
  <si>
    <t>January 16, 2014 at 09:27PM</t>
  </si>
  <si>
    <t>January 17, 2014 at 08:36PM</t>
  </si>
  <si>
    <t>January 17, 2014 at 09:45PM</t>
  </si>
  <si>
    <t>January 18, 2014 at 04:16PM</t>
  </si>
  <si>
    <t>January 19, 2014 at 07:51AM</t>
  </si>
  <si>
    <t>January 19, 2014 at 02:18PM</t>
  </si>
  <si>
    <t>January 19, 2014 at 03:22PM</t>
  </si>
  <si>
    <t>January 22, 2014 at 08:37AM</t>
  </si>
  <si>
    <t>January 24, 2014 at 08:29PM</t>
  </si>
  <si>
    <t>January 26, 2014 at 09:38PM</t>
  </si>
  <si>
    <t>January 28, 2014 at 11:36AM</t>
  </si>
  <si>
    <t>January 28, 2014 at 02:08PM</t>
  </si>
  <si>
    <t>January 29, 2014 at 10:05PM</t>
  </si>
  <si>
    <t>January 30, 2014 at 06:37PM</t>
  </si>
  <si>
    <t>January 31, 2014 at 06:13PM</t>
  </si>
  <si>
    <t>February 02, 2014 at 03:08PM</t>
  </si>
  <si>
    <t>February 02, 2014 at 05:54PM</t>
  </si>
  <si>
    <t>February 03, 2014 at 08:43AM</t>
  </si>
  <si>
    <t>February 03, 2014 at 05:48PM</t>
  </si>
  <si>
    <t>February 03, 2014 at 06:14PM</t>
  </si>
  <si>
    <t>February 03, 2014 at 08:12PM</t>
  </si>
  <si>
    <t>February 05, 2014 at 10:06AM</t>
  </si>
  <si>
    <t>February 05, 2014 at 10:56AM</t>
  </si>
  <si>
    <t>February 05, 2014 at 09:24PM</t>
  </si>
  <si>
    <t>February 07, 2014 at 07:30PM</t>
  </si>
  <si>
    <t>February 08, 2014 at 04:15PM</t>
  </si>
  <si>
    <t>February 09, 2014 at 11:04PM</t>
  </si>
  <si>
    <t>February 10, 2014 at 10:31AM</t>
  </si>
  <si>
    <t>February 10, 2014 at 12:57PM</t>
  </si>
  <si>
    <t>February 10, 2014 at 05:46PM</t>
  </si>
  <si>
    <t>February 11, 2014 at 11:17AM</t>
  </si>
  <si>
    <t>February 11, 2014 at 03:19PM</t>
  </si>
  <si>
    <t>February 11, 2014 at 05:49PM</t>
  </si>
  <si>
    <t>February 11, 2014 at 07:21PM</t>
  </si>
  <si>
    <t>February 12, 2014 at 09:52AM</t>
  </si>
  <si>
    <t>February 12, 2014 at 03:18PM</t>
  </si>
  <si>
    <t>February 12, 2014 at 09:19PM</t>
  </si>
  <si>
    <t>February 13, 2014 at 11:55AM</t>
  </si>
  <si>
    <t>February 13, 2014 at 05:52PM</t>
  </si>
  <si>
    <t>February 13, 2014 at 06:31PM</t>
  </si>
  <si>
    <t>February 13, 2014 at 09:46PM</t>
  </si>
  <si>
    <t>February 14, 2014 at 01:26PM</t>
  </si>
  <si>
    <t>February 14, 2014 at 06:45PM</t>
  </si>
  <si>
    <t>February 14, 2014 at 08:16PM</t>
  </si>
  <si>
    <t>February 15, 2014 at 05:03PM</t>
  </si>
  <si>
    <t>February 15, 2014 at 06:07PM</t>
  </si>
  <si>
    <t>February 16, 2014 at 01:38PM</t>
  </si>
  <si>
    <t>February 16, 2014 at 02:57PM</t>
  </si>
  <si>
    <t>February 16, 2014 at 05:36PM</t>
  </si>
  <si>
    <t>February 16, 2014 at 08:27PM</t>
  </si>
  <si>
    <t>February 17, 2014 at 10:12PM</t>
  </si>
  <si>
    <t>February 18, 2014 at 05:45PM</t>
  </si>
  <si>
    <t>February 19, 2014 at 01:27PM</t>
  </si>
  <si>
    <t>February 19, 2014 at 08:46PM</t>
  </si>
  <si>
    <t>February 21, 2014 at 09:36AM</t>
  </si>
  <si>
    <t>February 21, 2014 at 07:44PM</t>
  </si>
  <si>
    <t>February 23, 2014 at 06:04PM</t>
  </si>
  <si>
    <t>February 24, 2014 at 09:57AM</t>
  </si>
  <si>
    <t>February 24, 2014 at 07:17PM</t>
  </si>
  <si>
    <t>February 28, 2014 at 06:06PM</t>
  </si>
  <si>
    <t>February 28, 2014 at 08:08PM</t>
  </si>
  <si>
    <t>March 02, 2014 at 01:44PM</t>
  </si>
  <si>
    <t>March 04, 2014 at 01:30PM</t>
  </si>
  <si>
    <t>March 06, 2014 at 05:24PM</t>
  </si>
  <si>
    <t>March 12, 2014 at 01:05PM</t>
  </si>
  <si>
    <t>March 12, 2014 at 01:07PM</t>
  </si>
  <si>
    <t>March 13, 2014 at 02:21PM</t>
  </si>
  <si>
    <t>March 15, 2014 at 04:29PM</t>
  </si>
  <si>
    <t>March 15, 2014 at 04:47PM</t>
  </si>
  <si>
    <t>March 15, 2014 at 05:25PM</t>
  </si>
  <si>
    <t>March 15, 2014 at 07:53PM</t>
  </si>
  <si>
    <t>March 16, 2014 at 12:20PM</t>
  </si>
  <si>
    <t>March 17, 2014 at 03:30PM</t>
  </si>
  <si>
    <t>March 17, 2014 at 06:47PM</t>
  </si>
  <si>
    <t>March 19, 2014 at 07:21AM</t>
  </si>
  <si>
    <t>March 19, 2014 at 09:22AM</t>
  </si>
  <si>
    <t>March 19, 2014 at 10:16AM</t>
  </si>
  <si>
    <t>March 24, 2014 at 09:29AM</t>
  </si>
  <si>
    <t>March 24, 2014 at 02:19PM</t>
  </si>
  <si>
    <t>March 26, 2014 at 07:01PM</t>
  </si>
  <si>
    <t>March 27, 2014 at 08:05PM</t>
  </si>
  <si>
    <t>March 28, 2014 at 05:21PM</t>
  </si>
  <si>
    <t>March 29, 2014 at 11:39AM</t>
  </si>
  <si>
    <t>March 29, 2014 at 12:11PM</t>
  </si>
  <si>
    <t>March 29, 2014 at 02:25PM</t>
  </si>
  <si>
    <t>March 29, 2014 at 03:05PM</t>
  </si>
  <si>
    <t>March 30, 2014 at 09:30AM</t>
  </si>
  <si>
    <t>March 31, 2014 at 01:13PM</t>
  </si>
  <si>
    <t>March 31, 2014 at 05:54PM</t>
  </si>
  <si>
    <t>April 01, 2014 at 05:31PM</t>
  </si>
  <si>
    <t>April 03, 2014 at 02:08PM</t>
  </si>
  <si>
    <t>April 03, 2014 at 07:11PM</t>
  </si>
  <si>
    <t>April 05, 2014 at 04:33AM</t>
  </si>
  <si>
    <t>April 07, 2014 at 03:49AM</t>
  </si>
  <si>
    <t>April 07, 2014 at 05:59AM</t>
  </si>
  <si>
    <t>April 08, 2014 at 07:36AM</t>
  </si>
  <si>
    <t>April 09, 2014 at 08:39AM</t>
  </si>
  <si>
    <t>April 09, 2014 at 10:28PM</t>
  </si>
  <si>
    <t>April 10, 2014 at 06:59AM</t>
  </si>
  <si>
    <t>April 11, 2014 at 02:29AM</t>
  </si>
  <si>
    <t>April 11, 2014 at 05:03AM</t>
  </si>
  <si>
    <t>April 11, 2014 at 05:04AM</t>
  </si>
  <si>
    <t>April 11, 2014 at 05:06AM</t>
  </si>
  <si>
    <t>April 11, 2014 at 06:05AM</t>
  </si>
  <si>
    <t>April 11, 2014 at 06:14AM</t>
  </si>
  <si>
    <t>April 11, 2014 at 07:39AM</t>
  </si>
  <si>
    <t>April 12, 2014 at 12:58AM</t>
  </si>
  <si>
    <t>April 12, 2014 at 01:38AM</t>
  </si>
  <si>
    <t>April 12, 2014 at 06:15AM</t>
  </si>
  <si>
    <t>April 13, 2014 at 02:29AM</t>
  </si>
  <si>
    <t>April 13, 2014 at 09:46AM</t>
  </si>
  <si>
    <t>April 14, 2014 at 04:23AM</t>
  </si>
  <si>
    <t>April 14, 2014 at 07:30AM</t>
  </si>
  <si>
    <t>April 15, 2014 at 01:25AM</t>
  </si>
  <si>
    <t>April 15, 2014 at 04:44AM</t>
  </si>
  <si>
    <t>April 15, 2014 at 06:08AM</t>
  </si>
  <si>
    <t>April 16, 2014 at 03:27AM</t>
  </si>
  <si>
    <t>April 16, 2014 at 05:13AM</t>
  </si>
  <si>
    <t>April 16, 2014 at 07:24AM</t>
  </si>
  <si>
    <t>April 16, 2014 at 10:13AM</t>
  </si>
  <si>
    <t>April 17, 2014 at 04:23AM</t>
  </si>
  <si>
    <t>April 17, 2014 at 07:54AM</t>
  </si>
  <si>
    <t>April 17, 2014 at 10:29AM</t>
  </si>
  <si>
    <t>April 17, 2014 at 11:57PM</t>
  </si>
  <si>
    <t>April 18, 2014 at 01:36AM</t>
  </si>
  <si>
    <t>April 18, 2014 at 02:34AM</t>
  </si>
  <si>
    <t>April 18, 2014 at 03:00AM</t>
  </si>
  <si>
    <t>April 18, 2014 at 03:44AM</t>
  </si>
  <si>
    <t>April 18, 2014 at 09:39AM</t>
  </si>
  <si>
    <t>April 18, 2014 at 10:16PM</t>
  </si>
  <si>
    <t>April 19, 2014 at 03:02AM</t>
  </si>
  <si>
    <t>April 19, 2014 at 03:38AM</t>
  </si>
  <si>
    <t>April 19, 2014 at 05:49AM</t>
  </si>
  <si>
    <t>April 19, 2014 at 07:14AM</t>
  </si>
  <si>
    <t>April 19, 2014 at 08:31AM</t>
  </si>
  <si>
    <t>April 20, 2014 at 05:52AM</t>
  </si>
  <si>
    <t>April 21, 2014 at 04:07AM</t>
  </si>
  <si>
    <t>April 21, 2014 at 04:31AM</t>
  </si>
  <si>
    <t>April 21, 2014 at 05:43AM</t>
  </si>
  <si>
    <t>April 21, 2014 at 10:05AM</t>
  </si>
  <si>
    <t>April 22, 2014 at 01:00AM</t>
  </si>
  <si>
    <t>April 23, 2014 at 03:28AM</t>
  </si>
  <si>
    <t>April 23, 2014 at 03:39AM</t>
  </si>
  <si>
    <t>April 23, 2014 at 06:43AM</t>
  </si>
  <si>
    <t>April 23, 2014 at 07:51AM</t>
  </si>
  <si>
    <t>April 23, 2014 at 09:22AM</t>
  </si>
  <si>
    <t>April 24, 2014 at 08:26AM</t>
  </si>
  <si>
    <t>April 24, 2014 at 08:59AM</t>
  </si>
  <si>
    <t>April 24, 2014 at 11:53AM</t>
  </si>
  <si>
    <t>April 24, 2014 at 12:20PM</t>
  </si>
  <si>
    <t>April 25, 2014 at 05:43AM</t>
  </si>
  <si>
    <t>April 25, 2014 at 05:44AM</t>
  </si>
  <si>
    <t>May 05, 2014 at 04:36PM</t>
  </si>
  <si>
    <t>May 05, 2014 at 04:55PM</t>
  </si>
  <si>
    <t>May 06, 2014 at 07:25AM</t>
  </si>
  <si>
    <t>May 07, 2014 at 01:05PM</t>
  </si>
  <si>
    <t>May 07, 2014 at 04:49PM</t>
  </si>
  <si>
    <t>May 09, 2014 at 06:59PM</t>
  </si>
  <si>
    <t>May 10, 2014 at 02:55PM</t>
  </si>
  <si>
    <t>May 10, 2014 at 05:42PM</t>
  </si>
  <si>
    <t>May 16, 2014 at 08:26PM</t>
  </si>
  <si>
    <t>Eating dinner</t>
  </si>
  <si>
    <t>May 17, 2014 at 01:58PM</t>
  </si>
  <si>
    <t>May 19, 2014 at 05:43PM</t>
  </si>
  <si>
    <t>May 20, 2014 at 12:39PM</t>
  </si>
  <si>
    <t>May 21, 2014 at 05:07PM</t>
  </si>
  <si>
    <t>May 23, 2014 at 07:44PM</t>
  </si>
  <si>
    <t>May 24, 2014 at 11:41AM</t>
  </si>
  <si>
    <t>May 25, 2014 at 12:17PM</t>
  </si>
  <si>
    <t>May 27, 2014 at 06:41PM</t>
  </si>
  <si>
    <t>May 29, 2014 at 11:53AM</t>
  </si>
  <si>
    <t>May 29, 2014 at 04:54PM</t>
  </si>
  <si>
    <t>May 29, 2014 at 06:59PM</t>
  </si>
  <si>
    <t>May 30, 2014 at 08:48PM</t>
  </si>
  <si>
    <t>June 01, 2014 at 01:53PM</t>
  </si>
  <si>
    <t>June 01, 2014 at 07:40PM</t>
  </si>
  <si>
    <t>June 01, 2014 at 11:05PM</t>
  </si>
  <si>
    <t>June 02, 2014 at 12:07PM</t>
  </si>
  <si>
    <t>June 02, 2014 at 02:51PM</t>
  </si>
  <si>
    <t>June 02, 2014 at 04:07PM</t>
  </si>
  <si>
    <t>June 02, 2014 at 04:33PM</t>
  </si>
  <si>
    <t>June 03, 2014 at 12:26PM</t>
  </si>
  <si>
    <t>June 04, 2014 at 04:22PM</t>
  </si>
  <si>
    <t>June 04, 2014 at 07:13PM</t>
  </si>
  <si>
    <t>June 05, 2014 at 02:17PM</t>
  </si>
  <si>
    <t>June 05, 2014 at 06:44PM</t>
  </si>
  <si>
    <t>June 05, 2014 at 08:01PM</t>
  </si>
  <si>
    <t>June 08, 2014 at 02:46PM</t>
  </si>
  <si>
    <t>June 09, 2014 at 09:26AM</t>
  </si>
  <si>
    <t>June 09, 2014 at 05:29PM</t>
  </si>
  <si>
    <t>June 12, 2014 at 06:57PM</t>
  </si>
  <si>
    <t>June 13, 2014 at 10:06AM</t>
  </si>
  <si>
    <t>June 15, 2014 at 07:46AM</t>
  </si>
  <si>
    <t>June 15, 2014 at 09:47AM</t>
  </si>
  <si>
    <t>June 16, 2014 at 05:07PM</t>
  </si>
  <si>
    <t>June 17, 2014 at 08:32AM</t>
  </si>
  <si>
    <t>June 17, 2014 at 11:45AM</t>
  </si>
  <si>
    <t>June 21, 2014 at 11:51AM</t>
  </si>
  <si>
    <t>June 21, 2014 at 07:44PM</t>
  </si>
  <si>
    <t>June 22, 2014 at 12:51PM</t>
  </si>
  <si>
    <t>June 26, 2014 at 06:01PM</t>
  </si>
  <si>
    <t>June 27, 2014 at 06:56PM</t>
  </si>
  <si>
    <t>June 28, 2014 at 03:33PM</t>
  </si>
  <si>
    <t>June 29, 2014 at 12:42PM</t>
  </si>
  <si>
    <t>June 29, 2014 at 05:20PM</t>
  </si>
  <si>
    <t>July 03, 2014 at 06:58PM</t>
  </si>
  <si>
    <t>July 04, 2014 at 12:50PM</t>
  </si>
  <si>
    <t>July 05, 2014 at 09:51AM</t>
  </si>
  <si>
    <t>July 05, 2014 at 09:58AM</t>
  </si>
  <si>
    <t>July 05, 2014 at 02:06PM</t>
  </si>
  <si>
    <t>July 05, 2014 at 04:04PM</t>
  </si>
  <si>
    <t>July 07, 2014 at 05:52PM</t>
  </si>
  <si>
    <t>July 10, 2014 at 06:58PM</t>
  </si>
  <si>
    <t>July 11, 2014 at 04:29PM</t>
  </si>
  <si>
    <t>July 11, 2014 at 07:11PM</t>
  </si>
  <si>
    <t>July 11, 2014 at 08:46PM</t>
  </si>
  <si>
    <t>July 12, 2014 at 10:21AM</t>
  </si>
  <si>
    <t>July 12, 2014 at 11:11AM</t>
  </si>
  <si>
    <t>July 12, 2014 at 05:55PM</t>
  </si>
  <si>
    <t>July 13, 2014 at 09:46AM</t>
  </si>
  <si>
    <t>July 13, 2014 at 12:19PM</t>
  </si>
  <si>
    <t>July 13, 2014 at 01:10PM</t>
  </si>
  <si>
    <t>July 13, 2014 at 02:12PM</t>
  </si>
  <si>
    <t>July 19, 2014 at 09:45AM</t>
  </si>
  <si>
    <t>July 19, 2014 at 01:02PM</t>
  </si>
  <si>
    <t>July 19, 2014 at 01:37PM</t>
  </si>
  <si>
    <t>July 19, 2014 at 07:26PM</t>
  </si>
  <si>
    <t>July 20, 2014 at 08:32AM</t>
  </si>
  <si>
    <t>July 20, 2014 at 05:37PM</t>
  </si>
  <si>
    <t>July 21, 2014 at 07:38PM</t>
  </si>
  <si>
    <t>July 23, 2014 at 06:35AM</t>
  </si>
  <si>
    <t>July 23, 2014 at 10:17AM</t>
  </si>
  <si>
    <t>July 23, 2014 at 11:34AM</t>
  </si>
  <si>
    <t>July 23, 2014 at 02:01PM</t>
  </si>
  <si>
    <t>July 23, 2014 at 11:19PM</t>
  </si>
  <si>
    <t>July 24, 2014 at 01:57PM</t>
  </si>
  <si>
    <t>July 24, 2014 at 06:01PM</t>
  </si>
  <si>
    <t>July 24, 2014 at 06:16PM</t>
  </si>
  <si>
    <t>July 24, 2014 at 08:30PM</t>
  </si>
  <si>
    <t>July 25, 2014 at 02:43PM</t>
  </si>
  <si>
    <t>July 25, 2014 at 03:50PM</t>
  </si>
  <si>
    <t>July 25, 2014 at 06:52PM</t>
  </si>
  <si>
    <t>July 26, 2014 at 03:38AM</t>
  </si>
  <si>
    <t>July 26, 2014 at 01:03PM</t>
  </si>
  <si>
    <t>July 26, 2014 at 05:19PM</t>
  </si>
  <si>
    <t>July 27, 2014 at 04:02PM</t>
  </si>
  <si>
    <t>July 29, 2014 at 05:54PM</t>
  </si>
  <si>
    <t>July 30, 2014 at 10:53AM</t>
  </si>
  <si>
    <t>July 31, 2014 at 09:20PM</t>
  </si>
  <si>
    <t>August 01, 2014 at 09:41AM</t>
  </si>
  <si>
    <t>August 01, 2014 at 11:10AM</t>
  </si>
  <si>
    <t>August 01, 2014 at 12:48PM</t>
  </si>
  <si>
    <t>August 01, 2014 at 04:20PM</t>
  </si>
  <si>
    <t>August 02, 2014 at 04:46AM</t>
  </si>
  <si>
    <t>August 02, 2014 at 06:53AM</t>
  </si>
  <si>
    <t>August 03, 2014 at 07:06AM</t>
  </si>
  <si>
    <t>August 03, 2014 at 07:23PM</t>
  </si>
  <si>
    <t>August 05, 2014 at 05:56PM</t>
  </si>
  <si>
    <t>August 06, 2014 at 10:29AM</t>
  </si>
  <si>
    <t>August 07, 2014 at 02:50PM</t>
  </si>
  <si>
    <t>August 07, 2014 at 03:09PM</t>
  </si>
  <si>
    <t>August 07, 2014 at 07:59PM</t>
  </si>
  <si>
    <t>August 08, 2014 at 07:05AM</t>
  </si>
  <si>
    <t>August 08, 2014 at 09:12AM</t>
  </si>
  <si>
    <t>August 08, 2014 at 11:52AM</t>
  </si>
  <si>
    <t>August 08, 2014 at 12:25PM</t>
  </si>
  <si>
    <t>August 08, 2014 at 03:23PM</t>
  </si>
  <si>
    <t>August 08, 2014 at 07:43PM</t>
  </si>
  <si>
    <t>August 09, 2014 at 08:38AM</t>
  </si>
  <si>
    <t>August 09, 2014 at 01:14PM</t>
  </si>
  <si>
    <t>August 09, 2014 at 04:01PM</t>
  </si>
  <si>
    <t>August 09, 2014 at 04:21PM</t>
  </si>
  <si>
    <t>August 09, 2014 at 05:18PM</t>
  </si>
  <si>
    <t>August 10, 2014 at 07:20AM</t>
  </si>
  <si>
    <t>August 10, 2014 at 10:17AM</t>
  </si>
  <si>
    <t>August 10, 2014 at 12:09PM</t>
  </si>
  <si>
    <t>Chilling in a treehouse</t>
  </si>
  <si>
    <t>August 10, 2014 at 01:36PM</t>
  </si>
  <si>
    <t>August 10, 2014 at 03:32PM</t>
  </si>
  <si>
    <t>August 10, 2014 at 08:14PM</t>
  </si>
  <si>
    <t>August 10, 2014 at 08:35PM</t>
  </si>
  <si>
    <t>August 11, 2014 at 06:48AM</t>
  </si>
  <si>
    <t>August 12, 2014 at 09:41AM</t>
  </si>
  <si>
    <t>August 12, 2014 at 09:58PM</t>
  </si>
  <si>
    <t>August 16, 2014 at 01:20PM</t>
  </si>
  <si>
    <t>August 16, 2014 at 05:18PM</t>
  </si>
  <si>
    <t>August 17, 2014 at 01:21PM</t>
  </si>
  <si>
    <t>August 22, 2014 at 09:27AM</t>
  </si>
  <si>
    <t>August 22, 2014 at 09:44AM</t>
  </si>
  <si>
    <t>August 22, 2014 at 10:44PM</t>
  </si>
  <si>
    <t>August 23, 2014 at 11:13AM</t>
  </si>
  <si>
    <t>August 23, 2014 at 05:07PM</t>
  </si>
  <si>
    <t>August 24, 2014 at 01:16PM</t>
  </si>
  <si>
    <t>August 25, 2014 at 01:11PM</t>
  </si>
  <si>
    <t>August 25, 2014 at 08:22PM</t>
  </si>
  <si>
    <t>August 27, 2014 at 04:50PM</t>
  </si>
  <si>
    <t>August 30, 2014 at 09:59AM</t>
  </si>
  <si>
    <t>August 31, 2014 at 04:41PM</t>
  </si>
  <si>
    <t>September 03, 2014 at 10:26AM</t>
  </si>
  <si>
    <t>September 03, 2014 at 01:21PM</t>
  </si>
  <si>
    <t>September 03, 2014 at 02:11PM</t>
  </si>
  <si>
    <t>September 03, 2014 at 03:33PM</t>
  </si>
  <si>
    <t>September 03, 2014 at 05:47PM</t>
  </si>
  <si>
    <t>September 04, 2014 at 09:05AM</t>
  </si>
  <si>
    <t>September 04, 2014 at 02:44PM</t>
  </si>
  <si>
    <t>September 04, 2014 at 03:20PM</t>
  </si>
  <si>
    <t>September 04, 2014 at 04:30PM</t>
  </si>
  <si>
    <t>September 04, 2014 at 07:27PM</t>
  </si>
  <si>
    <t>September 05, 2014 at 07:18PM</t>
  </si>
  <si>
    <t>September 06, 2014 at 10:08AM</t>
  </si>
  <si>
    <t>September 06, 2014 at 12:01PM</t>
  </si>
  <si>
    <t>September 08, 2014 at 06:17PM</t>
  </si>
  <si>
    <t>September 11, 2014 at 06:04PM</t>
  </si>
  <si>
    <t>September 14, 2014 at 12:39PM</t>
  </si>
  <si>
    <t>September 15, 2014 at 01:33PM</t>
  </si>
  <si>
    <t>September 16, 2014 at 10:41AM</t>
  </si>
  <si>
    <t>September 21, 2014 at 05:25PM</t>
  </si>
  <si>
    <t>September 27, 2014 at 08:56AM</t>
  </si>
  <si>
    <t>September 27, 2014 at 08:10PM</t>
  </si>
  <si>
    <t>September 28, 2014 at 03:47PM</t>
  </si>
  <si>
    <t>October 04, 2014 at 06:38PM</t>
  </si>
  <si>
    <t>October 05, 2014 at 10:03AM</t>
  </si>
  <si>
    <t>October 05, 2014 at 05:10PM</t>
  </si>
  <si>
    <t>October 08, 2014 at 03:53PM</t>
  </si>
  <si>
    <t>October 08, 2014 at 04:05PM</t>
  </si>
  <si>
    <t>October 08, 2014 at 05:42PM</t>
  </si>
  <si>
    <t>October 08, 2014 at 08:28PM</t>
  </si>
  <si>
    <t>October 12, 2014 at 09:42AM</t>
  </si>
  <si>
    <t>October 12, 2014 at 10:08AM</t>
  </si>
  <si>
    <t>October 12, 2014 at 12:37PM</t>
  </si>
  <si>
    <t>October 12, 2014 at 03:34PM</t>
  </si>
  <si>
    <t>October 15, 2014 at 06:30PM</t>
  </si>
  <si>
    <t>October 18, 2014 at 09:16AM</t>
  </si>
  <si>
    <t>October 24, 2014 at 09:40AM</t>
  </si>
  <si>
    <t>October 24, 2014 at 03:51PM</t>
  </si>
  <si>
    <t>October 25, 2014 at 04:30PM</t>
  </si>
  <si>
    <t>October 26, 2014 at 10:42AM</t>
  </si>
  <si>
    <t>October 27, 2014 at 12:44PM</t>
  </si>
  <si>
    <t>October 29, 2014 at 07:56PM</t>
  </si>
  <si>
    <t>October 31, 2014 at 09:15AM</t>
  </si>
  <si>
    <t>October 31, 2014 at 09:27AM</t>
  </si>
  <si>
    <t>November 01, 2014 at 07:45AM</t>
  </si>
  <si>
    <t>November 01, 2014 at 08:13AM</t>
  </si>
  <si>
    <t>November 01, 2014 at 12:14PM</t>
  </si>
  <si>
    <t>November 01, 2014 at 12:53PM</t>
  </si>
  <si>
    <t>November 01, 2014 at 02:34PM</t>
  </si>
  <si>
    <t>November 01, 2014 at 07:10PM</t>
  </si>
  <si>
    <t>November 01, 2014 at 08:40PM</t>
  </si>
  <si>
    <t>November 02, 2014 at 09:03AM</t>
  </si>
  <si>
    <t>November 02, 2014 at 11:14AM</t>
  </si>
  <si>
    <t>November 02, 2014 at 03:41PM</t>
  </si>
  <si>
    <t>November 05, 2014 at 10:50AM</t>
  </si>
  <si>
    <t>November 08, 2014 at 06:13PM</t>
  </si>
  <si>
    <t>November 09, 2014 at 09:56AM</t>
  </si>
  <si>
    <t>November 09, 2014 at 11:39AM</t>
  </si>
  <si>
    <t>November 11, 2014 at 02:12PM</t>
  </si>
  <si>
    <t>November 12, 2014 at 06:05PM</t>
  </si>
  <si>
    <t>November 13, 2014 at 06:03PM</t>
  </si>
  <si>
    <t>November 14, 2014 at 06:58PM</t>
  </si>
  <si>
    <t>November 15, 2014 at 10:38AM</t>
  </si>
  <si>
    <t>November 16, 2014 at 09:04AM</t>
  </si>
  <si>
    <t>November 16, 2014 at 10:57AM</t>
  </si>
  <si>
    <t>November 16, 2014 at 10:58AM</t>
  </si>
  <si>
    <t>November 16, 2014 at 06:01PM</t>
  </si>
  <si>
    <t>November 17, 2014 at 05:47PM</t>
  </si>
  <si>
    <t>November 21, 2014 at 07:45PM</t>
  </si>
  <si>
    <t>November 21, 2014 at 10:46PM</t>
  </si>
  <si>
    <t>November 22, 2014 at 02:55PM</t>
  </si>
  <si>
    <t>November 22, 2014 at 05:13PM</t>
  </si>
  <si>
    <t>November 23, 2014 at 09:53AM</t>
  </si>
  <si>
    <t>November 23, 2014 at 07:26PM</t>
  </si>
  <si>
    <t>November 24, 2014 at 06:36AM</t>
  </si>
  <si>
    <t>November 24, 2014 at 09:25AM</t>
  </si>
  <si>
    <t>November 24, 2014 at 10:08AM</t>
  </si>
  <si>
    <t>November 24, 2014 at 12:40PM</t>
  </si>
  <si>
    <t>November 24, 2014 at 02:36PM</t>
  </si>
  <si>
    <t>November 24, 2014 at 08:19PM</t>
  </si>
  <si>
    <t>November 25, 2014 at 01:36AM</t>
  </si>
  <si>
    <t>November 25, 2014 at 12:23PM</t>
  </si>
  <si>
    <t>November 25, 2014 at 06:07PM</t>
  </si>
  <si>
    <t>November 26, 2014 at 04:19PM</t>
  </si>
  <si>
    <t>November 27, 2014 at 06:44PM</t>
  </si>
  <si>
    <t>November 28, 2014 at 07:03PM</t>
  </si>
  <si>
    <t>November 29, 2014 at 05:13PM</t>
  </si>
  <si>
    <t>November 30, 2014 at 11:30AM</t>
  </si>
  <si>
    <t>December 01, 2014 at 04:10PM</t>
  </si>
  <si>
    <t>December 02, 2014 at 06:47PM</t>
  </si>
  <si>
    <t>December 03, 2014 at 05:55PM</t>
  </si>
  <si>
    <t>December 03, 2014 at 06:18PM</t>
  </si>
  <si>
    <t>December 04, 2014 at 06:07PM</t>
  </si>
  <si>
    <t>December 04, 2014 at 10:01PM</t>
  </si>
  <si>
    <t>Smile party</t>
  </si>
  <si>
    <t>December 05, 2014 at 05:40PM</t>
  </si>
  <si>
    <t>December 06, 2014 at 03:09PM</t>
  </si>
  <si>
    <t>December 07, 2014 at 06:50PM</t>
  </si>
  <si>
    <t>December 10, 2014 at 03:07PM</t>
  </si>
  <si>
    <t>December 10, 2014 at 03:31PM</t>
  </si>
  <si>
    <t>December 10, 2014 at 08:14PM</t>
  </si>
  <si>
    <t>December 12, 2014 at 08:36PM</t>
  </si>
  <si>
    <t>December 13, 2014 at 12:03PM</t>
  </si>
  <si>
    <t>December 13, 2014 at 01:28PM</t>
  </si>
  <si>
    <t>December 13, 2014 at 04:35PM</t>
  </si>
  <si>
    <t>December 14, 2014 at 09:11AM</t>
  </si>
  <si>
    <t>December 15, 2014 at 12:14PM</t>
  </si>
  <si>
    <t>December 15, 2014 at 01:21PM</t>
  </si>
  <si>
    <t>December 15, 2014 at 03:46PM</t>
  </si>
  <si>
    <t>December 15, 2014 at 06:48PM</t>
  </si>
  <si>
    <t>December 16, 2014 at 12:31PM</t>
  </si>
  <si>
    <t>December 16, 2014 at 03:09PM</t>
  </si>
  <si>
    <t>December 16, 2014 at 07:09PM</t>
  </si>
  <si>
    <t>December 17, 2014 at 06:59AM</t>
  </si>
  <si>
    <t>December 17, 2014 at 11:38AM</t>
  </si>
  <si>
    <t>December 17, 2014 at 12:10PM</t>
  </si>
  <si>
    <t>December 17, 2014 at 02:34PM</t>
  </si>
  <si>
    <t>December 17, 2014 at 06:58PM</t>
  </si>
  <si>
    <t>December 17, 2014 at 07:30PM</t>
  </si>
  <si>
    <t>December 18, 2014 at 08:06AM</t>
  </si>
  <si>
    <t>December 18, 2014 at 09:54AM</t>
  </si>
  <si>
    <t>December 18, 2014 at 12:58PM</t>
  </si>
  <si>
    <t>December 18, 2014 at 01:38PM</t>
  </si>
  <si>
    <t>December 18, 2014 at 03:56PM</t>
  </si>
  <si>
    <t>December 18, 2014 at 04:23PM</t>
  </si>
  <si>
    <t>December 18, 2014 at 05:07PM</t>
  </si>
  <si>
    <t>December 19, 2014 at 01:39PM</t>
  </si>
  <si>
    <t>December 19, 2014 at 07:43PM</t>
  </si>
  <si>
    <t>December 21, 2014 at 06:22PM</t>
  </si>
  <si>
    <t>December 22, 2014 at 03:39PM</t>
  </si>
  <si>
    <t>December 22, 2014 at 07:00PM</t>
  </si>
  <si>
    <t>December 23, 2014 at 12:52PM</t>
  </si>
  <si>
    <t>December 23, 2014 at 07:22PM</t>
  </si>
  <si>
    <t>December 24, 2014 at 11:09AM</t>
  </si>
  <si>
    <t>December 26, 2014 at 08:00PM</t>
  </si>
  <si>
    <t>December 27, 2014 at 04:15PM</t>
  </si>
  <si>
    <t>December 28, 2014 at 07:38PM</t>
  </si>
  <si>
    <t>December 29, 2014 at 02:08PM</t>
  </si>
  <si>
    <t>December 29, 2014 at 04:45PM</t>
  </si>
  <si>
    <t>December 29, 2014 at 06:04PM</t>
  </si>
  <si>
    <t>December 29, 2014 at 07:18PM</t>
  </si>
  <si>
    <t>December 31, 2014 at 12:09PM</t>
  </si>
  <si>
    <t>December 31, 2014 at 04:31PM</t>
  </si>
  <si>
    <t>January 01, 2015 at 06:03PM</t>
  </si>
  <si>
    <t>January 02, 2015 at 06:22PM</t>
  </si>
  <si>
    <t>January 05, 2015 at 02:10PM</t>
  </si>
  <si>
    <t>January 05, 2015 at 08:16PM</t>
  </si>
  <si>
    <t>January 06, 2015 at 08:33AM</t>
  </si>
  <si>
    <t>January 07, 2015 at 08:28PM</t>
  </si>
  <si>
    <t>January 10, 2015 at 04:39PM</t>
  </si>
  <si>
    <t>January 13, 2015 at 07:36PM</t>
  </si>
  <si>
    <t>January 13, 2015 at 08:11PM</t>
  </si>
  <si>
    <t>January 17, 2015 at 04:33PM</t>
  </si>
  <si>
    <t>January 23, 2015 at 07:25PM</t>
  </si>
  <si>
    <t>January 24, 2015 at 05:03PM</t>
  </si>
  <si>
    <t>January 25, 2015 at 09:36AM</t>
  </si>
  <si>
    <t>January 30, 2015 at 02:43PM</t>
  </si>
  <si>
    <t>January 30, 2015 at 06:44PM</t>
  </si>
  <si>
    <t>January 31, 2015 at 08:58AM</t>
  </si>
  <si>
    <t>February 03, 2015 at 07:02PM</t>
  </si>
  <si>
    <t>February 03, 2015 at 07:24PM</t>
  </si>
  <si>
    <t>February 04, 2015 at 11:47AM</t>
  </si>
  <si>
    <t>February 04, 2015 at 07:37PM</t>
  </si>
  <si>
    <t>February 04, 2015 at 08:18PM</t>
  </si>
  <si>
    <t>February 05, 2015 at 09:18PM</t>
  </si>
  <si>
    <t>February 06, 2015 at 10:01AM</t>
  </si>
  <si>
    <t>Chris pye</t>
  </si>
  <si>
    <t>February 06, 2015 at 12:07PM</t>
  </si>
  <si>
    <t>February 13, 2015 at 04:39PM</t>
  </si>
  <si>
    <t>February 15, 2015 at 09:32PM</t>
  </si>
  <si>
    <t>February 17, 2015 at 02:55PM</t>
  </si>
  <si>
    <t>February 20, 2015 at 06:51PM</t>
  </si>
  <si>
    <t>February 23, 2015 at 06:34PM</t>
  </si>
  <si>
    <t>February 24, 2015 at 06:50PM</t>
  </si>
  <si>
    <t>February 28, 2015 at 11:01AM</t>
  </si>
  <si>
    <t>March 02, 2015 at 07:11PM</t>
  </si>
  <si>
    <t>March 05, 2015 at 12:14PM</t>
  </si>
  <si>
    <t>March 05, 2015 at 02:15PM</t>
  </si>
  <si>
    <t>March 05, 2015 at 02:53PM</t>
  </si>
  <si>
    <t>March 05, 2015 at 04:42PM</t>
  </si>
  <si>
    <t>March 05, 2015 at 08:08PM</t>
  </si>
  <si>
    <t>March 07, 2015 at 06:19PM</t>
  </si>
  <si>
    <t>March 09, 2015 at 11:33AM</t>
  </si>
  <si>
    <t>March 10, 2015 at 11:06AM</t>
  </si>
  <si>
    <t>March 19, 2015 at 10:59AM</t>
  </si>
  <si>
    <t>March 19, 2015 at 12:57PM</t>
  </si>
  <si>
    <t>March 19, 2015 at 01:59PM</t>
  </si>
  <si>
    <t>March 19, 2015 at 07:01PM</t>
  </si>
  <si>
    <t>March 20, 2015 at 08:33AM</t>
  </si>
  <si>
    <t>March 20, 2015 at 12:26PM</t>
  </si>
  <si>
    <t>March 20, 2015 at 02:40PM</t>
  </si>
  <si>
    <t>March 21, 2015 at 02:25PM</t>
  </si>
  <si>
    <t>March 22, 2015 at 12:13PM</t>
  </si>
  <si>
    <t>March 24, 2015 at 06:28PM</t>
  </si>
  <si>
    <t>March 27, 2015 at 07:15PM</t>
  </si>
  <si>
    <t>March 29, 2015 at 06:09PM</t>
  </si>
  <si>
    <t>April 01, 2015 at 11:29AM</t>
  </si>
  <si>
    <t>April 02, 2015 at 06:29PM</t>
  </si>
  <si>
    <t>April 04, 2015 at 06:48PM</t>
  </si>
  <si>
    <t>April 07, 2015 at 03:36PM</t>
  </si>
  <si>
    <t>April 10, 2015 at 08:23PM</t>
  </si>
  <si>
    <t>April 14, 2015 at 11:17AM</t>
  </si>
  <si>
    <t>April 15, 2015 at 07:39PM</t>
  </si>
  <si>
    <t>April 15, 2015 at 07:41PM</t>
  </si>
  <si>
    <t>April 17, 2015 at 08:15PM</t>
  </si>
  <si>
    <t>April 22, 2015 at 09:46AM</t>
  </si>
  <si>
    <t>April 24, 2015 at 07:39PM</t>
  </si>
  <si>
    <t>April 25, 2015 at 06:52PM</t>
  </si>
  <si>
    <t>April 27, 2015 at 07:20PM</t>
  </si>
  <si>
    <t>May 03, 2015 at 09:36AM</t>
  </si>
  <si>
    <t>#Maypac</t>
  </si>
  <si>
    <t>May 09, 2015 at 12:14PM</t>
  </si>
  <si>
    <t>May 09, 2015 at 02:43PM</t>
  </si>
  <si>
    <t>May 10, 2015 at 06:57PM</t>
  </si>
  <si>
    <t>May 12, 2015 at 03:28PM</t>
  </si>
  <si>
    <t>May 14, 2015 at 10:43AM</t>
  </si>
  <si>
    <t/>
  </si>
  <si>
    <t>May 14, 2015 at 12:05PM</t>
  </si>
  <si>
    <t>May 14, 2015 at 03:38PM</t>
  </si>
  <si>
    <t>May 14, 2015 at 06:34PM</t>
  </si>
  <si>
    <t>May 14, 2015 at 08:29PM</t>
  </si>
  <si>
    <t>May 15, 2015 at 12:28PM</t>
  </si>
  <si>
    <t>May 15, 2015 at 02:41PM</t>
  </si>
  <si>
    <t>May 15, 2015 at 03:48PM</t>
  </si>
  <si>
    <t>May 16, 2015 at 11:24AM</t>
  </si>
  <si>
    <t>May 16, 2015 at 12:26PM</t>
  </si>
  <si>
    <t>May 16, 2015 at 01:09PM</t>
  </si>
  <si>
    <t>May 16, 2015 at 02:36PM</t>
  </si>
  <si>
    <t>May 16, 2015 at 05:37PM</t>
  </si>
  <si>
    <t>May 17, 2015 at 12:08PM</t>
  </si>
  <si>
    <t>May 17, 2015 at 01:46PM</t>
  </si>
  <si>
    <t>May 17, 2015 at 08:26PM</t>
  </si>
  <si>
    <t>May 22, 2015 at 09:04PM</t>
  </si>
  <si>
    <t>May 23, 2015 at 01:11PM</t>
  </si>
  <si>
    <t>May 29, 2015 at 03:00PM</t>
  </si>
  <si>
    <t>May 29, 2015 at 05:40PM</t>
  </si>
  <si>
    <t>May 29, 2015 at 07:09PM</t>
  </si>
  <si>
    <t>May 31, 2015 at 12:33PM</t>
  </si>
  <si>
    <t>June 09, 2015 at 02:45PM</t>
  </si>
  <si>
    <t>June 09, 2015 at 04:46PM</t>
  </si>
  <si>
    <t>June 09, 2015 at 08:24PM</t>
  </si>
  <si>
    <t>June 10, 2015 at 11:42AM</t>
  </si>
  <si>
    <t>June 10, 2015 at 02:44PM</t>
  </si>
  <si>
    <t>June 10, 2015 at 04:47PM</t>
  </si>
  <si>
    <t>June 10, 2015 at 07:10PM</t>
  </si>
  <si>
    <t>June 11, 2015 at 12:05PM</t>
  </si>
  <si>
    <t>June 11, 2015 at 12:06PM</t>
  </si>
  <si>
    <t>June 11, 2015 at 03:29PM</t>
  </si>
  <si>
    <t>June 11, 2015 at 04:56PM</t>
  </si>
  <si>
    <t>June 11, 2015 at 06:14PM</t>
  </si>
  <si>
    <t>Omg this place is cool</t>
  </si>
  <si>
    <t>June 11, 2015 at 06:59PM</t>
  </si>
  <si>
    <t>June 12, 2015 at 12:19PM</t>
  </si>
  <si>
    <t>June 12, 2015 at 01:26PM</t>
  </si>
  <si>
    <t>June 12, 2015 at 01:53PM</t>
  </si>
  <si>
    <t>June 13, 2015 at 09:34AM</t>
  </si>
  <si>
    <t>June 13, 2015 at 10:19AM</t>
  </si>
  <si>
    <t>June 13, 2015 at 08:22PM</t>
  </si>
  <si>
    <t>June 13, 2015 at 10:49PM</t>
  </si>
  <si>
    <t>June 15, 2015 at 12:37PM</t>
  </si>
  <si>
    <t>June 15, 2015 at 02:56PM</t>
  </si>
  <si>
    <t>June 15, 2015 at 10:07PM</t>
  </si>
  <si>
    <t>June 16, 2015 at 11:30AM</t>
  </si>
  <si>
    <t>June 17, 2015 at 03:35PM</t>
  </si>
  <si>
    <t>June 19, 2015 at 03:58PM</t>
  </si>
  <si>
    <t>June 19, 2015 at 06:11PM</t>
  </si>
  <si>
    <t>June 20, 2015 at 02:39PM</t>
  </si>
  <si>
    <t>June 21, 2015 at 01:00PM</t>
  </si>
  <si>
    <t>June 28, 2015 at 11:16AM</t>
  </si>
  <si>
    <t>June 28, 2015 at 03:26PM</t>
  </si>
  <si>
    <t>June 28, 2015 at 05:44PM</t>
  </si>
  <si>
    <t>July 02, 2015 at 06:28PM</t>
  </si>
  <si>
    <t>July 03, 2015 at 08:00PM</t>
  </si>
  <si>
    <t>July 04, 2015 at 03:43PM</t>
  </si>
  <si>
    <t>July 09, 2015 at 04:54PM</t>
  </si>
  <si>
    <t>July 10, 2015 at 01:08PM</t>
  </si>
  <si>
    <t>July 10, 2015 at 02:06PM</t>
  </si>
  <si>
    <t>July 10, 2015 at 04:10PM</t>
  </si>
  <si>
    <t>July 11, 2015 at 01:44PM</t>
  </si>
  <si>
    <t>July 12, 2015 at 10:22AM</t>
  </si>
  <si>
    <t>July 17, 2015 at 03:29PM</t>
  </si>
  <si>
    <t>July 17, 2015 at 05:37PM</t>
  </si>
  <si>
    <t>July 18, 2015 at 02:48PM</t>
  </si>
  <si>
    <t>July 19, 2015 at 11:28AM</t>
  </si>
  <si>
    <t>July 19, 2015 at 03:17PM</t>
  </si>
  <si>
    <t>Nicest laid out electronics shop in Thailand. Great selection.</t>
  </si>
  <si>
    <t>July 24, 2015 at 12:08PM</t>
  </si>
  <si>
    <t>July 24, 2015 at 06:20PM</t>
  </si>
  <si>
    <t>July 25, 2015 at 08:04PM</t>
  </si>
  <si>
    <t>July 26, 2015 at 05:18PM</t>
  </si>
  <si>
    <t>July 30, 2015 at 03:05PM</t>
  </si>
  <si>
    <t>July 30, 2015 at 06:28PM</t>
  </si>
  <si>
    <t>August 01, 2015 at 09:17AM</t>
  </si>
  <si>
    <t>August 01, 2015 at 10:42AM</t>
  </si>
  <si>
    <t>August 15, 2015 at 03:26PM</t>
  </si>
  <si>
    <t>August 15, 2015 at 05:39PM</t>
  </si>
  <si>
    <t>August 15, 2015 at 06:49PM</t>
  </si>
  <si>
    <t>August 16, 2015 at 09:52AM</t>
  </si>
  <si>
    <t>August 16, 2015 at 10:16AM</t>
  </si>
  <si>
    <t>August 16, 2015 at 12:44PM</t>
  </si>
  <si>
    <t>August 16, 2015 at 02:17PM</t>
  </si>
  <si>
    <t>August 19, 2015 at 12:17PM</t>
  </si>
  <si>
    <t>August 20, 2015 at 02:17PM</t>
  </si>
  <si>
    <t>August 22, 2015 at 11:02AM</t>
  </si>
  <si>
    <t>August 23, 2015 at 03:58PM</t>
  </si>
  <si>
    <t>August 25, 2015 at 02:52PM</t>
  </si>
  <si>
    <t>August 26, 2015 at 01:47PM</t>
  </si>
  <si>
    <t>August 27, 2015 at 06:04PM</t>
  </si>
  <si>
    <t>August 29, 2015 at 11:31AM</t>
  </si>
  <si>
    <t>August 30, 2015 at 09:43AM</t>
  </si>
  <si>
    <t>August 30, 2015 at 11:14AM</t>
  </si>
  <si>
    <t>September 02, 2015 at 08:13AM</t>
  </si>
  <si>
    <t>September 02, 2015 at 06:28PM</t>
  </si>
  <si>
    <t>September 04, 2015 at 12:20PM</t>
  </si>
  <si>
    <t>September 05, 2015 at 10:54AM</t>
  </si>
  <si>
    <t>September 05, 2015 at 01:20PM</t>
  </si>
  <si>
    <t>September 06, 2015 at 11:26AM</t>
  </si>
  <si>
    <t>September 06, 2015 at 01:41PM</t>
  </si>
  <si>
    <t>September 07, 2015 at 01:28PM</t>
  </si>
  <si>
    <t>September 09, 2015 at 12:04PM</t>
  </si>
  <si>
    <t>September 09, 2015 at 07:59PM</t>
  </si>
  <si>
    <t>September 09, 2015 at 08:36PM</t>
  </si>
  <si>
    <t>September 10, 2015 at 06:12AM</t>
  </si>
  <si>
    <t>September 10, 2015 at 11:39PM</t>
  </si>
  <si>
    <t>September 11, 2015 at 01:21AM</t>
  </si>
  <si>
    <t>September 13, 2015 at 01:08AM</t>
  </si>
  <si>
    <t>September 13, 2015 at 10:03AM</t>
  </si>
  <si>
    <t>September 15, 2015 at 06:03AM</t>
  </si>
  <si>
    <t>September 16, 2015 at 09:39PM</t>
  </si>
  <si>
    <t>September 17, 2015 at 12:41AM</t>
  </si>
  <si>
    <t>September 18, 2015 at 05:05AM</t>
  </si>
  <si>
    <t>September 18, 2015 at 10:09PM</t>
  </si>
  <si>
    <t>September 21, 2015 at 07:32AM</t>
  </si>
  <si>
    <t>September 21, 2015 at 08:40PM</t>
  </si>
  <si>
    <t>September 21, 2015 at 11:21PM</t>
  </si>
  <si>
    <t>September 23, 2015 at 06:46AM</t>
  </si>
  <si>
    <t>September 24, 2015 at 01:40AM</t>
  </si>
  <si>
    <t>September 24, 2015 at 04:06AM</t>
  </si>
  <si>
    <t>September 25, 2015 at 04:11AM</t>
  </si>
  <si>
    <t>September 26, 2015 at 01:58AM</t>
  </si>
  <si>
    <t>September 26, 2015 at 05:18AM</t>
  </si>
  <si>
    <t>September 27, 2015 at 02:29PM</t>
  </si>
  <si>
    <t>September 27, 2015 at 10:45PM</t>
  </si>
  <si>
    <t>September 30, 2015 at 12:14PM</t>
  </si>
  <si>
    <t>October 03, 2015 at 03:23PM</t>
  </si>
  <si>
    <t>October 04, 2015 at 06:45PM</t>
  </si>
  <si>
    <t>October 07, 2015 at 12:47PM</t>
  </si>
  <si>
    <t>October 09, 2015 at 04:16PM</t>
  </si>
  <si>
    <t>October 09, 2015 at 10:30PM</t>
  </si>
  <si>
    <t>October 11, 2015 at 02:39PM</t>
  </si>
  <si>
    <t>October 11, 2015 at 06:30PM</t>
  </si>
  <si>
    <t>October 14, 2015 at 01:26PM</t>
  </si>
  <si>
    <t>October 17, 2015 at 10:04AM</t>
  </si>
  <si>
    <t>October 18, 2015 at 04:56PM</t>
  </si>
  <si>
    <t>October 19, 2015 at 10:55AM</t>
  </si>
  <si>
    <t>October 22, 2015 at 11:10AM</t>
  </si>
  <si>
    <t>October 22, 2015 at 12:54PM</t>
  </si>
  <si>
    <t>October 24, 2015 at 06:28PM</t>
  </si>
  <si>
    <t>October 25, 2015 at 02:09PM</t>
  </si>
  <si>
    <t>October 26, 2015 at 07:44AM</t>
  </si>
  <si>
    <t>October 27, 2015 at 01:17PM</t>
  </si>
  <si>
    <t>October 27, 2015 at 06:34PM</t>
  </si>
  <si>
    <t>October 30, 2015 at 01:33PM</t>
  </si>
  <si>
    <t>October 31, 2015 at 04:37PM</t>
  </si>
  <si>
    <t>November 01, 2015 at 06:12PM</t>
  </si>
  <si>
    <t>Climbing, camping and general expedition gear</t>
  </si>
  <si>
    <t>November 01, 2015 at 06:13PM</t>
  </si>
  <si>
    <t>November 04, 2015 at 01:34PM</t>
  </si>
  <si>
    <t>November 06, 2015 at 08:22AM</t>
  </si>
  <si>
    <t>November 06, 2015 at 10:13AM</t>
  </si>
  <si>
    <t>November 07, 2015 at 01:44PM</t>
  </si>
  <si>
    <t>November 07, 2015 at 02:37PM</t>
  </si>
  <si>
    <t>November 09, 2015 at 04:49PM</t>
  </si>
  <si>
    <t>November 12, 2015 at 12:21PM</t>
  </si>
  <si>
    <t>November 12, 2015 at 12:51PM</t>
  </si>
  <si>
    <t>November 12, 2015 at 02:21PM</t>
  </si>
  <si>
    <t>November 14, 2015 at 03:38PM</t>
  </si>
  <si>
    <t>November 15, 2015 at 04:59PM</t>
  </si>
  <si>
    <t>November 16, 2015 at 08:32AM</t>
  </si>
  <si>
    <t>November 19, 2015 at 01:26PM</t>
  </si>
  <si>
    <t>November 19, 2015 at 01:27PM</t>
  </si>
  <si>
    <t>November 21, 2015 at 05:14PM</t>
  </si>
  <si>
    <t>November 21, 2015 at 07:05PM</t>
  </si>
  <si>
    <t>November 23, 2015 at 01:43PM</t>
  </si>
  <si>
    <t>November 23, 2015 at 03:02PM</t>
  </si>
  <si>
    <t>November 23, 2015 at 03:55PM</t>
  </si>
  <si>
    <t>November 23, 2015 at 05:56PM</t>
  </si>
  <si>
    <t>November 23, 2015 at 06:20PM</t>
  </si>
  <si>
    <t>November 25, 2015 at 04:39PM</t>
  </si>
  <si>
    <t>November 25, 2015 at 06:23PM</t>
  </si>
  <si>
    <t>November 25, 2015 at 08:20PM</t>
  </si>
  <si>
    <t>November 25, 2015 at 08:38PM</t>
  </si>
  <si>
    <t>November 26, 2015 at 10:37AM</t>
  </si>
  <si>
    <t>November 26, 2015 at 11:45PM</t>
  </si>
  <si>
    <t>November 27, 2015 at 10:14AM</t>
  </si>
  <si>
    <t>November 27, 2015 at 08:13PM</t>
  </si>
  <si>
    <t>November 28, 2015 at 01:52PM</t>
  </si>
  <si>
    <t>November 28, 2015 at 05:02PM</t>
  </si>
  <si>
    <t>November 28, 2015 at 08:35PM</t>
  </si>
  <si>
    <t>November 29, 2015 at 05:32AM</t>
  </si>
  <si>
    <t>November 29, 2015 at 12:28PM</t>
  </si>
  <si>
    <t>November 29, 2015 at 05:37PM</t>
  </si>
  <si>
    <t>November 29, 2015 at 06:03PM</t>
  </si>
  <si>
    <t>November 29, 2015 at 07:46PM</t>
  </si>
  <si>
    <t>November 30, 2015 at 01:56PM</t>
  </si>
  <si>
    <t>December 02, 2015 at 06:19PM</t>
  </si>
  <si>
    <t>December 05, 2015 at 02:39PM</t>
  </si>
  <si>
    <t>December 05, 2015 at 07:13PM</t>
  </si>
  <si>
    <t>December 06, 2015 at 03:05PM</t>
  </si>
  <si>
    <t>December 07, 2015 at 08:33AM</t>
  </si>
  <si>
    <t>December 09, 2015 at 09:06AM</t>
  </si>
  <si>
    <t>December 09, 2015 at 09:39AM</t>
  </si>
  <si>
    <t>December 09, 2015 at 02:16PM</t>
  </si>
  <si>
    <t>December 10, 2015 at 02:48PM</t>
  </si>
  <si>
    <t>December 10, 2015 at 05:22PM</t>
  </si>
  <si>
    <t>December 10, 2015 at 06:49PM</t>
  </si>
  <si>
    <t>December 11, 2015 at 01:56PM</t>
  </si>
  <si>
    <t>December 11, 2015 at 03:17PM</t>
  </si>
  <si>
    <t>December 12, 2015 at 03:06PM</t>
  </si>
  <si>
    <t>December 12, 2015 at 06:25PM</t>
  </si>
  <si>
    <t>CNX bike week</t>
  </si>
  <si>
    <t>December 13, 2015 at 06:25PM</t>
  </si>
  <si>
    <t>December 14, 2015 at 03:41PM</t>
  </si>
  <si>
    <t>December 16, 2015 at 02:40PM</t>
  </si>
  <si>
    <t>4G activated!</t>
  </si>
  <si>
    <t>December 16, 2015 at 06:36PM</t>
  </si>
  <si>
    <t>December 18, 2015 at 10:30AM</t>
  </si>
  <si>
    <t>December 18, 2015 at 06:44PM</t>
  </si>
  <si>
    <t>December 19, 2015 at 12:03PM</t>
  </si>
  <si>
    <t>December 19, 2015 at 03:26PM</t>
  </si>
  <si>
    <t>December 19, 2015 at 04:00PM</t>
  </si>
  <si>
    <t>December 19, 2015 at 04:40PM</t>
  </si>
  <si>
    <t>December 19, 2015 at 05:05PM</t>
  </si>
  <si>
    <t>December 19, 2015 at 07:59PM</t>
  </si>
  <si>
    <t>December 20, 2015 at 05:32PM</t>
  </si>
  <si>
    <t>December 22, 2015 at 11:00AM</t>
  </si>
  <si>
    <t>December 22, 2015 at 07:13PM</t>
  </si>
  <si>
    <t>December 24, 2015 at 04:11PM</t>
  </si>
  <si>
    <t>December 26, 2015 at 04:18PM</t>
  </si>
  <si>
    <t>December 26, 2015 at 05:52PM</t>
  </si>
  <si>
    <t>December 27, 2015 at 06:08PM</t>
  </si>
  <si>
    <t>December 28, 2015 at 01:11PM</t>
  </si>
  <si>
    <t>December 31, 2015 at 06:58PM</t>
  </si>
  <si>
    <t>December 31, 2015 at 11:21PM</t>
  </si>
  <si>
    <t>January 01, 2016 at 01:38PM</t>
  </si>
  <si>
    <t>January 02, 2016 at 01:17PM</t>
  </si>
  <si>
    <t>January 04, 2016 at 02:57PM</t>
  </si>
  <si>
    <t>January 04, 2016 at 08:51PM</t>
  </si>
  <si>
    <t>January 06, 2016 at 09:02AM</t>
  </si>
  <si>
    <t>January 06, 2016 at 12:59PM</t>
  </si>
  <si>
    <t>January 06, 2016 at 08:50PM</t>
  </si>
  <si>
    <t>January 08, 2016 at 09:05PM</t>
  </si>
  <si>
    <t>January 09, 2016 at 12:45PM</t>
  </si>
  <si>
    <t>January 09, 2016 at 01:42PM</t>
  </si>
  <si>
    <t>January 09, 2016 at 06:02PM</t>
  </si>
  <si>
    <t>January 10, 2016 at 03:31PM</t>
  </si>
  <si>
    <t>January 10, 2016 at 04:19PM</t>
  </si>
  <si>
    <t>January 13, 2016 at 01:42PM</t>
  </si>
  <si>
    <t>January 13, 2016 at 07:10PM</t>
  </si>
  <si>
    <t>January 13, 2016 at 07:19PM</t>
  </si>
  <si>
    <t>January 13, 2016 at 08:37PM</t>
  </si>
  <si>
    <t>January 13, 2016 at 09:36PM</t>
  </si>
  <si>
    <t>January 14, 2016 at 09:06AM</t>
  </si>
  <si>
    <t>January 14, 2016 at 11:50AM</t>
  </si>
  <si>
    <t>January 14, 2016 at 05:44PM</t>
  </si>
  <si>
    <t>January 15, 2016 at 09:25AM</t>
  </si>
  <si>
    <t>January 15, 2016 at 12:58PM</t>
  </si>
  <si>
    <t>January 15, 2016 at 03:08PM</t>
  </si>
  <si>
    <t>January 15, 2016 at 07:08PM</t>
  </si>
  <si>
    <t>January 15, 2016 at 09:10PM</t>
  </si>
  <si>
    <t>January 15, 2016 at 10:39PM</t>
  </si>
  <si>
    <t>January 16, 2016 at 08:45AM</t>
  </si>
  <si>
    <t>January 16, 2016 at 09:01AM</t>
  </si>
  <si>
    <t>January 17, 2016 at 06:42PM</t>
  </si>
  <si>
    <t>January 20, 2016 at 12:20PM</t>
  </si>
  <si>
    <t>January 22, 2016 at 12:10PM</t>
  </si>
  <si>
    <t>January 23, 2016 at 06:12PM</t>
  </si>
  <si>
    <t>January 24, 2016 at 08:19AM</t>
  </si>
  <si>
    <t>January 24, 2016 at 09:46AM</t>
  </si>
  <si>
    <t>January 24, 2016 at 08:05PM</t>
  </si>
  <si>
    <t>January 25, 2016 at 12:09PM</t>
  </si>
  <si>
    <t>January 25, 2016 at 07:08PM</t>
  </si>
  <si>
    <t>January 25, 2016 at 08:52PM</t>
  </si>
  <si>
    <t>January 27, 2016 at 12:47PM</t>
  </si>
  <si>
    <t>January 28, 2016 at 05:08AM</t>
  </si>
  <si>
    <t>Let the waiting begin.</t>
  </si>
  <si>
    <t>January 28, 2016 at 07:03AM</t>
  </si>
  <si>
    <t>January 28, 2016 at 05:38PM</t>
  </si>
  <si>
    <t>January 30, 2016 at 05:30PM</t>
  </si>
  <si>
    <t>February 01, 2016 at 08:34PM</t>
  </si>
  <si>
    <t>February 02, 2016 at 01:32PM</t>
  </si>
  <si>
    <t>February 03, 2016 at 07:20PM</t>
  </si>
  <si>
    <t>February 05, 2016 at 12:19PM</t>
  </si>
  <si>
    <t>February 05, 2016 at 01:13PM</t>
  </si>
  <si>
    <t>February 05, 2016 at 02:14PM</t>
  </si>
  <si>
    <t>February 06, 2016 at 05:35PM</t>
  </si>
  <si>
    <t>February 06, 2016 at 06:11PM</t>
  </si>
  <si>
    <t>February 06, 2016 at 07:21PM</t>
  </si>
  <si>
    <t>February 06, 2016 at 07:51PM</t>
  </si>
  <si>
    <t>February 07, 2016 at 09:39AM</t>
  </si>
  <si>
    <t>February 08, 2016 at 03:07PM</t>
  </si>
  <si>
    <t>February 09, 2016 at 12:22PM</t>
  </si>
  <si>
    <t>February 11, 2016 at 09:25AM</t>
  </si>
  <si>
    <t>February 11, 2016 at 10:16AM</t>
  </si>
  <si>
    <t>February 12, 2016 at 05:48PM</t>
  </si>
  <si>
    <t>February 12, 2016 at 08:48PM</t>
  </si>
  <si>
    <t>February 13, 2016 at 01:51PM</t>
  </si>
  <si>
    <t>February 16, 2016 at 11:43AM</t>
  </si>
  <si>
    <t>February 16, 2016 at 01:08PM</t>
  </si>
  <si>
    <t>February 16, 2016 at 01:29PM</t>
  </si>
  <si>
    <t>February 16, 2016 at 02:03PM</t>
  </si>
  <si>
    <t>February 19, 2016 at 08:09AM</t>
  </si>
  <si>
    <t>February 19, 2016 at 05:58PM</t>
  </si>
  <si>
    <t>February 20, 2016 at 07:00PM</t>
  </si>
  <si>
    <t>February 21, 2016 at 08:32PM</t>
  </si>
  <si>
    <t>February 25, 2016 at 09:48AM</t>
  </si>
  <si>
    <t>February 25, 2016 at 05:45PM</t>
  </si>
  <si>
    <t>February 25, 2016 at 05:49PM</t>
  </si>
  <si>
    <t>February 25, 2016 at 06:20PM</t>
  </si>
  <si>
    <t>February 25, 2016 at 10:02PM</t>
  </si>
  <si>
    <t>February 26, 2016 at 03:19PM</t>
  </si>
  <si>
    <t>February 28, 2016 at 08:28PM</t>
  </si>
  <si>
    <t>February 29, 2016 at 08:59AM</t>
  </si>
  <si>
    <t>February 29, 2016 at 10:01AM</t>
  </si>
  <si>
    <t>February 29, 2016 at 11:38AM</t>
  </si>
  <si>
    <t>March 04, 2016 at 01:40PM</t>
  </si>
  <si>
    <t>March 05, 2016 at 06:56AM</t>
  </si>
  <si>
    <t>March 05, 2016 at 09:15PM</t>
  </si>
  <si>
    <t>March 06, 2016 at 01:49PM</t>
  </si>
  <si>
    <t>With Tricia</t>
  </si>
  <si>
    <t>March 07, 2016 at 01:16PM</t>
  </si>
  <si>
    <t>March 07, 2016 at 07:29PM</t>
  </si>
  <si>
    <t>March 09, 2016 at 08:53PM</t>
  </si>
  <si>
    <t>March 10, 2016 at 08:27AM</t>
  </si>
  <si>
    <t>March 12, 2016 at 07:50PM</t>
  </si>
  <si>
    <t>March 13, 2016 at 05:12PM</t>
  </si>
  <si>
    <t>March 14, 2016 at 05:43PM</t>
  </si>
  <si>
    <t>March 16, 2016 at 09:20AM</t>
  </si>
  <si>
    <t>March 17, 2016 at 04:18PM</t>
  </si>
  <si>
    <t>March 19, 2016 at 02:16PM</t>
  </si>
  <si>
    <t>March 19, 2016 at 05:48PM</t>
  </si>
  <si>
    <t>March 20, 2016 at 01:01PM</t>
  </si>
  <si>
    <t>March 20, 2016 at 03:42PM</t>
  </si>
  <si>
    <t>March 20, 2016 at 08:37PM</t>
  </si>
  <si>
    <t>March 21, 2016 at 11:59AM</t>
  </si>
  <si>
    <t>March 21, 2016 at 02:53PM</t>
  </si>
  <si>
    <t>March 23, 2016 at 11:54AM</t>
  </si>
  <si>
    <t>March 24, 2016 at 09:29AM</t>
  </si>
  <si>
    <t>March 27, 2016 at 10:40AM</t>
  </si>
  <si>
    <t>March 27, 2016 at 01:42PM</t>
  </si>
  <si>
    <t>March 30, 2016 at 03:39PM</t>
  </si>
  <si>
    <t>April 01, 2016 at 12:56PM</t>
  </si>
  <si>
    <t>April 03, 2016 at 09:47AM</t>
  </si>
  <si>
    <t>April 03, 2016 at 10:25AM</t>
  </si>
  <si>
    <t>April 03, 2016 at 07:57PM</t>
  </si>
  <si>
    <t>April 05, 2016 at 06:45PM</t>
  </si>
  <si>
    <t>April 06, 2016 at 10:00AM</t>
  </si>
  <si>
    <t>April 06, 2016 at 12:54PM</t>
  </si>
  <si>
    <t>April 06, 2016 at 02:13PM</t>
  </si>
  <si>
    <t>April 07, 2016 at 08:50AM</t>
  </si>
  <si>
    <t>April 07, 2016 at 12:10PM</t>
  </si>
  <si>
    <t>April 07, 2016 at 01:06PM</t>
  </si>
  <si>
    <t>April 07, 2016 at 03:05PM</t>
  </si>
  <si>
    <t>April 07, 2016 at 06:04PM</t>
  </si>
  <si>
    <t>April 07, 2016 at 08:40PM</t>
  </si>
  <si>
    <t>April 08, 2016 at 01:25PM</t>
  </si>
  <si>
    <t>April 08, 2016 at 07:32PM</t>
  </si>
  <si>
    <t>April 09, 2016 at 09:45AM</t>
  </si>
  <si>
    <t>April 10, 2016 at 09:42AM</t>
  </si>
  <si>
    <t>April 10, 2016 at 01:49PM</t>
  </si>
  <si>
    <t>Drive thru!</t>
  </si>
  <si>
    <t>April 10, 2016 at 04:31PM</t>
  </si>
  <si>
    <t>April 10, 2016 at 06:32PM</t>
  </si>
  <si>
    <t>April 11, 2016 at 09:45AM</t>
  </si>
  <si>
    <t>April 11, 2016 at 06:34PM</t>
  </si>
  <si>
    <t>April 12, 2016 at 10:14AM</t>
  </si>
  <si>
    <t>April 12, 2016 at 05:54PM</t>
  </si>
  <si>
    <t>April 13, 2016 at 08:38PM</t>
  </si>
  <si>
    <t>April 13, 2016 at 10:12PM</t>
  </si>
  <si>
    <t>Really original product here</t>
  </si>
  <si>
    <t>April 14, 2016 at 12:19PM</t>
  </si>
  <si>
    <t>April 14, 2016 at 01:18PM</t>
  </si>
  <si>
    <t>April 14, 2016 at 02:38PM</t>
  </si>
  <si>
    <t>April 15, 2016 at 03:58PM</t>
  </si>
  <si>
    <t>April 15, 2016 at 08:27PM</t>
  </si>
  <si>
    <t>April 16, 2016 at 11:53AM</t>
  </si>
  <si>
    <t>April 16, 2016 at 12:07PM</t>
  </si>
  <si>
    <t>April 16, 2016 at 04:06PM</t>
  </si>
  <si>
    <t>April 16, 2016 at 05:22PM</t>
  </si>
  <si>
    <t>April 16, 2016 at 06:40PM</t>
  </si>
  <si>
    <t>April 17, 2016 at 09:13AM</t>
  </si>
  <si>
    <t>April 17, 2016 at 11:54AM</t>
  </si>
  <si>
    <t>April 18, 2016 at 06:16PM</t>
  </si>
  <si>
    <t>April 21, 2016 at 01:59PM</t>
  </si>
  <si>
    <t>April 22, 2016 at 05:16PM</t>
  </si>
  <si>
    <t>April 22, 2016 at 06:33PM</t>
  </si>
  <si>
    <t>April 24, 2016 at 07:02PM</t>
  </si>
  <si>
    <t>April 26, 2016 at 02:50PM</t>
  </si>
  <si>
    <t>April 27, 2016 at 05:30PM</t>
  </si>
  <si>
    <t>April 29, 2016 at 11:54AM</t>
  </si>
  <si>
    <t>May 01, 2016 at 03:52PM</t>
  </si>
  <si>
    <t>May 01, 2016 at 04:55PM</t>
  </si>
  <si>
    <t>May 01, 2016 at 07:22PM</t>
  </si>
  <si>
    <t>May 01, 2016 at 08:43PM</t>
  </si>
  <si>
    <t>May 02, 2016 at 08:13AM</t>
  </si>
  <si>
    <t>May 02, 2016 at 08:35AM</t>
  </si>
  <si>
    <t>May 02, 2016 at 12:53PM</t>
  </si>
  <si>
    <t>May 02, 2016 at 01:29PM</t>
  </si>
  <si>
    <t>May 02, 2016 at 03:43PM</t>
  </si>
  <si>
    <t>May 02, 2016 at 06:30PM</t>
  </si>
  <si>
    <t>May 03, 2016 at 02:44PM</t>
  </si>
  <si>
    <t>May 03, 2016 at 07:09PM</t>
  </si>
  <si>
    <t>May 03, 2016 at 09:17PM</t>
  </si>
  <si>
    <t>May 06, 2016 at 03:42PM</t>
  </si>
  <si>
    <t>May 08, 2016 at 05:52PM</t>
  </si>
  <si>
    <t>May 09, 2016 at 08:03AM</t>
  </si>
  <si>
    <t>May 09, 2016 at 01:20PM</t>
  </si>
  <si>
    <t>May 12, 2016 at 02:34PM</t>
  </si>
  <si>
    <t>May 13, 2016 at 02:41PM</t>
  </si>
  <si>
    <t>May 14, 2016 at 12:14PM</t>
  </si>
  <si>
    <t>May 15, 2016 at 06:03PM</t>
  </si>
  <si>
    <t>May 16, 2016 at 12:49PM</t>
  </si>
  <si>
    <t>May 16, 2016 at 05:45PM</t>
  </si>
  <si>
    <t>May 18, 2016 at 09:51AM</t>
  </si>
  <si>
    <t>May 18, 2016 at 01:06PM</t>
  </si>
  <si>
    <t>May 18, 2016 at 05:03PM</t>
  </si>
  <si>
    <t>May 18, 2016 at 06:27PM</t>
  </si>
  <si>
    <t>May 19, 2016 at 06:58AM</t>
  </si>
  <si>
    <t>May 19, 2016 at 08:04AM</t>
  </si>
  <si>
    <t>May 19, 2016 at 09:06AM</t>
  </si>
  <si>
    <t>May 19, 2016 at 10:19AM</t>
  </si>
  <si>
    <t>May 19, 2016 at 02:07PM</t>
  </si>
  <si>
    <t>May 19, 2016 at 02:33PM</t>
  </si>
  <si>
    <t>May 19, 2016 at 03:54PM</t>
  </si>
  <si>
    <t>May 20, 2016 at 08:41AM</t>
  </si>
  <si>
    <t>May 20, 2016 at 12:15PM</t>
  </si>
  <si>
    <t>May 20, 2016 at 01:44PM</t>
  </si>
  <si>
    <t>Nice waterfall right next to the road</t>
  </si>
  <si>
    <t>May 20, 2016 at 02:41PM</t>
  </si>
  <si>
    <t>May 20, 2016 at 06:26PM</t>
  </si>
  <si>
    <t>May 20, 2016 at 07:45PM</t>
  </si>
  <si>
    <t>May 21, 2016 at 08:20AM</t>
  </si>
  <si>
    <t>May 21, 2016 at 09:23AM</t>
  </si>
  <si>
    <t>May 21, 2016 at 01:20PM</t>
  </si>
  <si>
    <t>May 22, 2016 at 09:59AM</t>
  </si>
  <si>
    <t>May 22, 2016 at 12:08PM</t>
  </si>
  <si>
    <t>May 24, 2016 at 11:45AM</t>
  </si>
  <si>
    <t>May 25, 2016 at 08:31PM</t>
  </si>
  <si>
    <t>May 26, 2016 at 02:12PM</t>
  </si>
  <si>
    <t>May 28, 2016 at 08:26PM</t>
  </si>
  <si>
    <t>May 29, 2016 at 09:34AM</t>
  </si>
  <si>
    <t>May 29, 2016 at 01:24PM</t>
  </si>
  <si>
    <t>May 31, 2016 at 08:08PM</t>
  </si>
  <si>
    <t>June 03, 2016 at 01:10PM</t>
  </si>
  <si>
    <t>June 03, 2016 at 05:31PM</t>
  </si>
  <si>
    <t>June 05, 2016 at 05:19PM</t>
  </si>
  <si>
    <t>June 06, 2016 at 08:18AM</t>
  </si>
  <si>
    <t>June 08, 2016 at 10:14AM</t>
  </si>
  <si>
    <t>June 08, 2016 at 05:34PM</t>
  </si>
  <si>
    <t>June 09, 2016 at 12:39PM</t>
  </si>
  <si>
    <t>June 10, 2016 at 12:01PM</t>
  </si>
  <si>
    <t>June 10, 2016 at 07:39PM</t>
  </si>
  <si>
    <t>June 11, 2016 at 09:08PM</t>
  </si>
  <si>
    <t>June 12, 2016 at 05:25PM</t>
  </si>
  <si>
    <t>June 13, 2016 at 09:42PM</t>
  </si>
  <si>
    <t>June 15, 2016 at 01:39PM</t>
  </si>
  <si>
    <t>June 16, 2016 at 08:54PM</t>
  </si>
  <si>
    <t>June 17, 2016 at 01:08PM</t>
  </si>
  <si>
    <t>June 18, 2016 at 05:29PM</t>
  </si>
  <si>
    <t>June 20, 2016 at 12:54PM</t>
  </si>
  <si>
    <t>June 21, 2016 at 12:53PM</t>
  </si>
  <si>
    <t>June 23, 2016 at 12:00PM</t>
  </si>
  <si>
    <t>June 25, 2016 at 05:31PM</t>
  </si>
  <si>
    <t>June 26, 2016 at 09:46PM</t>
  </si>
  <si>
    <t>June 28, 2016 at 08:53PM</t>
  </si>
  <si>
    <t>July 01, 2016 at 10:52AM</t>
  </si>
  <si>
    <t>July 01, 2016 at 06:06PM</t>
  </si>
  <si>
    <t>July 02, 2016 at 08:52AM</t>
  </si>
  <si>
    <t>July 02, 2016 at 10:57AM</t>
  </si>
  <si>
    <t>July 02, 2016 at 12:04PM</t>
  </si>
  <si>
    <t>July 03, 2016 at 03:39PM</t>
  </si>
  <si>
    <t>July 03, 2016 at 07:24PM</t>
  </si>
  <si>
    <t>July 04, 2016 at 12:26PM</t>
  </si>
  <si>
    <t>July 04, 2016 at 12:43PM</t>
  </si>
  <si>
    <t>July 04, 2016 at 01:47PM</t>
  </si>
  <si>
    <t>July 04, 2016 at 05:07PM</t>
  </si>
  <si>
    <t>July 05, 2016 at 11:40AM</t>
  </si>
  <si>
    <t>July 05, 2016 at 01:28PM</t>
  </si>
  <si>
    <t>July 05, 2016 at 05:14PM</t>
  </si>
  <si>
    <t>July 05, 2016 at 08:53PM</t>
  </si>
  <si>
    <t>July 06, 2016 at 12:56PM</t>
  </si>
  <si>
    <t>July 15, 2016 at 06:00PM</t>
  </si>
  <si>
    <t>July 15, 2016 at 06:49PM</t>
  </si>
  <si>
    <t>July 16, 2016 at 01:19PM</t>
  </si>
  <si>
    <t>July 16, 2016 at 04:36PM</t>
  </si>
  <si>
    <t>July 17, 2016 at 03:07PM</t>
  </si>
  <si>
    <t>July 18, 2016 at 01:11PM</t>
  </si>
  <si>
    <t>July 20, 2016 at 06:41PM</t>
  </si>
  <si>
    <t>July 23, 2016 at 05:51PM</t>
  </si>
  <si>
    <t>July 26, 2016 at 06:41PM</t>
  </si>
  <si>
    <t>July 28, 2016 at 11:15AM</t>
  </si>
  <si>
    <t>July 29, 2016 at 12:51PM</t>
  </si>
  <si>
    <t>July 31, 2016 at 10:39AM</t>
  </si>
  <si>
    <t>July 31, 2016 at 01:47PM</t>
  </si>
  <si>
    <t>August 02, 2016 at 04:52PM</t>
  </si>
  <si>
    <t>August 04, 2016 at 04:19PM</t>
  </si>
  <si>
    <t>August 04, 2016 at 06:09PM</t>
  </si>
  <si>
    <t>August 04, 2016 at 07:18PM</t>
  </si>
  <si>
    <t>August 05, 2016 at 07:25AM</t>
  </si>
  <si>
    <t>August 05, 2016 at 10:50AM</t>
  </si>
  <si>
    <t>August 05, 2016 at 07:24PM</t>
  </si>
  <si>
    <t>August 05, 2016 at 08:23PM</t>
  </si>
  <si>
    <t>August 06, 2016 at 01:54PM</t>
  </si>
  <si>
    <t>August 06, 2016 at 05:11PM</t>
  </si>
  <si>
    <t>August 06, 2016 at 07:34PM</t>
  </si>
  <si>
    <t>August 10, 2016 at 12:47PM</t>
  </si>
  <si>
    <t>August 10, 2016 at 12:53PM</t>
  </si>
  <si>
    <t>August 12, 2016 at 01:59PM</t>
  </si>
  <si>
    <t>August 13, 2016 at 02:06PM</t>
  </si>
  <si>
    <t>August 14, 2016 at 06:42PM</t>
  </si>
  <si>
    <t>August 16, 2016 at 09:37AM</t>
  </si>
  <si>
    <t>August 16, 2016 at 12:31PM</t>
  </si>
  <si>
    <t>August 16, 2016 at 03:12PM</t>
  </si>
  <si>
    <t>August 16, 2016 at 05:06PM</t>
  </si>
  <si>
    <t>August 16, 2016 at 05:49PM</t>
  </si>
  <si>
    <t>August 18, 2016 at 08:58AM</t>
  </si>
  <si>
    <t>August 19, 2016 at 01:36PM</t>
  </si>
  <si>
    <t>August 20, 2016 at 07:13PM</t>
  </si>
  <si>
    <t>August 22, 2016 at 12:50PM</t>
  </si>
  <si>
    <t>August 25, 2016 at 05:42PM</t>
  </si>
  <si>
    <t>August 27, 2016 at 08:40PM</t>
  </si>
  <si>
    <t>August 29, 2016 at 08:35AM</t>
  </si>
  <si>
    <t>August 31, 2016 at 01:26PM</t>
  </si>
  <si>
    <t>September 02, 2016 at 03:35PM</t>
  </si>
  <si>
    <t>September 03, 2016 at 06:06PM</t>
  </si>
  <si>
    <t>September 03, 2016 at 06:16PM</t>
  </si>
  <si>
    <t>September 04, 2016 at 10:24AM</t>
  </si>
  <si>
    <t>September 04, 2016 at 05:59PM</t>
  </si>
  <si>
    <t>September 06, 2016 at 08:42PM</t>
  </si>
  <si>
    <t>September 09, 2016 at 01:28PM</t>
  </si>
  <si>
    <t>September 09, 2016 at 04:40PM</t>
  </si>
  <si>
    <t>September 11, 2016 at 05:08PM</t>
  </si>
  <si>
    <t>September 12, 2016 at 10:35AM</t>
  </si>
  <si>
    <t>September 13, 2016 at 05:16AM</t>
  </si>
  <si>
    <t>September 13, 2016 at 08:13AM</t>
  </si>
  <si>
    <t>September 14, 2016 at 04:57PM</t>
  </si>
  <si>
    <t>September 14, 2016 at 08:29PM</t>
  </si>
  <si>
    <t>September 15, 2016 at 03:28PM</t>
  </si>
  <si>
    <t>September 16, 2016 at 12:19PM</t>
  </si>
  <si>
    <t>September 16, 2016 at 05:05PM</t>
  </si>
  <si>
    <t>September 16, 2016 at 05:59PM</t>
  </si>
  <si>
    <t>September 17, 2016 at 06:33PM</t>
  </si>
  <si>
    <t>September 18, 2016 at 10:33AM</t>
  </si>
  <si>
    <t>September 19, 2016 at 12:49PM</t>
  </si>
  <si>
    <t>September 19, 2016 at 03:17PM</t>
  </si>
  <si>
    <t>September 20, 2016 at 08:21AM</t>
  </si>
  <si>
    <t>September 20, 2016 at 09:28AM</t>
  </si>
  <si>
    <t>September 20, 2016 at 11:14AM</t>
  </si>
  <si>
    <t>September 20, 2016 at 02:12PM</t>
  </si>
  <si>
    <t>September 20, 2016 at 03:32PM</t>
  </si>
  <si>
    <t>September 23, 2016 at 12:37PM</t>
  </si>
  <si>
    <t>September 23, 2016 at 04:54PM</t>
  </si>
  <si>
    <t>September 23, 2016 at 05:34PM</t>
  </si>
  <si>
    <t>September 24, 2016 at 07:10PM</t>
  </si>
  <si>
    <t>September 25, 2016 at 05:29PM</t>
  </si>
  <si>
    <t>September 27, 2016 at 08:30PM</t>
  </si>
  <si>
    <t>September 30, 2016 at 01:42PM</t>
  </si>
  <si>
    <t>October 02, 2016 at 04:41PM</t>
  </si>
  <si>
    <t>October 02, 2016 at 06:05PM</t>
  </si>
  <si>
    <t>October 03, 2016 at 08:13AM</t>
  </si>
  <si>
    <t>October 05, 2016 at 01:23PM</t>
  </si>
  <si>
    <t>October 07, 2016 at 07:14PM</t>
  </si>
  <si>
    <t>October 08, 2016 at 05:07PM</t>
  </si>
  <si>
    <t>October 09, 2016 at 06:07PM</t>
  </si>
  <si>
    <t>October 11, 2016 at 01:31PM</t>
  </si>
  <si>
    <t>October 11, 2016 at 04:26PM</t>
  </si>
  <si>
    <t>October 13, 2016 at 04:51PM</t>
  </si>
  <si>
    <t>October 14, 2016 at 12:11PM</t>
  </si>
  <si>
    <t>October 14, 2016 at 01:54PM</t>
  </si>
  <si>
    <t>October 16, 2016 at 06:23PM</t>
  </si>
  <si>
    <t>October 23, 2016 at 01:25PM</t>
  </si>
  <si>
    <t>October 23, 2016 at 02:00PM</t>
  </si>
  <si>
    <t>October 23, 2016 at 02:32PM</t>
  </si>
  <si>
    <t>October 26, 2016 at 06:33PM</t>
  </si>
  <si>
    <t>October 28, 2016 at 05:20PM</t>
  </si>
  <si>
    <t>October 29, 2016 at 01:55PM</t>
  </si>
  <si>
    <t>November 04, 2016 at 03:35PM</t>
  </si>
  <si>
    <t>November 04, 2016 at 07:27PM</t>
  </si>
  <si>
    <t>November 04, 2016 at 07:28PM</t>
  </si>
  <si>
    <t>November 05, 2016 at 05:16PM</t>
  </si>
  <si>
    <t>November 06, 2016 at 06:34PM</t>
  </si>
  <si>
    <t>November 09, 2016 at 09:28PM</t>
  </si>
  <si>
    <t>November 09, 2016 at 09:44PM</t>
  </si>
  <si>
    <t>November 11, 2016 at 04:27PM</t>
  </si>
  <si>
    <t>November 12, 2016 at 05:54PM</t>
  </si>
  <si>
    <t>November 12, 2016 at 07:01PM</t>
  </si>
  <si>
    <t>November 13, 2016 at 02:05PM</t>
  </si>
  <si>
    <t>November 14, 2016 at 04:25PM</t>
  </si>
  <si>
    <t>November 18, 2016 at 07:27PM</t>
  </si>
  <si>
    <t>November 19, 2016 at 01:00PM</t>
  </si>
  <si>
    <t>November 19, 2016 at 01:02PM</t>
  </si>
  <si>
    <t>November 19, 2016 at 04:00PM</t>
  </si>
  <si>
    <t>November 19, 2016 at 06:29PM</t>
  </si>
  <si>
    <t>November 20, 2016 at 03:40PM</t>
  </si>
  <si>
    <t>November 21, 2016 at 08:39AM</t>
  </si>
  <si>
    <t>November 21, 2016 at 10:59AM</t>
  </si>
  <si>
    <t>November 21, 2016 at 05:35PM</t>
  </si>
  <si>
    <t>November 24, 2016 at 01:23PM</t>
  </si>
  <si>
    <t>November 28, 2016 at 06:33PM</t>
  </si>
  <si>
    <t>November 30, 2016 at 05:07PM</t>
  </si>
  <si>
    <t>December 03, 2016 at 12:13PM</t>
  </si>
  <si>
    <t>December 07, 2016 at 06:35PM</t>
  </si>
  <si>
    <t>December 09, 2016 at 07:44PM</t>
  </si>
  <si>
    <t>December 10, 2016 at 10:51AM</t>
  </si>
  <si>
    <t>December 11, 2016 at 04:18PM</t>
  </si>
  <si>
    <t>December 12, 2016 at 02:34PM</t>
  </si>
  <si>
    <t>December 15, 2016 at 05:53PM</t>
  </si>
  <si>
    <t>December 17, 2016 at 01:49PM</t>
  </si>
  <si>
    <t>December 17, 2016 at 05:35PM</t>
  </si>
  <si>
    <t>December 17, 2016 at 06:41PM</t>
  </si>
  <si>
    <t>December 18, 2016 at 11:35AM</t>
  </si>
  <si>
    <t>December 21, 2016 at 10:40AM</t>
  </si>
  <si>
    <t>December 21, 2016 at 12:52PM</t>
  </si>
  <si>
    <t>December 21, 2016 at 01:01PM</t>
  </si>
  <si>
    <t>December 21, 2016 at 01:30PM</t>
  </si>
  <si>
    <t>December 21, 2016 at 02:22PM</t>
  </si>
  <si>
    <t>December 21, 2016 at 07:55PM</t>
  </si>
  <si>
    <t>December 22, 2016 at 08:56AM</t>
  </si>
  <si>
    <t>December 22, 2016 at 06:40PM</t>
  </si>
  <si>
    <t>December 23, 2016 at 12:21PM</t>
  </si>
  <si>
    <t>December 23, 2016 at 02:29PM</t>
  </si>
  <si>
    <t>December 23, 2016 at 06:59PM</t>
  </si>
  <si>
    <t>December 24, 2016 at 06:51PM</t>
  </si>
  <si>
    <t>December 26, 2016 at 06:05PM</t>
  </si>
  <si>
    <t>December 27, 2016 at 01:28PM</t>
  </si>
  <si>
    <t>December 27, 2016 at 02:49PM</t>
  </si>
  <si>
    <t>December 28, 2016 at 06:57PM</t>
  </si>
  <si>
    <t>December 29, 2016 at 01:31PM</t>
  </si>
  <si>
    <t>December 29, 2016 at 03:38PM</t>
  </si>
  <si>
    <t>December 29, 2016 at 08:05PM</t>
  </si>
  <si>
    <t>December 30, 2016 at 10:32AM</t>
  </si>
  <si>
    <t>December 30, 2016 at 10:41AM</t>
  </si>
  <si>
    <t>December 30, 2016 at 06:17PM</t>
  </si>
  <si>
    <t>December 31, 2016 at 11:58AM</t>
  </si>
  <si>
    <t>December 31, 2016 at 12:11PM</t>
  </si>
  <si>
    <t>New Burger King try the vegetarian burger, don't be a jerk who orders beef and facilitates the deforestation of the rain forests.</t>
  </si>
  <si>
    <t>December 31, 2016 at 01:32PM</t>
  </si>
  <si>
    <t>Don't come here on a holiday there is no parking.</t>
  </si>
  <si>
    <t>December 31, 2016 at 08:47PM</t>
  </si>
  <si>
    <t>January 01, 2017 at 12:50PM</t>
  </si>
  <si>
    <t>January 01, 2017 at 02:18PM</t>
  </si>
  <si>
    <t>January 01, 2017 at 03:50PM</t>
  </si>
  <si>
    <t>January 02, 2017 at 01:59PM</t>
  </si>
  <si>
    <t>January 02, 2017 at 08:55PM</t>
  </si>
  <si>
    <t>January 03, 2017 at 01:14PM</t>
  </si>
  <si>
    <t>January 05, 2017 at 11:16AM</t>
  </si>
  <si>
    <t>January 05, 2017 at 01:44PM</t>
  </si>
  <si>
    <t>January 05, 2017 at 05:06PM</t>
  </si>
  <si>
    <t>January 06, 2017 at 06:16PM</t>
  </si>
  <si>
    <t>January 07, 2017 at 06:18PM</t>
  </si>
  <si>
    <t>January 08, 2017 at 11:17AM</t>
  </si>
  <si>
    <t>January 08, 2017 at 12:07PM</t>
  </si>
  <si>
    <t>January 09, 2017 at 01:40PM</t>
  </si>
  <si>
    <t>January 13, 2017 at 06:31PM</t>
  </si>
  <si>
    <t>January 14, 2017 at 10:20AM</t>
  </si>
  <si>
    <t>January 14, 2017 at 03:17PM</t>
  </si>
  <si>
    <t>January 16, 2017 at 04:31PM</t>
  </si>
  <si>
    <t>January 19, 2017 at 11:40AM</t>
  </si>
  <si>
    <t>January 19, 2017 at 01:45PM</t>
  </si>
  <si>
    <t>January 21, 2017 at 02:02PM</t>
  </si>
  <si>
    <t>January 21, 2017 at 06:42PM</t>
  </si>
  <si>
    <t>January 24, 2017 at 09:27AM</t>
  </si>
  <si>
    <t>January 24, 2017 at 11:44AM</t>
  </si>
  <si>
    <t>January 24, 2017 at 12:40PM</t>
  </si>
  <si>
    <t>January 24, 2017 at 02:40PM</t>
  </si>
  <si>
    <t>January 24, 2017 at 05:22PM</t>
  </si>
  <si>
    <t>January 28, 2017 at 01:15PM</t>
  </si>
  <si>
    <t>January 28, 2017 at 01:35PM</t>
  </si>
  <si>
    <t>January 29, 2017 at 08:16PM</t>
  </si>
  <si>
    <t>February 01, 2017 at 01:55PM</t>
  </si>
  <si>
    <t>February 02, 2017 at 10:08AM</t>
  </si>
  <si>
    <t>February 02, 2017 at 10:39AM</t>
  </si>
  <si>
    <t>February 03, 2017 at 06:01PM</t>
  </si>
  <si>
    <t>February 04, 2017 at 02:17PM</t>
  </si>
  <si>
    <t>February 05, 2017 at 10:52AM</t>
  </si>
  <si>
    <t>February 07, 2017 at 02:19PM</t>
  </si>
  <si>
    <t>February 10, 2017 at 06:18PM</t>
  </si>
  <si>
    <t>February 11, 2017 at 08:51AM</t>
  </si>
  <si>
    <t>February 11, 2017 at 01:01PM</t>
  </si>
  <si>
    <t>February 11, 2017 at 02:38PM</t>
  </si>
  <si>
    <t>February 11, 2017 at 02:57PM</t>
  </si>
  <si>
    <t>February 11, 2017 at 06:57PM</t>
  </si>
  <si>
    <t>February 12, 2017 at 09:46AM</t>
  </si>
  <si>
    <t>February 12, 2017 at 01:07PM</t>
  </si>
  <si>
    <t>February 12, 2017 at 06:29PM</t>
  </si>
  <si>
    <t>February 12, 2017 at 07:21PM</t>
  </si>
  <si>
    <t>February 13, 2017 at 11:15AM</t>
  </si>
  <si>
    <t>February 13, 2017 at 11:27AM</t>
  </si>
  <si>
    <t>February 13, 2017 at 03:37PM</t>
  </si>
  <si>
    <t>February 13, 2017 at 04:47PM</t>
  </si>
  <si>
    <t>February 13, 2017 at 05:48PM</t>
  </si>
  <si>
    <t>February 18, 2017 at 04:55PM</t>
  </si>
  <si>
    <t>February 19, 2017 at 09:03AM</t>
  </si>
  <si>
    <t>February 19, 2017 at 11:59AM</t>
  </si>
  <si>
    <t>February 20, 2017 at 05:51PM</t>
  </si>
  <si>
    <t>February 27, 2017 at 04:47PM</t>
  </si>
  <si>
    <t>February 28, 2017 at 05:02PM</t>
  </si>
  <si>
    <t>March 02, 2017 at 05:42PM</t>
  </si>
  <si>
    <t>March 08, 2017 at 04:39PM</t>
  </si>
  <si>
    <t>March 10, 2017 at 05:51PM</t>
  </si>
  <si>
    <t>March 11, 2017 at 07:33PM</t>
  </si>
  <si>
    <t>March 12, 2017 at 01:16PM</t>
  </si>
  <si>
    <t>March 13, 2017 at 05:02PM</t>
  </si>
  <si>
    <t>March 15, 2017 at 04:16PM</t>
  </si>
  <si>
    <t>March 16, 2017 at 04:35PM</t>
  </si>
  <si>
    <t>March 17, 2017 at 05:57PM</t>
  </si>
  <si>
    <t>March 19, 2017 at 10:28AM</t>
  </si>
  <si>
    <t>March 19, 2017 at 03:03PM</t>
  </si>
  <si>
    <t>March 19, 2017 at 05:43PM</t>
  </si>
  <si>
    <t>March 21, 2017 at 04:49PM</t>
  </si>
  <si>
    <t>March 22, 2017 at 04:44PM</t>
  </si>
  <si>
    <t>March 23, 2017 at 12:48PM</t>
  </si>
  <si>
    <t>March 30, 2017 at 05:58PM</t>
  </si>
  <si>
    <t>April 01, 2017 at 03:43PM</t>
  </si>
  <si>
    <t>April 03, 2017 at 12:56PM</t>
  </si>
  <si>
    <t>April 03, 2017 at 06:32PM</t>
  </si>
  <si>
    <t>April 05, 2017 at 02:17PM</t>
  </si>
  <si>
    <t>April 08, 2017 at 05:05PM</t>
  </si>
  <si>
    <t>April 11, 2017 at 02:07PM</t>
  </si>
  <si>
    <t>April 12, 2017 at 10:25AM</t>
  </si>
  <si>
    <t>April 12, 2017 at 07:48PM</t>
  </si>
  <si>
    <t>April 15, 2017 at 06:47PM</t>
  </si>
  <si>
    <t>April 18, 2017 at 07:15PM</t>
  </si>
  <si>
    <t>April 20, 2017 at 01:11PM</t>
  </si>
  <si>
    <t>April 21, 2017 at 05:24PM</t>
  </si>
  <si>
    <t>April 22, 2017 at 12:44PM</t>
  </si>
  <si>
    <t>April 22, 2017 at 06:28PM</t>
  </si>
  <si>
    <t>April 22, 2017 at 07:07PM</t>
  </si>
  <si>
    <t>April 24, 2017 at 01:24PM</t>
  </si>
  <si>
    <t>April 25, 2017 at 03:45PM</t>
  </si>
  <si>
    <t>April 28, 2017 at 03:51PM</t>
  </si>
  <si>
    <t>April 28, 2017 at 05:47PM</t>
  </si>
  <si>
    <t>May 01, 2017 at 12:22PM</t>
  </si>
  <si>
    <t>May 02, 2017 at 12:50PM</t>
  </si>
  <si>
    <t>May 02, 2017 at 04:19PM</t>
  </si>
  <si>
    <t>May 04, 2017 at 12:46PM</t>
  </si>
  <si>
    <t>May 05, 2017 at 07:25PM</t>
  </si>
  <si>
    <t>May 10, 2017 at 03:19PM</t>
  </si>
  <si>
    <t>May 12, 2017 at 04:00PM</t>
  </si>
  <si>
    <t>May 13, 2017 at 10:38AM</t>
  </si>
  <si>
    <t>May 13, 2017 at 12:39PM</t>
  </si>
  <si>
    <t>May 14, 2017 at 04:15PM</t>
  </si>
  <si>
    <t>May 17, 2017 at 04:50PM</t>
  </si>
  <si>
    <t>May 18, 2017 at 12:12PM</t>
  </si>
  <si>
    <t>May 18, 2017 at 04:31PM</t>
  </si>
  <si>
    <t>May 19, 2017 at 04:50PM</t>
  </si>
  <si>
    <t>May 20, 2017 at 12:23PM</t>
  </si>
  <si>
    <t>May 20, 2017 at 06:48PM</t>
  </si>
  <si>
    <t>May 21, 2017 at 12:26PM</t>
  </si>
  <si>
    <t>May 22, 2017 at 06:32PM</t>
  </si>
  <si>
    <t>May 25, 2017 at 04:17PM</t>
  </si>
  <si>
    <t>May 26, 2017 at 02:12PM</t>
  </si>
  <si>
    <t>May 26, 2017 at 06:43PM</t>
  </si>
  <si>
    <t>May 27, 2017 at 12:35PM</t>
  </si>
  <si>
    <t>May 31, 2017 at 03:43PM</t>
  </si>
  <si>
    <t>June 01, 2017 at 02:11PM</t>
  </si>
  <si>
    <t>June 03, 2017 at 12:35PM</t>
  </si>
  <si>
    <t>June 04, 2017 at 06:03PM</t>
  </si>
  <si>
    <t>June 05, 2017 at 06:32PM</t>
  </si>
  <si>
    <t>June 07, 2017 at 04:27PM</t>
  </si>
  <si>
    <t>June 09, 2017 at 06:49PM</t>
  </si>
  <si>
    <t>June 11, 2017 at 12:31PM</t>
  </si>
  <si>
    <t>June 13, 2017 at 12:27PM</t>
  </si>
  <si>
    <t>June 14, 2017 at 01:14PM</t>
  </si>
  <si>
    <t>June 17, 2017 at 03:31PM</t>
  </si>
  <si>
    <t>June 17, 2017 at 07:19PM</t>
  </si>
  <si>
    <t>June 19, 2017 at 12:50PM</t>
  </si>
  <si>
    <t>June 20, 2017 at 01:42PM</t>
  </si>
  <si>
    <t>June 21, 2017 at 05:59PM</t>
  </si>
  <si>
    <t>June 21, 2017 at 09:34PM</t>
  </si>
  <si>
    <t>June 22, 2017 at 05:59AM</t>
  </si>
  <si>
    <t>June 22, 2017 at 11:51PM</t>
  </si>
  <si>
    <t>June 23, 2017 at 01:55AM</t>
  </si>
  <si>
    <t>June 23, 2017 at 09:05PM</t>
  </si>
  <si>
    <t>June 23, 2017 at 09:25PM</t>
  </si>
  <si>
    <t>June 24, 2017 at 07:35PM</t>
  </si>
  <si>
    <t>June 24, 2017 at 09:00PM</t>
  </si>
  <si>
    <t>June 24, 2017 at 10:15PM</t>
  </si>
  <si>
    <t>June 25, 2017 at 01:54AM</t>
  </si>
  <si>
    <t>June 25, 2017 at 04:54AM</t>
  </si>
  <si>
    <t>June 25, 2017 at 05:15AM</t>
  </si>
  <si>
    <t>June 25, 2017 at 05:38AM</t>
  </si>
  <si>
    <t>June 25, 2017 at 07:10PM</t>
  </si>
  <si>
    <t>June 25, 2017 at 07:33PM</t>
  </si>
  <si>
    <t>June 26, 2017 at 12:05AM</t>
  </si>
  <si>
    <t>June 26, 2017 at 01:34AM</t>
  </si>
  <si>
    <t>June 26, 2017 at 03:57AM</t>
  </si>
  <si>
    <t>June 26, 2017 at 07:29AM</t>
  </si>
  <si>
    <t>June 26, 2017 at 09:34AM</t>
  </si>
  <si>
    <t>June 27, 2017 at 01:26AM</t>
  </si>
  <si>
    <t>June 27, 2017 at 02:57AM</t>
  </si>
  <si>
    <t>June 27, 2017 at 03:57AM</t>
  </si>
  <si>
    <t>June 27, 2017 at 05:01AM</t>
  </si>
  <si>
    <t>June 27, 2017 at 07:14AM</t>
  </si>
  <si>
    <t>June 27, 2017 at 07:36PM</t>
  </si>
  <si>
    <t>June 28, 2017 at 12:05AM</t>
  </si>
  <si>
    <t>June 28, 2017 at 12:06AM</t>
  </si>
  <si>
    <t>June 28, 2017 at 01:02AM</t>
  </si>
  <si>
    <t>June 28, 2017 at 04:18AM</t>
  </si>
  <si>
    <t>June 28, 2017 at 07:07AM</t>
  </si>
  <si>
    <t>June 28, 2017 at 09:42AM</t>
  </si>
  <si>
    <t>June 28, 2017 at 09:16PM</t>
  </si>
  <si>
    <t>June 28, 2017 at 10:01PM</t>
  </si>
  <si>
    <t>June 28, 2017 at 11:05PM</t>
  </si>
  <si>
    <t>June 28, 2017 at 11:37PM</t>
  </si>
  <si>
    <t>June 28, 2017 at 11:58PM</t>
  </si>
  <si>
    <t>June 29, 2017 at 01:29AM</t>
  </si>
  <si>
    <t>June 29, 2017 at 03:54AM</t>
  </si>
  <si>
    <t>June 29, 2017 at 11:19PM</t>
  </si>
  <si>
    <t>June 30, 2017 at 01:16AM</t>
  </si>
  <si>
    <t>June 30, 2017 at 02:24AM</t>
  </si>
  <si>
    <t>June 30, 2017 at 05:51AM</t>
  </si>
  <si>
    <t>June 30, 2017 at 09:34AM</t>
  </si>
  <si>
    <t>June 30, 2017 at 06:27PM</t>
  </si>
  <si>
    <t>June 30, 2017 at 07:10PM</t>
  </si>
  <si>
    <t>July 01, 2017 at 12:23AM</t>
  </si>
  <si>
    <t>July 02, 2017 at 04:20AM</t>
  </si>
  <si>
    <t>July 02, 2017 at 06:05AM</t>
  </si>
  <si>
    <t>July 02, 2017 at 10:09PM</t>
  </si>
  <si>
    <t>July 03, 2017 at 01:11AM</t>
  </si>
  <si>
    <t>July 03, 2017 at 03:00AM</t>
  </si>
  <si>
    <t>July 04, 2017 at 06:12AM</t>
  </si>
  <si>
    <t>July 04, 2017 at 07:35AM</t>
  </si>
  <si>
    <t>July 06, 2017 at 12:23AM</t>
  </si>
  <si>
    <t>July 06, 2017 at 12:53AM</t>
  </si>
  <si>
    <t>July 06, 2017 at 04:38AM</t>
  </si>
  <si>
    <t>July 06, 2017 at 05:51AM</t>
  </si>
  <si>
    <t>July 06, 2017 at 09:39PM</t>
  </si>
  <si>
    <t>July 06, 2017 at 11:16PM</t>
  </si>
  <si>
    <t>July 08, 2017 at 12:30AM</t>
  </si>
  <si>
    <t>July 08, 2017 at 04:47AM</t>
  </si>
  <si>
    <t>July 08, 2017 at 06:35AM</t>
  </si>
  <si>
    <t>July 08, 2017 at 06:53AM</t>
  </si>
  <si>
    <t>July 08, 2017 at 09:25PM</t>
  </si>
  <si>
    <t>July 08, 2017 at 09:34PM</t>
  </si>
  <si>
    <t>July 08, 2017 at 10:51PM</t>
  </si>
  <si>
    <t>July 09, 2017 at 03:22AM</t>
  </si>
  <si>
    <t>July 09, 2017 at 04:23AM</t>
  </si>
  <si>
    <t>July 10, 2017 at 01:26AM</t>
  </si>
  <si>
    <t>July 10, 2017 at 11:15PM</t>
  </si>
  <si>
    <t>July 12, 2017 at 08:41AM</t>
  </si>
  <si>
    <t>July 13, 2017 at 12:00AM</t>
  </si>
  <si>
    <t>July 13, 2017 at 10:06PM</t>
  </si>
  <si>
    <t>July 13, 2017 at 11:03PM</t>
  </si>
  <si>
    <t>July 14, 2017 at 12:30AM</t>
  </si>
  <si>
    <t>July 14, 2017 at 12:52AM</t>
  </si>
  <si>
    <t>July 15, 2017 at 07:13AM</t>
  </si>
  <si>
    <t>July 16, 2017 at 03:32AM</t>
  </si>
  <si>
    <t>July 16, 2017 at 03:46AM</t>
  </si>
  <si>
    <t>July 16, 2017 at 10:44AM</t>
  </si>
  <si>
    <t>July 17, 2017 at 12:08AM</t>
  </si>
  <si>
    <t>July 18, 2017 at 04:57AM</t>
  </si>
  <si>
    <t>July 18, 2017 at 07:57AM</t>
  </si>
  <si>
    <t>July 18, 2017 at 10:49PM</t>
  </si>
  <si>
    <t>July 19, 2017 at 12:43AM</t>
  </si>
  <si>
    <t>July 19, 2017 at 08:28AM</t>
  </si>
  <si>
    <t>July 19, 2017 at 07:58PM</t>
  </si>
  <si>
    <t>July 19, 2017 at 11:34PM</t>
  </si>
  <si>
    <t>July 19, 2017 at 11:58PM</t>
  </si>
  <si>
    <t>July 20, 2017 at 11:44PM</t>
  </si>
  <si>
    <t>July 21, 2017 at 12:52AM</t>
  </si>
  <si>
    <t>July 21, 2017 at 02:02AM</t>
  </si>
  <si>
    <t>July 21, 2017 at 02:18AM</t>
  </si>
  <si>
    <t>July 23, 2017 at 06:46AM</t>
  </si>
  <si>
    <t>July 24, 2017 at 02:29AM</t>
  </si>
  <si>
    <t>July 24, 2017 at 03:07AM</t>
  </si>
  <si>
    <t>July 25, 2017 at 03:02AM</t>
  </si>
  <si>
    <t>July 26, 2017 at 04:18AM</t>
  </si>
  <si>
    <t>July 31, 2017 at 03:11AM</t>
  </si>
  <si>
    <t>August 01, 2017 at 01:26AM</t>
  </si>
  <si>
    <t>August 01, 2017 at 02:38AM</t>
  </si>
  <si>
    <t>August 01, 2017 at 02:58AM</t>
  </si>
  <si>
    <t>August 01, 2017 at 09:31PM</t>
  </si>
  <si>
    <t>August 01, 2017 at 10:23PM</t>
  </si>
  <si>
    <t>August 02, 2017 at 02:37PM</t>
  </si>
  <si>
    <t>August 02, 2017 at 10:32PM</t>
  </si>
  <si>
    <t>August 06, 2017 at 05:36PM</t>
  </si>
  <si>
    <t>August 07, 2017 at 12:41PM</t>
  </si>
  <si>
    <t>August 09, 2017 at 11:17AM</t>
  </si>
  <si>
    <t>August 09, 2017 at 12:47PM</t>
  </si>
  <si>
    <t>August 11, 2017 at 05:05PM</t>
  </si>
  <si>
    <t>August 12, 2017 at 09:35AM</t>
  </si>
  <si>
    <t>August 12, 2017 at 11:53AM</t>
  </si>
  <si>
    <t>August 12, 2017 at 04:26PM</t>
  </si>
  <si>
    <t>August 13, 2017 at 12:39PM</t>
  </si>
  <si>
    <t>August 13, 2017 at 02:35PM</t>
  </si>
  <si>
    <t>August 16, 2017 at 07:21PM</t>
  </si>
  <si>
    <t>August 17, 2017 at 12:20PM</t>
  </si>
  <si>
    <t>August 18, 2017 at 10:32AM</t>
  </si>
  <si>
    <t>August 18, 2017 at 11:12AM</t>
  </si>
  <si>
    <t>August 18, 2017 at 12:41PM</t>
  </si>
  <si>
    <t>August 18, 2017 at 06:28PM</t>
  </si>
  <si>
    <t>August 20, 2017 at 10:55AM</t>
  </si>
  <si>
    <t>August 21, 2017 at 08:07AM</t>
  </si>
  <si>
    <t>August 21, 2017 at 11:14AM</t>
  </si>
  <si>
    <t>August 30, 2017 at 12:23PM</t>
  </si>
  <si>
    <t>September 04, 2017 at 02:10PM</t>
  </si>
  <si>
    <t>September 08, 2017 at 01:55PM</t>
  </si>
  <si>
    <t>September 09, 2017 at 07:46PM</t>
  </si>
  <si>
    <t>September 11, 2017 at 12:36PM</t>
  </si>
  <si>
    <t>September 13, 2017 at 03:27PM</t>
  </si>
  <si>
    <t>September 15, 2017 at 12:31PM</t>
  </si>
  <si>
    <t>September 15, 2017 at 03:23PM</t>
  </si>
  <si>
    <t>September 15, 2017 at 04:51PM</t>
  </si>
  <si>
    <t>September 15, 2017 at 05:20PM</t>
  </si>
  <si>
    <t>September 15, 2017 at 09:17PM</t>
  </si>
  <si>
    <t>September 16, 2017 at 11:31AM</t>
  </si>
  <si>
    <t>September 16, 2017 at 01:27PM</t>
  </si>
  <si>
    <t>September 16, 2017 at 05:09PM</t>
  </si>
  <si>
    <t>September 16, 2017 at 10:16PM</t>
  </si>
  <si>
    <t>September 17, 2017 at 10:39AM</t>
  </si>
  <si>
    <t>Random Date</t>
  </si>
  <si>
    <t>and</t>
  </si>
  <si>
    <t>Random Place</t>
  </si>
  <si>
    <t>Random</t>
  </si>
  <si>
    <t>ConCat</t>
  </si>
  <si>
    <t>September 17, 2017 at 01:54PM</t>
  </si>
  <si>
    <t>September 17, 2017 at 07:39PM</t>
  </si>
  <si>
    <t>September 17, 2017 at 11:52PM</t>
  </si>
  <si>
    <t>September 18, 2017 at 04:49PM</t>
  </si>
  <si>
    <t>September 18, 2017 at 08:13PM</t>
  </si>
  <si>
    <t>September 20, 2017 at 12:41PM</t>
  </si>
  <si>
    <t>September 22, 2017 at 07:29PM</t>
  </si>
  <si>
    <t>September 24, 2017 at 01:35PM</t>
  </si>
  <si>
    <t>September 28, 2017 at 04:51PM</t>
  </si>
  <si>
    <t>September 30, 2017 at 02:04PM</t>
  </si>
  <si>
    <t>September 30, 2017 at 02:21PM</t>
  </si>
  <si>
    <t>September 30, 2017 at 08:16PM</t>
  </si>
  <si>
    <t>October 02, 2017 at 06:35PM</t>
  </si>
  <si>
    <t>October 04, 2017 at 12:45PM</t>
  </si>
  <si>
    <t>October 05, 2017 at 04:03PM</t>
  </si>
  <si>
    <t>October 08, 2017 at 12:58PM</t>
  </si>
  <si>
    <t>October 08, 2017 at 02:55PM</t>
  </si>
  <si>
    <t>October 08, 2017 at 04:08PM</t>
  </si>
  <si>
    <t>October 08, 2017 at 06:55PM</t>
  </si>
  <si>
    <t>October 09, 2017 at 12:37PM</t>
  </si>
  <si>
    <t>October 12, 2017 at 02:11PM</t>
  </si>
  <si>
    <t>October 13, 2017 at 10:57AM</t>
  </si>
  <si>
    <t>October 13, 2017 at 02:55PM</t>
  </si>
  <si>
    <t>October 13, 2017 at 05:56PM</t>
  </si>
  <si>
    <t>October 14, 2017 at 09:38AM</t>
  </si>
  <si>
    <t>October 14, 2017 at 01:36PM</t>
  </si>
  <si>
    <t>October 14, 2017 at 02:42PM</t>
  </si>
  <si>
    <t>October 14, 2017 at 03:02PM</t>
  </si>
  <si>
    <t>October 16, 2017 at 01:32PM</t>
  </si>
  <si>
    <t>October 17, 2017 at 04:32PM</t>
  </si>
  <si>
    <t>October 18, 2017 at 03:25PM</t>
  </si>
  <si>
    <t>October 18, 2017 at 05:03PM</t>
  </si>
  <si>
    <t>October 21, 2017 at 10:33AM</t>
  </si>
  <si>
    <t>October 24, 2017 at 01:06PM</t>
  </si>
  <si>
    <t>October 25, 2017 at 04:40PM</t>
  </si>
  <si>
    <t>October 25, 2017 at 06:47PM</t>
  </si>
  <si>
    <t>October 26, 2017 at 09:59AM</t>
  </si>
  <si>
    <t>October 27, 2017 at 01:44PM</t>
  </si>
  <si>
    <t>October 30, 2017 at 06:00PM</t>
  </si>
  <si>
    <t>November 02, 2017 at 06:06PM</t>
  </si>
  <si>
    <t>November 03, 2017 at 02:02PM</t>
  </si>
  <si>
    <t>November 04, 2017 at 10:45AM</t>
  </si>
  <si>
    <t>November 05, 2017 at 02:25PM</t>
  </si>
  <si>
    <t>November 05, 2017 at 08:08PM</t>
  </si>
  <si>
    <t>November 07, 2017 at 06:06PM</t>
  </si>
  <si>
    <t>November 14, 2017 at 01:02PM</t>
  </si>
  <si>
    <t>November 17, 2017 at 06:23PM</t>
  </si>
  <si>
    <t>November 18, 2017 at 08:48AM</t>
  </si>
  <si>
    <t>November 18, 2017 at 12:32PM</t>
  </si>
  <si>
    <t>November 18, 2017 at 04:53PM</t>
  </si>
  <si>
    <t>November 22, 2017 at 01:08PM</t>
  </si>
  <si>
    <t>November 25, 2017 at 04:43PM</t>
  </si>
  <si>
    <t>November 26, 2017 at 12:35PM</t>
  </si>
  <si>
    <t>November 30, 2017 at 04:44PM</t>
  </si>
  <si>
    <t>November 30, 2017 at 09:52PM</t>
  </si>
  <si>
    <t>December 01, 2017 at 09:11AM</t>
  </si>
  <si>
    <t>December 02, 2017 at 01:08PM</t>
  </si>
  <si>
    <t>December 02, 2017 at 05:58PM</t>
  </si>
  <si>
    <t>December 02, 2017 at 06:40PM</t>
  </si>
  <si>
    <t>December 03, 2017 at 10:22AM</t>
  </si>
  <si>
    <t>December 03, 2017 at 03:49PM</t>
  </si>
  <si>
    <t>December 04, 2017 at 09:26AM</t>
  </si>
  <si>
    <t>December 05, 2017 at 09:41AM</t>
  </si>
  <si>
    <t>December 05, 2017 at 03:20PM</t>
  </si>
  <si>
    <t>December 05, 2017 at 06:26PM</t>
  </si>
  <si>
    <t>December 06, 2017 at 06:29PM</t>
  </si>
  <si>
    <t>December 07, 2017 at 12:56PM</t>
  </si>
  <si>
    <t>December 07, 2017 at 04:40PM</t>
  </si>
  <si>
    <t>December 08, 2017 at 03:47PM</t>
  </si>
  <si>
    <t>December 09, 2017 at 12:23PM</t>
  </si>
  <si>
    <t>December 09, 2017 at 03:26PM</t>
  </si>
  <si>
    <t>December 09, 2017 at 04:41PM</t>
  </si>
  <si>
    <t>December 10, 2017 at 07:43AM</t>
  </si>
  <si>
    <t>December 10, 2017 at 09:59AM</t>
  </si>
  <si>
    <t>December 10, 2017 at 06:50PM</t>
  </si>
  <si>
    <t>December 10, 2017 at 06:53PM</t>
  </si>
  <si>
    <t>December 10, 2017 at 09:44PM</t>
  </si>
  <si>
    <t>December 11, 2017 at 08:19AM</t>
  </si>
  <si>
    <t>December 11, 2017 at 12:31PM</t>
  </si>
  <si>
    <t>December 11, 2017 at 01:06PM</t>
  </si>
  <si>
    <t>December 11, 2017 at 02:14PM</t>
  </si>
  <si>
    <t>December 11, 2017 at 04:42PM</t>
  </si>
  <si>
    <t>December 11, 2017 at 08:17PM</t>
  </si>
  <si>
    <t>December 16, 2017 at 07:01PM</t>
  </si>
  <si>
    <t>December 18, 2017 at 08:07PM</t>
  </si>
  <si>
    <t>December 19, 2017 at 01:09PM</t>
  </si>
  <si>
    <t>December 19, 2017 at 05:16PM</t>
  </si>
  <si>
    <t>December 23, 2017 at 04:36PM</t>
  </si>
  <si>
    <t>December 23, 2017 at 08:01PM</t>
  </si>
  <si>
    <t>December 24, 2017 at 08:55AM</t>
  </si>
  <si>
    <t>December 27, 2017 at 06:16PM</t>
  </si>
  <si>
    <t>January 01, 2018 at 01:41PM</t>
  </si>
  <si>
    <t>January 01, 2018 at 03:00PM</t>
  </si>
  <si>
    <t>January 01, 2018 at 08:37PM</t>
  </si>
  <si>
    <t>January 01, 2018 at 08:38PM</t>
  </si>
  <si>
    <t>January 01, 2018 at 10:12PM</t>
  </si>
  <si>
    <t>January 02, 2018 at 10:23AM</t>
  </si>
  <si>
    <t>January 02, 2018 at 07:17PM</t>
  </si>
  <si>
    <t>January 04, 2018 at 08:25AM</t>
  </si>
  <si>
    <t>January 04, 2018 at 07:12PM</t>
  </si>
  <si>
    <t>January 06, 2018 at 10:58AM</t>
  </si>
  <si>
    <t>January 06, 2018 at 12:06PM</t>
  </si>
  <si>
    <t>January 06, 2018 at 06:42PM</t>
  </si>
  <si>
    <t>January 07, 2018 at 12:23PM</t>
  </si>
  <si>
    <t>January 07, 2018 at 04:41PM</t>
  </si>
  <si>
    <t>January 09, 2018 at 01:52PM</t>
  </si>
  <si>
    <t>January 12, 2018 at 05:38PM</t>
  </si>
  <si>
    <t>January 13, 2018 at 10:00AM</t>
  </si>
  <si>
    <t>January 13, 2018 at 01:03PM</t>
  </si>
  <si>
    <t>January 21, 2018 at 06:38PM</t>
  </si>
  <si>
    <t>January 25, 2018 at 01:21PM</t>
  </si>
  <si>
    <t>January 25, 2018 at 07:05PM</t>
  </si>
  <si>
    <t>January 26, 2018 at 03:48PM</t>
  </si>
  <si>
    <t>January 28, 2018 at 02:04PM</t>
  </si>
  <si>
    <t>February 01, 2018 at 04:10PM</t>
  </si>
  <si>
    <t>February 02, 2018 at 08:38PM</t>
  </si>
  <si>
    <t>February 03, 2018 at 12:24PM</t>
  </si>
  <si>
    <t>February 03, 2018 at 03:36PM</t>
  </si>
  <si>
    <t>February 04, 2018 at 06:55PM</t>
  </si>
  <si>
    <t>February 05, 2018 at 12:55PM</t>
  </si>
  <si>
    <t>February 07, 2018 at 12:12PM</t>
  </si>
  <si>
    <t>February 09, 2018 at 07:44PM</t>
  </si>
  <si>
    <t>February 10, 2018 at 08:40AM</t>
  </si>
  <si>
    <t>February 10, 2018 at 07:42PM</t>
  </si>
  <si>
    <t>February 11, 2018 at 03:22PM</t>
  </si>
  <si>
    <t>February 11, 2018 at 03:54PM</t>
  </si>
  <si>
    <t>February 12, 2018 at 08:45AM</t>
  </si>
  <si>
    <t>February 12, 2018 at 12:57PM</t>
  </si>
  <si>
    <t>February 12, 2018 at 02:35PM</t>
  </si>
  <si>
    <t>February 12, 2018 at 11:11PM</t>
  </si>
  <si>
    <t>February 12, 2018 at 11:44PM</t>
  </si>
  <si>
    <t>February 13, 2018 at 12:25PM</t>
  </si>
  <si>
    <t>February 13, 2018 at 07:58PM</t>
  </si>
  <si>
    <t>February 14, 2018 at 08:03AM</t>
  </si>
  <si>
    <t>February 14, 2018 at 08:04AM</t>
  </si>
  <si>
    <t>February 14, 2018 at 08:24AM</t>
  </si>
  <si>
    <t>February 14, 2018 at 11:14AM</t>
  </si>
  <si>
    <t>February 14, 2018 at 03:28PM</t>
  </si>
  <si>
    <t>February 14, 2018 at 04:11PM</t>
  </si>
  <si>
    <t>February 14, 2018 at 04:24PM</t>
  </si>
  <si>
    <t>February 14, 2018 at 05:33PM</t>
  </si>
  <si>
    <t>February 14, 2018 at 06:32PM</t>
  </si>
  <si>
    <t>February 15, 2018 at 01:13PM</t>
  </si>
  <si>
    <t>February 15, 2018 at 06:06PM</t>
  </si>
  <si>
    <t>February 16, 2018 at 09:47AM</t>
  </si>
  <si>
    <t>February 16, 2018 at 09:51AM</t>
  </si>
  <si>
    <t>February 16, 2018 at 06:59PM</t>
  </si>
  <si>
    <t>February 17, 2018 at 07:30PM</t>
  </si>
  <si>
    <t>February 19, 2018 at 01:16PM</t>
  </si>
  <si>
    <t>February 21, 2018 at 03:11PM</t>
  </si>
  <si>
    <t>February 23, 2018 at 12:55PM</t>
  </si>
  <si>
    <t>February 25, 2018 at 05:38PM</t>
  </si>
  <si>
    <t>February 25, 2018 at 05:52PM</t>
  </si>
  <si>
    <t>Grand Opening</t>
  </si>
  <si>
    <t>February 26, 2018 at 01:54PM</t>
  </si>
  <si>
    <t>February 28, 2018 at 09:20AM</t>
  </si>
  <si>
    <t>February 28, 2018 at 09:21AM</t>
  </si>
  <si>
    <t>March 02, 2018 at 01:54PM</t>
  </si>
  <si>
    <t>March 03, 2018 at 03:14PM</t>
  </si>
  <si>
    <t>March 04, 2018 at 08:52AM</t>
  </si>
  <si>
    <t>March 04, 2018 at 10:27AM</t>
  </si>
  <si>
    <t>March 06, 2018 at 02:03PM</t>
  </si>
  <si>
    <t>March 10, 2018 at 01:47PM</t>
  </si>
  <si>
    <t>March 10, 2018 at 07:41PM</t>
  </si>
  <si>
    <t>March 12, 2018 at 06:44PM</t>
  </si>
  <si>
    <t>March 13, 2018 at 12:59PM</t>
  </si>
  <si>
    <t>March 14, 2018 at 06:02PM</t>
  </si>
  <si>
    <t>March 16, 2018 at 04:32PM</t>
  </si>
  <si>
    <t>March 16, 2018 at 07:26PM</t>
  </si>
  <si>
    <t>March 16, 2018 at 08:37PM</t>
  </si>
  <si>
    <t>March 17, 2018 at 12:40PM</t>
  </si>
  <si>
    <t>March 17, 2018 at 02:54PM</t>
  </si>
  <si>
    <t>March 17, 2018 at 04:43PM</t>
  </si>
  <si>
    <t>March 18, 2018 at 08:46AM</t>
  </si>
  <si>
    <t>March 18, 2018 at 10:56AM</t>
  </si>
  <si>
    <t>March 18, 2018 at 12:06PM</t>
  </si>
  <si>
    <t>March 18, 2018 at 02:30PM</t>
  </si>
  <si>
    <t>March 18, 2018 at 08:15PM</t>
  </si>
  <si>
    <t>March 19, 2018 at 08:43AM</t>
  </si>
  <si>
    <t>March 19, 2018 at 10:55AM</t>
  </si>
  <si>
    <t>March 19, 2018 at 12:34PM</t>
  </si>
  <si>
    <t>March 19, 2018 at 05:37PM</t>
  </si>
  <si>
    <t>March 19, 2018 at 06:04PM</t>
  </si>
  <si>
    <t>March 19, 2018 at 08:34PM</t>
  </si>
  <si>
    <t>March 20, 2018 at 12:23PM</t>
  </si>
  <si>
    <t>March 20, 2018 at 03:21PM</t>
  </si>
  <si>
    <t>March 20, 2018 at 08:51PM</t>
  </si>
  <si>
    <t>March 21, 2018 at 12:24PM</t>
  </si>
  <si>
    <t>March 21, 2018 at 12:56PM</t>
  </si>
  <si>
    <t>March 21, 2018 at 01:48PM</t>
  </si>
  <si>
    <t>March 22, 2018 at 08:17AM</t>
  </si>
  <si>
    <t>March 22, 2018 at 10:17AM</t>
  </si>
  <si>
    <t>March 22, 2018 at 12:39PM</t>
  </si>
  <si>
    <t>March 22, 2018 at 01:12PM</t>
  </si>
  <si>
    <t>March 22, 2018 at 03:02PM</t>
  </si>
  <si>
    <t>March 24, 2018 at 12:59PM</t>
  </si>
  <si>
    <t>March 25, 2018 at 01:25PM</t>
  </si>
  <si>
    <t>March 25, 2018 at 06:02PM</t>
  </si>
  <si>
    <t>March 26, 2018 at 12:54PM</t>
  </si>
  <si>
    <t>March 27, 2018 at 04:56PM</t>
  </si>
  <si>
    <t>March 31, 2018 at 10:44AM</t>
  </si>
  <si>
    <t>March 31, 2018 at 04:52PM</t>
  </si>
  <si>
    <t>April 01, 2018 at 06:21PM</t>
  </si>
  <si>
    <t>April 05, 2018 at 03:08PM</t>
  </si>
  <si>
    <t>April 05, 2018 at 05:22PM</t>
  </si>
  <si>
    <t>April 05, 2018 at 06:26PM</t>
  </si>
  <si>
    <t>April 06, 2018 at 09:22AM</t>
  </si>
  <si>
    <t>April 06, 2018 at 03:15PM</t>
  </si>
  <si>
    <t>April 07, 2018 at 05:06AM</t>
  </si>
  <si>
    <t>April 07, 2018 at 07:26AM</t>
  </si>
  <si>
    <t>April 07, 2018 at 08:08AM</t>
  </si>
  <si>
    <t>April 07, 2018 at 09:50AM</t>
  </si>
  <si>
    <t>April 07, 2018 at 10:37AM</t>
  </si>
  <si>
    <t>April 07, 2018 at 05:38PM</t>
  </si>
  <si>
    <t>April 08, 2018 at 06:47PM</t>
  </si>
  <si>
    <t>April 09, 2018 at 10:25AM</t>
  </si>
  <si>
    <t>April 10, 2018 at 11:21AM</t>
  </si>
  <si>
    <t>April 10, 2018 at 01:00PM</t>
  </si>
  <si>
    <t>April 10, 2018 at 04:05PM</t>
  </si>
  <si>
    <t>April 12, 2018 at 09:06PM</t>
  </si>
  <si>
    <t>April 15, 2018 at 08:55AM</t>
  </si>
  <si>
    <t>April 15, 2018 at 07:20PM</t>
  </si>
  <si>
    <t>April 16, 2018 at 04:56PM</t>
  </si>
  <si>
    <t>April 16, 2018 at 06:35PM</t>
  </si>
  <si>
    <t>April 17, 2018 at 09:43AM</t>
  </si>
  <si>
    <t>April 17, 2018 at 11:05AM</t>
  </si>
  <si>
    <t>April 17, 2018 at 12:43PM</t>
  </si>
  <si>
    <t>April 17, 2018 at 03:56PM</t>
  </si>
  <si>
    <t>April 18, 2018 at 08:42PM</t>
  </si>
  <si>
    <t>April 20, 2018 at 08:24AM</t>
  </si>
  <si>
    <t>April 20, 2018 at 12:35PM</t>
  </si>
  <si>
    <t>April 21, 2018 at 06:14AM</t>
  </si>
  <si>
    <t>April 21, 2018 at 06:37AM</t>
  </si>
  <si>
    <t>April 21, 2018 at 06:48AM</t>
  </si>
  <si>
    <t>April 21, 2018 at 09:06AM</t>
  </si>
  <si>
    <t>April 21, 2018 at 12:23PM</t>
  </si>
  <si>
    <t>April 22, 2018 at 05:32PM</t>
  </si>
  <si>
    <t>April 23, 2018 at 01:42PM</t>
  </si>
  <si>
    <t>April 26, 2018 at 07:15PM</t>
  </si>
  <si>
    <t>April 27, 2018 at 06:10PM</t>
  </si>
  <si>
    <t>April 29, 2018 at 11:08AM</t>
  </si>
  <si>
    <t>May 01, 2018 at 05:44PM</t>
  </si>
  <si>
    <t>May 05, 2018 at 06:17PM</t>
  </si>
  <si>
    <t>May 05, 2018 at 06:23PM</t>
  </si>
  <si>
    <t>May 06, 2018 at 11:49AM</t>
  </si>
  <si>
    <t>May 06, 2018 at 12:25PM</t>
  </si>
  <si>
    <t>May 10, 2018 at 05:02PM</t>
  </si>
  <si>
    <t>May 12, 2018 at 12:19PM</t>
  </si>
  <si>
    <t>May 12, 2018 at 08:34PM</t>
  </si>
  <si>
    <t>May 13, 2018 at 10:45AM</t>
  </si>
  <si>
    <t>May 15, 2018 at 12:23PM</t>
  </si>
  <si>
    <t>May 18, 2018 at 06:22PM</t>
  </si>
  <si>
    <t>May 19, 2018 at 08:03AM</t>
  </si>
  <si>
    <t>May 19, 2018 at 01:25PM</t>
  </si>
  <si>
    <t>May 19, 2018 at 06:22PM</t>
  </si>
  <si>
    <t>May 20, 2018 at 09:47AM</t>
  </si>
  <si>
    <t>May 20, 2018 at 02:31PM</t>
  </si>
  <si>
    <t>May 20, 2018 at 04:28PM</t>
  </si>
  <si>
    <t>May 24, 2018 at 12:05PM</t>
  </si>
  <si>
    <t>May 24, 2018 at 12:40PM</t>
  </si>
  <si>
    <t>May 27, 2018 at 08:24AM</t>
  </si>
  <si>
    <t>May 27, 2018 at 01:47PM</t>
  </si>
  <si>
    <t>May 27, 2018 at 05:10PM</t>
  </si>
  <si>
    <t>May 28, 2018 at 12:47PM</t>
  </si>
  <si>
    <t>May 28, 2018 at 02:44PM</t>
  </si>
  <si>
    <t>May 28, 2018 at 07:38PM</t>
  </si>
  <si>
    <t>May 31, 2018 at 12:23PM</t>
  </si>
  <si>
    <t>June 02, 2018 at 03:38PM</t>
  </si>
  <si>
    <t>June 03, 2018 at 07:18PM</t>
  </si>
  <si>
    <t>June 06, 2018 at 01:45PM</t>
  </si>
  <si>
    <t>June 09, 2018 at 01:18PM</t>
  </si>
  <si>
    <t>June 10, 2018 at 09:41AM</t>
  </si>
  <si>
    <t>June 10, 2018 at 01:53PM</t>
  </si>
  <si>
    <t>June 10, 2018 at 03:18PM</t>
  </si>
  <si>
    <t>June 11, 2018 at 12:26PM</t>
  </si>
  <si>
    <t>June 11, 2018 at 02:02PM</t>
  </si>
  <si>
    <t>June 14, 2018 at 12:59PM</t>
  </si>
  <si>
    <t>June 18, 2018 at 08:52AM</t>
  </si>
  <si>
    <t>June 20, 2018 at 01:02PM</t>
  </si>
  <si>
    <t>June 20, 2018 at 06:53PM</t>
  </si>
  <si>
    <t>June 23, 2018 at 12:58PM</t>
  </si>
  <si>
    <t>June 23, 2018 at 08:56PM</t>
  </si>
  <si>
    <t>June 24, 2018 at 05:06AM</t>
  </si>
  <si>
    <t>June 27, 2018 at 02:41AM</t>
  </si>
  <si>
    <t>June 27, 2018 at 10:35PM</t>
  </si>
  <si>
    <t>June 28, 2018 at 03:43AM</t>
  </si>
  <si>
    <t>June 28, 2018 at 11:10PM</t>
  </si>
  <si>
    <t>June 29, 2018 at 02:17AM</t>
  </si>
  <si>
    <t>June 29, 2018 at 10:30PM</t>
  </si>
  <si>
    <t>June 30, 2018 at 09:54PM</t>
  </si>
  <si>
    <t>July 01, 2018 at 12:21AM</t>
  </si>
  <si>
    <t>July 03, 2018 at 09:43PM</t>
  </si>
  <si>
    <t>July 05, 2018 at 02:04AM</t>
  </si>
  <si>
    <t>July 06, 2018 at 12:41AM</t>
  </si>
  <si>
    <t>July 06, 2018 at 02:10AM</t>
  </si>
  <si>
    <t>July 06, 2018 at 05:33AM</t>
  </si>
  <si>
    <t>July 07, 2018 at 01:33AM</t>
  </si>
  <si>
    <t>July 07, 2018 at 04:03AM</t>
  </si>
  <si>
    <t>July 07, 2018 at 06:12AM</t>
  </si>
  <si>
    <t>July 11, 2018 at 01:39AM</t>
  </si>
  <si>
    <t>July 11, 2018 at 03:28AM</t>
  </si>
  <si>
    <t>July 11, 2018 at 05:10AM</t>
  </si>
  <si>
    <t>July 12, 2018 at 01:08AM</t>
  </si>
  <si>
    <t>July 13, 2018 at 06:06PM</t>
  </si>
  <si>
    <t>July 13, 2018 at 08:06PM</t>
  </si>
  <si>
    <t>July 15, 2018 at 04:02PM</t>
  </si>
  <si>
    <t>July 18, 2018 at 12:12PM</t>
  </si>
  <si>
    <t>July 19, 2018 at 12:43PM</t>
  </si>
  <si>
    <t>July 19, 2018 at 05:18PM</t>
  </si>
  <si>
    <t>July 20, 2018 at 06:42PM</t>
  </si>
  <si>
    <t>July 22, 2018 at 06:29PM</t>
  </si>
  <si>
    <t>July 23, 2018 at 06:27PM</t>
  </si>
  <si>
    <t>July 29, 2018 at 06:15PM</t>
  </si>
  <si>
    <t>July 31, 2018 at 01:55PM</t>
  </si>
  <si>
    <t>August 04, 2018 at 11:13AM</t>
  </si>
  <si>
    <t>August 05, 2018 at 03:07PM</t>
  </si>
  <si>
    <t>August 08, 2018 at 01:37PM</t>
  </si>
  <si>
    <t>August 10, 2018 at 07:07PM</t>
  </si>
  <si>
    <t>August 11, 2018 at 12:51PM</t>
  </si>
  <si>
    <t>August 11, 2018 at 03:45PM</t>
  </si>
  <si>
    <t>August 16, 2018 at 01:06PM</t>
  </si>
  <si>
    <t>August 22, 2018 at 01:38PM</t>
  </si>
  <si>
    <t>August 27, 2018 at 07:14PM</t>
  </si>
  <si>
    <t>August 27, 2018 at 07:15PM</t>
  </si>
  <si>
    <t>August 30, 2018 at 01:03PM</t>
  </si>
  <si>
    <t>August 30, 2018 at 07:18PM</t>
  </si>
  <si>
    <t>September 03, 2018 at 05:22PM</t>
  </si>
  <si>
    <t>September 06, 2018 at 01:36PM</t>
  </si>
  <si>
    <t>September 08, 2018 at 06:53PM</t>
  </si>
  <si>
    <t>September 09, 2018 at 03:03PM</t>
  </si>
  <si>
    <t>September 09, 2018 at 07:15PM</t>
  </si>
  <si>
    <t>September 12, 2018 at 01:59PM</t>
  </si>
  <si>
    <t>September 27, 2018 at 01:35PM</t>
  </si>
  <si>
    <t>September 27, 2018 at 06:43PM</t>
  </si>
  <si>
    <t>September 30, 2018 at 02:37PM</t>
  </si>
  <si>
    <t>October 01, 2018 at 02:44PM</t>
  </si>
  <si>
    <t>October 03, 2018 at 12:47PM</t>
  </si>
  <si>
    <t>October 06, 2018 at 02:27PM</t>
  </si>
  <si>
    <t>October 09, 2018 at 02:07PM</t>
  </si>
  <si>
    <t>October 12, 2018 at 10:43AM</t>
  </si>
  <si>
    <t>October 12, 2018 at 11:47AM</t>
  </si>
  <si>
    <t>October 12, 2018 at 03:55PM</t>
  </si>
  <si>
    <t>October 12, 2018 at 06:44PM</t>
  </si>
  <si>
    <t>October 13, 2018 at 11:27AM</t>
  </si>
  <si>
    <t>October 13, 2018 at 01:14PM</t>
  </si>
  <si>
    <t>October 14, 2018 at 01:36PM</t>
  </si>
  <si>
    <t>October 16, 2018 at 05:41PM</t>
  </si>
  <si>
    <t>October 18, 2018 at 06:50PM</t>
  </si>
  <si>
    <t>October 20, 2018 at 10:05AM</t>
  </si>
  <si>
    <t>October 20, 2018 at 12:04PM</t>
  </si>
  <si>
    <t>October 20, 2018 at 01:05PM</t>
  </si>
  <si>
    <t>October 20, 2018 at 02:25PM</t>
  </si>
  <si>
    <t>October 20, 2018 at 05:27PM</t>
  </si>
  <si>
    <t>October 20, 2018 at 07:10PM</t>
  </si>
  <si>
    <t>October 21, 2018 at 05:04PM</t>
  </si>
  <si>
    <t>October 21, 2018 at 08:15PM</t>
  </si>
  <si>
    <t>October 22, 2018 at 05:14PM</t>
  </si>
  <si>
    <t>October 25, 2018 at 10:13AM</t>
  </si>
  <si>
    <t>October 25, 2018 at 01:05PM</t>
  </si>
  <si>
    <t>October 25, 2018 at 02:40PM</t>
  </si>
  <si>
    <t>October 26, 2018 at 10:16AM</t>
  </si>
  <si>
    <t>October 26, 2018 at 11:04AM</t>
  </si>
  <si>
    <t>October 26, 2018 at 06:29PM</t>
  </si>
  <si>
    <t>October 27, 2018 at 09:55AM</t>
  </si>
  <si>
    <t>October 27, 2018 at 01:47PM</t>
  </si>
  <si>
    <t>October 27, 2018 at 02:04PM</t>
  </si>
  <si>
    <t>October 27, 2018 at 05:06PM</t>
  </si>
  <si>
    <t>October 28, 2018 at 11:04AM</t>
  </si>
  <si>
    <t>October 28, 2018 at 12:47PM</t>
  </si>
  <si>
    <t>October 28, 2018 at 01:55PM</t>
  </si>
  <si>
    <t>October 28, 2018 at 01:56PM</t>
  </si>
  <si>
    <t>November 01, 2018 at 06:24PM</t>
  </si>
  <si>
    <t>November 03, 2018 at 10:27AM</t>
  </si>
  <si>
    <t>November 04, 2018 at 04:39PM</t>
  </si>
  <si>
    <t>November 04, 2018 at 05:28PM</t>
  </si>
  <si>
    <t>November 05, 2018 at 12:17PM</t>
  </si>
  <si>
    <t>November 17, 2018 at 10:37AM</t>
  </si>
  <si>
    <t>November 18, 2018 at 02:28PM</t>
  </si>
  <si>
    <t>November 22, 2018 at 02:38PM</t>
  </si>
  <si>
    <t>November 24, 2018 at 10:46AM</t>
  </si>
  <si>
    <t>November 25, 2018 at 05:40PM</t>
  </si>
  <si>
    <t>November 25, 2018 at 09:30PM</t>
  </si>
  <si>
    <t>November 25, 2018 at 10:56PM</t>
  </si>
  <si>
    <t>November 26, 2018 at 08:55AM</t>
  </si>
  <si>
    <t>November 28, 2018 at 11:48AM</t>
  </si>
  <si>
    <t>November 28, 2018 at 08:48PM</t>
  </si>
  <si>
    <t>November 29, 2018 at 10:14AM</t>
  </si>
  <si>
    <t>November 29, 2018 at 03:57PM</t>
  </si>
  <si>
    <t>November 29, 2018 at 06:51PM</t>
  </si>
  <si>
    <t>November 29, 2018 at 07:40PM</t>
  </si>
  <si>
    <t>November 29, 2018 at 09:49PM</t>
  </si>
  <si>
    <t>November 29, 2018 at 10:12PM</t>
  </si>
  <si>
    <t>November 30, 2018 at 07:25AM</t>
  </si>
  <si>
    <t>November 30, 2018 at 11:13AM</t>
  </si>
  <si>
    <t>November 30, 2018 at 12:36PM</t>
  </si>
  <si>
    <t>November 30, 2018 at 02:48PM</t>
  </si>
  <si>
    <t>December 01, 2018 at 04:14PM</t>
  </si>
  <si>
    <t>December 02, 2018 at 09:52AM</t>
  </si>
  <si>
    <t>December 02, 2018 at 12:18PM</t>
  </si>
  <si>
    <t>December 02, 2018 at 05:04PM</t>
  </si>
  <si>
    <t>December 03, 2018 at 07:06PM</t>
  </si>
  <si>
    <t>December 04, 2018 at 05:49PM</t>
  </si>
  <si>
    <t>December 05, 2018 at 07:54PM</t>
  </si>
  <si>
    <t>December 07, 2018 at 08:34AM</t>
  </si>
  <si>
    <t>December 07, 2018 at 01:23PM</t>
  </si>
  <si>
    <t>December 08, 2018 at 01:49PM</t>
  </si>
  <si>
    <t>December 08, 2018 at 06:31PM</t>
  </si>
  <si>
    <t>December 12, 2018 at 07:00PM</t>
  </si>
  <si>
    <t>December 15, 2018 at 08:12PM</t>
  </si>
  <si>
    <t>December 16, 2018 at 05:51PM</t>
  </si>
  <si>
    <t>December 17, 2018 at 08:32PM</t>
  </si>
  <si>
    <t>December 19, 2018 at 12:59PM</t>
  </si>
  <si>
    <t>December 21, 2018 at 04:53PM</t>
  </si>
  <si>
    <t>December 21, 2018 at 09:39PM</t>
  </si>
  <si>
    <t>December 24, 2018 at 04:17PM</t>
  </si>
  <si>
    <t>December 25, 2018 at 04:34PM</t>
  </si>
  <si>
    <t>December 26, 2018 at 06:15PM</t>
  </si>
  <si>
    <t>December 27, 2018 at 09:22AM</t>
  </si>
  <si>
    <t>December 27, 2018 at 12:59PM</t>
  </si>
  <si>
    <t>December 28, 2018 at 10:05AM</t>
  </si>
  <si>
    <t>December 28, 2018 at 11:37AM</t>
  </si>
  <si>
    <t>December 28, 2018 at 06:29PM</t>
  </si>
  <si>
    <t>December 29, 2018 at 10:24AM</t>
  </si>
  <si>
    <t>December 29, 2018 at 11:06AM</t>
  </si>
  <si>
    <t>December 29, 2018 at 11:25AM</t>
  </si>
  <si>
    <t>December 29, 2018 at 12:04PM</t>
  </si>
  <si>
    <t>December 29, 2018 at 03:03PM</t>
  </si>
  <si>
    <t>December 29, 2018 at 04:48PM</t>
  </si>
  <si>
    <t>December 30, 2018 at 07:13AM</t>
  </si>
  <si>
    <t>December 30, 2018 at 08:56AM</t>
  </si>
  <si>
    <t>December 30, 2018 at 09:17AM</t>
  </si>
  <si>
    <t>December 30, 2018 at 03:25PM</t>
  </si>
  <si>
    <t>December 30, 2018 at 06:33PM</t>
  </si>
  <si>
    <t>December 31, 2018 at 09:16AM</t>
  </si>
  <si>
    <t>December 31, 2018 at 10:39AM</t>
  </si>
  <si>
    <t>December 31, 2018 at 11:47AM</t>
  </si>
  <si>
    <t>December 31, 2018 at 01:52PM</t>
  </si>
  <si>
    <t>January 01, 2019 at 06:14AM</t>
  </si>
  <si>
    <t>January 01, 2019 at 02:19PM</t>
  </si>
  <si>
    <t>January 02, 2019 at 12:11PM</t>
  </si>
  <si>
    <t>January 02, 2019 at 01:12PM</t>
  </si>
  <si>
    <t>January 02, 2019 at 04:29PM</t>
  </si>
  <si>
    <t>January 04, 2019 at 06:35AM</t>
  </si>
  <si>
    <t>January 04, 2019 at 02:10PM</t>
  </si>
  <si>
    <t>January 04, 2019 at 03:57PM</t>
  </si>
  <si>
    <t>January 05, 2019 at 12:52PM</t>
  </si>
  <si>
    <t>January 05, 2019 at 12:57PM</t>
  </si>
  <si>
    <t>January 05, 2019 at 03:56PM</t>
  </si>
  <si>
    <t>January 05, 2019 at 05:37PM</t>
  </si>
  <si>
    <t>January 05, 2019 at 06:22PM</t>
  </si>
  <si>
    <t>January 06, 2019 at 03:30AM</t>
  </si>
  <si>
    <t>January 06, 2019 at 06:43AM</t>
  </si>
  <si>
    <t>January 06, 2019 at 01:23PM</t>
  </si>
  <si>
    <t>January 06, 2019 at 06:47PM</t>
  </si>
  <si>
    <t>January 09, 2019 at 01:48PM</t>
  </si>
  <si>
    <t>January 09, 2019 at 07:09PM</t>
  </si>
  <si>
    <t>January 12, 2019 at 11:06AM</t>
  </si>
  <si>
    <t>January 14, 2019 at 01:39PM</t>
  </si>
  <si>
    <t>January 18, 2019 at 01:09PM</t>
  </si>
  <si>
    <t>January 30, 2019 at 06:34PM</t>
  </si>
  <si>
    <t>February 01, 2019 at 05:23PM</t>
  </si>
  <si>
    <t>February 03, 2019 at 07:07PM</t>
  </si>
  <si>
    <t>February 06, 2019 at 06:19PM</t>
  </si>
  <si>
    <t>February 10, 2019 at 01:18PM</t>
  </si>
  <si>
    <t>February 10, 2019 at 05:13PM</t>
  </si>
  <si>
    <t>February 10, 2019 at 06:44PM</t>
  </si>
  <si>
    <t>February 13, 2019 at 12:05PM</t>
  </si>
  <si>
    <t>February 13, 2019 at 07:07PM</t>
  </si>
  <si>
    <t>February 16, 2019 at 09:51AM</t>
  </si>
  <si>
    <t>February 16, 2019 at 05:06PM</t>
  </si>
  <si>
    <t>February 18, 2019 at 12:38PM</t>
  </si>
  <si>
    <t>February 18, 2019 at 05:38PM</t>
  </si>
  <si>
    <t>February 21, 2019 at 01:14PM</t>
  </si>
  <si>
    <t>February 26, 2019 at 05:20PM</t>
  </si>
  <si>
    <t>February 27, 2019 at 06:43PM</t>
  </si>
  <si>
    <t>March 02, 2019 at 06:52PM</t>
  </si>
  <si>
    <t>March 03, 2019 at 10:04AM</t>
  </si>
  <si>
    <t>March 03, 2019 at 12:43PM</t>
  </si>
  <si>
    <t>March 05, 2019 at 05:26PM</t>
  </si>
  <si>
    <t>March 09, 2019 at 10:01AM</t>
  </si>
  <si>
    <t>March 09, 2019 at 12:09PM</t>
  </si>
  <si>
    <t>March 09, 2019 at 01:34PM</t>
  </si>
  <si>
    <t>March 10, 2019 at 11:02AM</t>
  </si>
  <si>
    <t>March 10, 2019 at 02:51PM</t>
  </si>
  <si>
    <t>March 10, 2019 at 07:18PM</t>
  </si>
  <si>
    <t>March 11, 2019 at 06:19PM</t>
  </si>
  <si>
    <t>March 20, 2019 at 12:16PM</t>
  </si>
  <si>
    <t>April 03, 2019 at 06:55AM</t>
  </si>
  <si>
    <t>April 03, 2019 at 11:15AM</t>
  </si>
  <si>
    <t>April 03, 2019 at 06:30PM</t>
  </si>
  <si>
    <t>April 03, 2019 at 07:19PM</t>
  </si>
  <si>
    <t>April 03, 2019 at 09:19PM</t>
  </si>
  <si>
    <t>April 04, 2019 at 07:23AM</t>
  </si>
  <si>
    <t>April 04, 2019 at 09:43AM</t>
  </si>
  <si>
    <t>April 04, 2019 at 05:12PM</t>
  </si>
  <si>
    <t>April 04, 2019 at 07:07PM</t>
  </si>
  <si>
    <t>April 05, 2019 at 07:23AM</t>
  </si>
  <si>
    <t>April 05, 2019 at 05:41PM</t>
  </si>
  <si>
    <t>April 05, 2019 at 08:15PM</t>
  </si>
  <si>
    <t>April 06, 2019 at 10:16AM</t>
  </si>
  <si>
    <t>April 06, 2019 at 01:13PM</t>
  </si>
  <si>
    <t>April 07, 2019 at 08:31AM</t>
  </si>
  <si>
    <t>April 07, 2019 at 10:23AM</t>
  </si>
  <si>
    <t>April 07, 2019 at 05:20PM</t>
  </si>
  <si>
    <t>April 08, 2019 at 06:43PM</t>
  </si>
  <si>
    <t>April 08, 2019 at 08:13PM</t>
  </si>
  <si>
    <t>April 09, 2019 at 05:56PM</t>
  </si>
  <si>
    <t>April 10, 2019 at 06:33PM</t>
  </si>
  <si>
    <t>April 10, 2019 at 07:19PM</t>
  </si>
  <si>
    <t>April 11, 2019 at 06:11PM</t>
  </si>
  <si>
    <t>April 11, 2019 at 08:06PM</t>
  </si>
  <si>
    <t>April 11, 2019 at 08:27PM</t>
  </si>
  <si>
    <t>April 12, 2019 at 06:06PM</t>
  </si>
  <si>
    <t>April 13, 2019 at 11:42AM</t>
  </si>
  <si>
    <t>April 14, 2019 at 04:43PM</t>
  </si>
  <si>
    <t>April 14, 2019 at 07:53PM</t>
  </si>
  <si>
    <t>April 15, 2019 at 05:51PM</t>
  </si>
  <si>
    <t>April 17, 2019 at 05:13PM</t>
  </si>
  <si>
    <t>April 18, 2019 at 07:32PM</t>
  </si>
  <si>
    <t>April 18, 2019 at 07:44PM</t>
  </si>
  <si>
    <t>April 19, 2019 at 07:40PM</t>
  </si>
  <si>
    <t>April 20, 2019 at 08:34AM</t>
  </si>
  <si>
    <t>April 20, 2019 at 01:08PM</t>
  </si>
  <si>
    <t>April 20, 2019 at 04:00PM</t>
  </si>
  <si>
    <t>April 20, 2019 at 05:56PM</t>
  </si>
  <si>
    <t>April 20, 2019 at 07:29PM</t>
  </si>
  <si>
    <t>April 21, 2019 at 07:38AM</t>
  </si>
  <si>
    <t>April 25, 2019 at 05:50PM</t>
  </si>
  <si>
    <t>April 26, 2019 at 05:23PM</t>
  </si>
  <si>
    <t>April 26, 2019 at 06:47PM</t>
  </si>
  <si>
    <t>May 01, 2019 at 06:19PM</t>
  </si>
  <si>
    <t>May 04, 2019 at 10:14AM</t>
  </si>
  <si>
    <t>May 09, 2019 at 01:13PM</t>
  </si>
  <si>
    <t>May 12, 2019 at 12:38PM</t>
  </si>
  <si>
    <t>May 15, 2019 at 01:05PM</t>
  </si>
  <si>
    <t>May 20, 2019 at 01:23PM</t>
  </si>
  <si>
    <t>May 20, 2019 at 02:02PM</t>
  </si>
  <si>
    <t>May 29, 2019 at 06:13PM</t>
  </si>
  <si>
    <t>May 30, 2019 at 06:47PM</t>
  </si>
  <si>
    <t>May 30, 2019 at 07:38PM</t>
  </si>
  <si>
    <t>May 31, 2019 at 07:23PM</t>
  </si>
  <si>
    <t>June 01, 2019 at 04:07PM</t>
  </si>
  <si>
    <t>June 01, 2019 at 10:05PM</t>
  </si>
  <si>
    <t>June 02, 2019 at 07:58PM</t>
  </si>
  <si>
    <t>June 02, 2019 at 08:59PM</t>
  </si>
  <si>
    <t>June 03, 2019 at 04:38AM</t>
  </si>
  <si>
    <t>June 03, 2019 at 08:25PM</t>
  </si>
  <si>
    <t>June 04, 2019 at 02:30AM</t>
  </si>
  <si>
    <t>June 04, 2019 at 03:29AM</t>
  </si>
  <si>
    <t>June 04, 2019 at 03:41AM</t>
  </si>
  <si>
    <t>June 04, 2019 at 08:31AM</t>
  </si>
  <si>
    <t>June 05, 2019 at 09:28AM</t>
  </si>
  <si>
    <t>June 06, 2019 at 04:41AM</t>
  </si>
  <si>
    <t>June 07, 2019 at 03:46AM</t>
  </si>
  <si>
    <t>June 07, 2019 at 05:53AM</t>
  </si>
  <si>
    <t>June 07, 2019 at 10:47AM</t>
  </si>
  <si>
    <t>June 08, 2019 at 05:38AM</t>
  </si>
  <si>
    <t>June 09, 2019 at 05:11AM</t>
  </si>
  <si>
    <t>June 09, 2019 at 08:06AM</t>
  </si>
  <si>
    <t>June 09, 2019 at 10:19AM</t>
  </si>
  <si>
    <t>June 09, 2019 at 11:05AM</t>
  </si>
  <si>
    <t>June 10, 2019 at 12:13AM</t>
  </si>
  <si>
    <t>June 10, 2019 at 03:08AM</t>
  </si>
  <si>
    <t>June 10, 2019 at 04:38AM</t>
  </si>
  <si>
    <t>June 10, 2019 at 08:58AM</t>
  </si>
  <si>
    <t>June 10, 2019 at 10:54AM</t>
  </si>
  <si>
    <t>June 10, 2019 at 11:46PM</t>
  </si>
  <si>
    <t>June 11, 2019 at 03:25AM</t>
  </si>
  <si>
    <t>June 11, 2019 at 05:22AM</t>
  </si>
  <si>
    <t>June 12, 2019 at 08:32AM</t>
  </si>
  <si>
    <t>June 13, 2019 at 02:04AM</t>
  </si>
  <si>
    <t>June 13, 2019 at 06:37AM</t>
  </si>
  <si>
    <t>June 13, 2019 at 08:29AM</t>
  </si>
  <si>
    <t>June 14, 2019 at 02:02AM</t>
  </si>
  <si>
    <t>June 14, 2019 at 02:47AM</t>
  </si>
  <si>
    <t>June 14, 2019 at 03:29AM</t>
  </si>
  <si>
    <t>June 14, 2019 at 03:39AM</t>
  </si>
  <si>
    <t>June 14, 2019 at 05:36AM</t>
  </si>
  <si>
    <t>June 14, 2019 at 06:22AM</t>
  </si>
  <si>
    <t>June 14, 2019 at 10:35PM</t>
  </si>
  <si>
    <t>June 15, 2019 at 01:26AM</t>
  </si>
  <si>
    <t>June 15, 2019 at 02:44AM</t>
  </si>
  <si>
    <t>June 15, 2019 at 03:07AM</t>
  </si>
  <si>
    <t>June 15, 2019 at 03:38AM</t>
  </si>
  <si>
    <t>June 15, 2019 at 06:01AM</t>
  </si>
  <si>
    <t>June 15, 2019 at 08:57AM</t>
  </si>
  <si>
    <t>June 17, 2019 at 03:22AM</t>
  </si>
  <si>
    <t>June 17, 2019 at 06:17AM</t>
  </si>
  <si>
    <t>June 19, 2019 at 06:27AM</t>
  </si>
  <si>
    <t>June 19, 2019 at 08:21AM</t>
  </si>
  <si>
    <t>June 22, 2019 at 01:43AM</t>
  </si>
  <si>
    <t>June 22, 2019 at 02:05AM</t>
  </si>
  <si>
    <t>June 22, 2019 at 02:49AM</t>
  </si>
  <si>
    <t>June 22, 2019 at 02:59AM</t>
  </si>
  <si>
    <t>June 22, 2019 at 06:34AM</t>
  </si>
  <si>
    <t>June 22, 2019 at 07:27AM</t>
  </si>
  <si>
    <t>June 22, 2019 at 09:01AM</t>
  </si>
  <si>
    <t>June 23, 2019 at 02:22AM</t>
  </si>
  <si>
    <t>June 23, 2019 at 03:51AM</t>
  </si>
  <si>
    <t>June 23, 2019 at 05:06AM</t>
  </si>
  <si>
    <t>June 23, 2019 at 08:27AM</t>
  </si>
  <si>
    <t>June 23, 2019 at 10:25AM</t>
  </si>
  <si>
    <t>June 24, 2019 at 06:50AM</t>
  </si>
  <si>
    <t>June 24, 2019 at 07:18AM</t>
  </si>
  <si>
    <t>June 25, 2019 at 01:16AM</t>
  </si>
  <si>
    <t>June 25, 2019 at 02:14AM</t>
  </si>
  <si>
    <t>June 25, 2019 at 02:45AM</t>
  </si>
  <si>
    <t>June 25, 2019 at 07:01AM</t>
  </si>
  <si>
    <t>June 26, 2019 at 05:07AM</t>
  </si>
  <si>
    <t>June 27, 2019 at 06:00AM</t>
  </si>
  <si>
    <t>June 28, 2019 at 05:42AM</t>
  </si>
  <si>
    <t>June 28, 2019 at 05:53AM</t>
  </si>
  <si>
    <t>June 28, 2019 at 08:01AM</t>
  </si>
  <si>
    <t>June 29, 2019 at 02:54AM</t>
  </si>
  <si>
    <t>June 29, 2019 at 03:14AM</t>
  </si>
  <si>
    <t>June 29, 2019 at 04:09AM</t>
  </si>
  <si>
    <t>June 29, 2019 at 06:05AM</t>
  </si>
  <si>
    <t>June 29, 2019 at 09:29AM</t>
  </si>
  <si>
    <t>June 29, 2019 at 09:49AM</t>
  </si>
  <si>
    <t>June 29, 2019 at 11:39PM</t>
  </si>
  <si>
    <t>July 01, 2019 at 12:33AM</t>
  </si>
  <si>
    <t>July 01, 2019 at 03:58AM</t>
  </si>
  <si>
    <t>July 01, 2019 at 05:02AM</t>
  </si>
  <si>
    <t>July 01, 2019 at 11:08PM</t>
  </si>
  <si>
    <t>July 01, 2019 at 11:22PM</t>
  </si>
  <si>
    <t>July 02, 2019 at 04:07AM</t>
  </si>
  <si>
    <t>July 03, 2019 at 07:33AM</t>
  </si>
  <si>
    <t>July 03, 2019 at 09:33AM</t>
  </si>
  <si>
    <t>July 03, 2019 at 10:37AM</t>
  </si>
  <si>
    <t>July 04, 2019 at 04:01AM</t>
  </si>
  <si>
    <t>July 04, 2019 at 05:50AM</t>
  </si>
  <si>
    <t>July 04, 2019 at 06:43AM</t>
  </si>
  <si>
    <t>July 05, 2019 at 03:49AM</t>
  </si>
  <si>
    <t>July 07, 2019 at 05:40AM</t>
  </si>
  <si>
    <t>July 08, 2019 at 06:25AM</t>
  </si>
  <si>
    <t>July 08, 2019 at 11:29PM</t>
  </si>
  <si>
    <t>July 09, 2019 at 03:32AM</t>
  </si>
  <si>
    <t>July 09, 2019 at 04:26AM</t>
  </si>
  <si>
    <t>July 09, 2019 at 07:12AM</t>
  </si>
  <si>
    <t>July 09, 2019 at 11:15PM</t>
  </si>
  <si>
    <t>July 10, 2019 at 03:32AM</t>
  </si>
  <si>
    <t>July 10, 2019 at 06:07AM</t>
  </si>
  <si>
    <t>July 10, 2019 at 08:01AM</t>
  </si>
  <si>
    <t>July 11, 2019 at 12:43AM</t>
  </si>
  <si>
    <t>July 11, 2019 at 01:44AM</t>
  </si>
  <si>
    <t>July 11, 2019 at 02:59AM</t>
  </si>
  <si>
    <t>July 11, 2019 at 03:33AM</t>
  </si>
  <si>
    <t>July 11, 2019 at 06:31AM</t>
  </si>
  <si>
    <t>July 11, 2019 at 11:19PM</t>
  </si>
  <si>
    <t>July 12, 2019 at 11:47PM</t>
  </si>
  <si>
    <t>July 13, 2019 at 03:46AM</t>
  </si>
  <si>
    <t>July 13, 2019 at 04:10AM</t>
  </si>
  <si>
    <t>July 13, 2019 at 04:41AM</t>
  </si>
  <si>
    <t>July 13, 2019 at 08:25AM</t>
  </si>
  <si>
    <t>July 13, 2019 at 10:41AM</t>
  </si>
  <si>
    <t>July 13, 2019 at 10:49PM</t>
  </si>
  <si>
    <t>July 14, 2019 at 04:33AM</t>
  </si>
  <si>
    <t>July 14, 2019 at 05:13AM</t>
  </si>
  <si>
    <t>July 17, 2019 at 01:30AM</t>
  </si>
  <si>
    <t>July 17, 2019 at 02:30AM</t>
  </si>
  <si>
    <t>July 17, 2019 at 06:58AM</t>
  </si>
  <si>
    <t>July 17, 2019 at 11:42PM</t>
  </si>
  <si>
    <t>July 20, 2019 at 01:45AM</t>
  </si>
  <si>
    <t>July 20, 2019 at 02:07AM</t>
  </si>
  <si>
    <t>July 20, 2019 at 02:50AM</t>
  </si>
  <si>
    <t>July 20, 2019 at 04:28AM</t>
  </si>
  <si>
    <t>July 20, 2019 at 05:24AM</t>
  </si>
  <si>
    <t>July 20, 2019 at 08:11AM</t>
  </si>
  <si>
    <t>July 20, 2019 at 08:57AM</t>
  </si>
  <si>
    <t>July 20, 2019 at 10:48AM</t>
  </si>
  <si>
    <t>July 20, 2019 at 10:29PM</t>
  </si>
  <si>
    <t>July 21, 2019 at 02:32AM</t>
  </si>
  <si>
    <t>July 21, 2019 at 03:19AM</t>
  </si>
  <si>
    <t>July 21, 2019 at 03:20AM</t>
  </si>
  <si>
    <t>July 21, 2019 at 03:21AM</t>
  </si>
  <si>
    <t>July 21, 2019 at 08:09AM</t>
  </si>
  <si>
    <t>July 22, 2019 at 12:04AM</t>
  </si>
  <si>
    <t>July 22, 2019 at 12:40AM</t>
  </si>
  <si>
    <t>July 22, 2019 at 01:28AM</t>
  </si>
  <si>
    <t>July 22, 2019 at 02:46AM</t>
  </si>
  <si>
    <t>July 22, 2019 at 03:47AM</t>
  </si>
  <si>
    <t>July 23, 2019 at 01:35AM</t>
  </si>
  <si>
    <t>July 23, 2019 at 06:50AM</t>
  </si>
  <si>
    <t>July 23, 2019 at 08:36AM</t>
  </si>
  <si>
    <t>July 24, 2019 at 04:56AM</t>
  </si>
  <si>
    <t>July 24, 2019 at 05:11AM</t>
  </si>
  <si>
    <t>July 24, 2019 at 05:35AM</t>
  </si>
  <si>
    <t>July 24, 2019 at 05:47AM</t>
  </si>
  <si>
    <t>July 25, 2019 at 02:46AM</t>
  </si>
  <si>
    <t>July 25, 2019 at 03:34AM</t>
  </si>
  <si>
    <t>July 25, 2019 at 06:24AM</t>
  </si>
  <si>
    <t>July 27, 2019 at 08:16AM</t>
  </si>
  <si>
    <t>July 27, 2019 at 09:07AM</t>
  </si>
  <si>
    <t>July 28, 2019 at 03:06AM</t>
  </si>
  <si>
    <t>July 28, 2019 at 04:26AM</t>
  </si>
  <si>
    <t>July 28, 2019 at 05:46AM</t>
  </si>
  <si>
    <t>July 30, 2019 at 07:22AM</t>
  </si>
  <si>
    <t>July 30, 2019 at 08:04AM</t>
  </si>
  <si>
    <t>July 31, 2019 at 01:45AM</t>
  </si>
  <si>
    <t>July 31, 2019 at 02:55AM</t>
  </si>
  <si>
    <t>July 31, 2019 at 04:00AM</t>
  </si>
  <si>
    <t>July 31, 2019 at 06:37AM</t>
  </si>
  <si>
    <t>July 31, 2019 at 09:39AM</t>
  </si>
  <si>
    <t>August 01, 2019 at 03:01AM</t>
  </si>
  <si>
    <t>August 01, 2019 at 04:58AM</t>
  </si>
  <si>
    <t>August 01, 2019 at 07:49AM</t>
  </si>
  <si>
    <t>August 02, 2019 at 02:33AM</t>
  </si>
  <si>
    <t>August 02, 2019 at 05:54AM</t>
  </si>
  <si>
    <t>August 02, 2019 at 10:58PM</t>
  </si>
  <si>
    <t>August 02, 2019 at 11:28PM</t>
  </si>
  <si>
    <t>August 02, 2019 at 11:41PM</t>
  </si>
  <si>
    <t>August 02, 2019 at 11:53PM</t>
  </si>
  <si>
    <t>August 03, 2019 at 03:25AM</t>
  </si>
  <si>
    <t>August 03, 2019 at 04:39AM</t>
  </si>
  <si>
    <t>August 03, 2019 at 05:51AM</t>
  </si>
  <si>
    <t>August 03, 2019 at 06:46AM</t>
  </si>
  <si>
    <t>August 03, 2019 at 10:49AM</t>
  </si>
  <si>
    <t>August 04, 2019 at 06:50AM</t>
  </si>
  <si>
    <t>August 04, 2019 at 10:28AM</t>
  </si>
  <si>
    <t>August 04, 2019 at 10:40AM</t>
  </si>
  <si>
    <t>August 04, 2019 at 12:33PM</t>
  </si>
  <si>
    <t>August 04, 2019 at 12:53PM</t>
  </si>
  <si>
    <t>August 04, 2019 at 02:01PM</t>
  </si>
  <si>
    <t>August 05, 2019 at 04:22AM</t>
  </si>
  <si>
    <t>August 05, 2019 at 04:00PM</t>
  </si>
  <si>
    <t>August 05, 2019 at 06:22PM</t>
  </si>
  <si>
    <t>August 13, 2019 at 10:43AM</t>
  </si>
  <si>
    <t>August 15, 2019 at 10:05AM</t>
  </si>
  <si>
    <t>August 15, 2019 at 11:02AM</t>
  </si>
  <si>
    <t>August 15, 2019 at 01:47PM</t>
  </si>
  <si>
    <t>August 16, 2019 at 09:06PM</t>
  </si>
  <si>
    <t>August 19, 2019 at 06:21PM</t>
  </si>
  <si>
    <t>August 22, 2019 at 02:37PM</t>
  </si>
  <si>
    <t>August 25, 2019 at 10:48AM</t>
  </si>
  <si>
    <t>August 25, 2019 at 06:49PM</t>
  </si>
  <si>
    <t>August 27, 2019 at 02:02PM</t>
  </si>
  <si>
    <t>September 01, 2019 at 01:53PM</t>
  </si>
  <si>
    <t>September 05, 2019 at 08:39AM</t>
  </si>
  <si>
    <t>September 05, 2019 at 01:06PM</t>
  </si>
  <si>
    <t>September 06, 2019 at 07:42PM</t>
  </si>
  <si>
    <t>September 14, 2019 at 09:44AM</t>
  </si>
  <si>
    <t>September 15, 2019 at 01:02PM</t>
  </si>
  <si>
    <t>September 15, 2019 at 05:55PM</t>
  </si>
  <si>
    <t>September 20, 2019 at 05:09PM</t>
  </si>
  <si>
    <t>September 21, 2019 at 12:32PM</t>
  </si>
  <si>
    <t>September 22, 2019 at 09:20AM</t>
  </si>
  <si>
    <t>September 26, 2019 at 01:29PM</t>
  </si>
  <si>
    <t>September 26, 2019 at 05:34PM</t>
  </si>
  <si>
    <t>October 03, 2019 at 01:40PM</t>
  </si>
  <si>
    <t>October 04, 2019 at 01:19PM</t>
  </si>
  <si>
    <t>October 05, 2019 at 02:22PM</t>
  </si>
  <si>
    <t>October 06, 2019 at 07:37PM</t>
  </si>
  <si>
    <t>October 10, 2019 at 08:47AM</t>
  </si>
  <si>
    <t>October 10, 2019 at 11:06AM</t>
  </si>
  <si>
    <t>October 10, 2019 at 11:48AM</t>
  </si>
  <si>
    <t>October 10, 2019 at 03:27PM</t>
  </si>
  <si>
    <t>October 11, 2019 at 07:29AM</t>
  </si>
  <si>
    <t>October 11, 2019 at 07:30AM</t>
  </si>
  <si>
    <t>October 11, 2019 at 10:05AM</t>
  </si>
  <si>
    <t>October 11, 2019 at 11:35AM</t>
  </si>
  <si>
    <t>October 11, 2019 at 11:53AM</t>
  </si>
  <si>
    <t>October 11, 2019 at 05:09PM</t>
  </si>
  <si>
    <t>October 11, 2019 at 05:33PM</t>
  </si>
  <si>
    <t>October 13, 2019 at 07:52PM</t>
  </si>
  <si>
    <t>October 22, 2019 at 10:23AM</t>
  </si>
  <si>
    <t>October 22, 2019 at 12:16PM</t>
  </si>
  <si>
    <t>October 22, 2019 at 01:09PM</t>
  </si>
  <si>
    <t>October 22, 2019 at 02:49PM</t>
  </si>
  <si>
    <t>October 22, 2019 at 05:01PM</t>
  </si>
  <si>
    <t>October 23, 2019 at 07:04PM</t>
  </si>
  <si>
    <t>October 24, 2019 at 12:57PM</t>
  </si>
  <si>
    <t>October 24, 2019 at 01:47PM</t>
  </si>
  <si>
    <t>October 24, 2019 at 07:45PM</t>
  </si>
  <si>
    <t>October 25, 2019 at 10:00AM</t>
  </si>
  <si>
    <t>October 25, 2019 at 12:30PM</t>
  </si>
  <si>
    <t>October 25, 2019 at 02:36PM</t>
  </si>
  <si>
    <t>October 25, 2019 at 03:29PM</t>
  </si>
  <si>
    <t>October 25, 2019 at 04:08PM</t>
  </si>
  <si>
    <t>October 25, 2019 at 07:00PM</t>
  </si>
  <si>
    <t>October 26, 2019 at 10:55AM</t>
  </si>
  <si>
    <t>October 26, 2019 at 12:46PM</t>
  </si>
  <si>
    <t>October 26, 2019 at 12:56PM</t>
  </si>
  <si>
    <t>October 26, 2019 at 02:02PM</t>
  </si>
  <si>
    <t>October 26, 2019 at 02:09PM</t>
  </si>
  <si>
    <t>October 26, 2019 at 06:42PM</t>
  </si>
  <si>
    <t>November 01, 2019 at 06:00PM</t>
  </si>
  <si>
    <t>November 05, 2019 at 06:05PM</t>
  </si>
  <si>
    <t>November 07, 2019 at 01:08PM</t>
  </si>
  <si>
    <t>November 09, 2019 at 10:56AM</t>
  </si>
  <si>
    <t>November 10, 2019 at 07:06PM</t>
  </si>
  <si>
    <t>November 15, 2019 at 07:11PM</t>
  </si>
  <si>
    <t>November 16, 2019 at 08:26AM</t>
  </si>
  <si>
    <t>November 16, 2019 at 12:48PM</t>
  </si>
  <si>
    <t>November 16, 2019 at 03:17PM</t>
  </si>
  <si>
    <t>November 17, 2019 at 06:49AM</t>
  </si>
  <si>
    <t>November 17, 2019 at 11:14AM</t>
  </si>
  <si>
    <t>November 17, 2019 at 01:05PM</t>
  </si>
  <si>
    <t>November 18, 2019 at 08:52AM</t>
  </si>
  <si>
    <t>November 18, 2019 at 11:35AM</t>
  </si>
  <si>
    <t>November 18, 2019 at 12:23PM</t>
  </si>
  <si>
    <t>November 18, 2019 at 03:20PM</t>
  </si>
  <si>
    <t>November 18, 2019 at 05:32PM</t>
  </si>
  <si>
    <t>November 18, 2019 at 05:41PM</t>
  </si>
  <si>
    <t>November 18, 2019 at 06:49PM</t>
  </si>
  <si>
    <t>November 18, 2019 at 06:57PM</t>
  </si>
  <si>
    <t>November 21, 2019 at 05:14PM</t>
  </si>
  <si>
    <t>November 28, 2019 at 12:02PM</t>
  </si>
  <si>
    <t>December 01, 2019 at 06:17PM</t>
  </si>
  <si>
    <t>December 04, 2019 at 12:19PM</t>
  </si>
  <si>
    <t>December 06, 2019 at 07:10PM</t>
  </si>
  <si>
    <t>December 07, 2019 at 06:24PM</t>
  </si>
  <si>
    <t>December 12, 2019 at 02:00PM</t>
  </si>
  <si>
    <t>December 12, 2019 at 03:17PM</t>
  </si>
  <si>
    <t>December 17, 2019 at 06:21PM</t>
  </si>
  <si>
    <t>December 19, 2019 at 01:14PM</t>
  </si>
  <si>
    <t>December 20, 2019 at 06:30PM</t>
  </si>
  <si>
    <t>December 24, 2019 at 12:53PM</t>
  </si>
  <si>
    <t>December 24, 2019 at 06:43PM</t>
  </si>
  <si>
    <t>December 26, 2019 at 01:52PM</t>
  </si>
  <si>
    <t>December 27, 2019 at 08:55AM</t>
  </si>
  <si>
    <t>December 27, 2019 at 11:49AM</t>
  </si>
  <si>
    <t>December 27, 2019 at 01:16PM</t>
  </si>
  <si>
    <t>December 27, 2019 at 05:56PM</t>
  </si>
  <si>
    <t>December 28, 2019 at 08:57AM</t>
  </si>
  <si>
    <t>December 28, 2019 at 11:44AM</t>
  </si>
  <si>
    <t>December 28, 2019 at 12:46PM</t>
  </si>
  <si>
    <t>December 28, 2019 at 04:35PM</t>
  </si>
  <si>
    <t>December 28, 2019 at 07:11PM</t>
  </si>
  <si>
    <t>December 28, 2019 at 08:42PM</t>
  </si>
  <si>
    <t>December 29, 2019 at 12:34PM</t>
  </si>
  <si>
    <t>December 30, 2019 at 06:31PM</t>
  </si>
  <si>
    <t>December 31, 2019 at 11:02AM</t>
  </si>
  <si>
    <t>January 01, 2020 at 12:51PM</t>
  </si>
  <si>
    <t>January 01, 2020 at 06:53PM</t>
  </si>
  <si>
    <t>January 03, 2020 at 10:17AM</t>
  </si>
  <si>
    <t>January 04, 2020 at 10:01AM</t>
  </si>
  <si>
    <t>January 07, 2020 at 12:06PM</t>
  </si>
  <si>
    <t>January 07, 2020 at 12:26PM</t>
  </si>
  <si>
    <t>January 08, 2020 at 06:42PM</t>
  </si>
  <si>
    <t>January 11, 2020 at 02:53PM</t>
  </si>
  <si>
    <t>January 12, 2020 at 06:35PM</t>
  </si>
  <si>
    <t>January 19, 2020 at 03:40PM</t>
  </si>
  <si>
    <t>January 20, 2020 at 06:31PM</t>
  </si>
  <si>
    <t>January 23, 2020 at 01:35PM</t>
  </si>
  <si>
    <t>January 25, 2020 at 10:34AM</t>
  </si>
  <si>
    <t>January 25, 2020 at 11:43AM</t>
  </si>
  <si>
    <t>January 26, 2020 at 04:02PM</t>
  </si>
  <si>
    <t>February 02, 2020 at 07:44PM</t>
  </si>
  <si>
    <t>February 05, 2020 at 06:14PM</t>
  </si>
  <si>
    <t>February 14, 2020 at 06:28PM</t>
  </si>
  <si>
    <t>February 15, 2020 at 11:37AM</t>
  </si>
  <si>
    <t>February 15, 2020 at 06:49PM</t>
  </si>
  <si>
    <t>February 23, 2020 at 01:35PM</t>
  </si>
  <si>
    <t>February 23, 2020 at 06:55PM</t>
  </si>
  <si>
    <t>February 28, 2020 at 07:49PM</t>
  </si>
  <si>
    <t>February 29, 2020 at 07:39PM</t>
  </si>
  <si>
    <t>March 07, 2020 at 12:41PM</t>
  </si>
  <si>
    <t>March 14, 2020 at 01:14PM</t>
  </si>
  <si>
    <t>March 18, 2020 at 06:18PM</t>
  </si>
  <si>
    <t>March 21, 2020 at 04:45PM</t>
  </si>
  <si>
    <t>March 21, 2020 at 06:58PM</t>
  </si>
  <si>
    <t>March 21, 2020 at 08:34PM</t>
  </si>
  <si>
    <t>March 22, 2020 at 10:21AM</t>
  </si>
  <si>
    <t>March 22, 2020 at 02:14PM</t>
  </si>
  <si>
    <t>March 22, 2020 at 06:24PM</t>
  </si>
  <si>
    <t>March 23, 2020 at 07:11AM</t>
  </si>
  <si>
    <t>March 23, 2020 at 10:23AM</t>
  </si>
  <si>
    <t>March 23, 2020 at 10:33AM</t>
  </si>
  <si>
    <t>March 23, 2020 at 12:43PM</t>
  </si>
  <si>
    <t>March 23, 2020 at 01:47PM</t>
  </si>
  <si>
    <t>March 23, 2020 at 04:35PM</t>
  </si>
  <si>
    <t>March 23, 2020 at 06:26PM</t>
  </si>
  <si>
    <t>March 23, 2020 at 07:09PM</t>
  </si>
  <si>
    <t>March 24, 2020 at 09:09AM</t>
  </si>
  <si>
    <t>March 24, 2020 at 11:54AM</t>
  </si>
  <si>
    <t>March 24, 2020 at 12:04PM</t>
  </si>
  <si>
    <t>March 24, 2020 at 12:25PM</t>
  </si>
  <si>
    <t>March 24, 2020 at 12:39PM</t>
  </si>
  <si>
    <t>March 24, 2020 at 01:48PM</t>
  </si>
  <si>
    <t>March 24, 2020 at 06:42PM</t>
  </si>
  <si>
    <t>March 25, 2020 at 12:33PM</t>
  </si>
  <si>
    <t>March 25, 2020 at 04:35PM</t>
  </si>
  <si>
    <t>March 25, 2020 at 05:51PM</t>
  </si>
  <si>
    <t>March 27, 2020 at 03:41PM</t>
  </si>
  <si>
    <t>March 27, 2020 at 04:51PM</t>
  </si>
  <si>
    <t>March 28, 2020 at 11:40AM</t>
  </si>
  <si>
    <t>March 28, 2020 at 11:53AM</t>
  </si>
  <si>
    <t>March 28, 2020 at 02:24PM</t>
  </si>
  <si>
    <t>March 29, 2020 at 02:07PM</t>
  </si>
  <si>
    <t>March 31, 2020 at 12:17PM</t>
  </si>
  <si>
    <t>April 09, 2020 at 08:02AM</t>
  </si>
  <si>
    <t>April 12, 2020 at 06:05PM</t>
  </si>
  <si>
    <t>April 14, 2020 at 01:59PM</t>
  </si>
  <si>
    <t>April 26, 2020 at 06:59PM</t>
  </si>
  <si>
    <t>April 30, 2020 at 09:49AM</t>
  </si>
  <si>
    <t>May 01, 2020 at 05:09PM</t>
  </si>
  <si>
    <t>May 01, 2020 at 06:17PM</t>
  </si>
  <si>
    <t>May 01, 2020 at 07:15PM</t>
  </si>
  <si>
    <t>May 01, 2020 at 07:52PM</t>
  </si>
  <si>
    <t>May 02, 2020 at 06:32AM</t>
  </si>
  <si>
    <t>May 02, 2020 at 07:08AM</t>
  </si>
  <si>
    <t>May 02, 2020 at 08:35AM</t>
  </si>
  <si>
    <t>May 02, 2020 at 10:33AM</t>
  </si>
  <si>
    <t>May 02, 2020 at 05:01PM</t>
  </si>
  <si>
    <t>May 03, 2020 at 05:33AM</t>
  </si>
  <si>
    <t>May 03, 2020 at 08:41AM</t>
  </si>
  <si>
    <t>May 09, 2020 at 08:51AM</t>
  </si>
  <si>
    <t>May 19, 2020 at 06:37PM</t>
  </si>
  <si>
    <t>May 22, 2020 at 12:26PM</t>
  </si>
  <si>
    <t>May 23, 2020 at 08:55AM</t>
  </si>
  <si>
    <t>May 23, 2020 at 06:10PM</t>
  </si>
  <si>
    <t>May 26, 2020 at 01:19PM</t>
  </si>
  <si>
    <t>June 01, 2020 at 06:57PM</t>
  </si>
  <si>
    <t>June 04, 2020 at 10:57AM</t>
  </si>
  <si>
    <t>June 05, 2020 at 05:25PM</t>
  </si>
  <si>
    <t>June 10, 2020 at 08:58AM</t>
  </si>
  <si>
    <t>June 22, 2020 at 05:10PM</t>
  </si>
  <si>
    <t>June 24, 2020 at 06:10PM</t>
  </si>
  <si>
    <t>June 26, 2020 at 07:35PM</t>
  </si>
  <si>
    <t>June 27, 2020 at 02:06PM</t>
  </si>
  <si>
    <t>July 03, 2020 at 06:14PM</t>
  </si>
  <si>
    <t>July 06, 2020 at 01:31PM</t>
  </si>
  <si>
    <t>July 16, 2020 at 02:13PM</t>
  </si>
  <si>
    <t>July 17, 2020 at 06:44PM</t>
  </si>
  <si>
    <t>July 20, 2020 at 09:59AM</t>
  </si>
  <si>
    <t>July 24, 2020 at 04:50PM</t>
  </si>
  <si>
    <t>July 24, 2020 at 10:12PM</t>
  </si>
  <si>
    <t>July 25, 2020 at 11:31AM</t>
  </si>
  <si>
    <t>July 25, 2020 at 11:43AM</t>
  </si>
  <si>
    <t>July 25, 2020 at 03:45PM</t>
  </si>
  <si>
    <t>July 26, 2020 at 12:18PM</t>
  </si>
  <si>
    <t>July 26, 2020 at 02:40PM</t>
  </si>
  <si>
    <t>July 26, 2020 at 05:11PM</t>
  </si>
  <si>
    <t>July 27, 2020 at 05:56PM</t>
  </si>
  <si>
    <t>July 29, 2020 at 09:09AM</t>
  </si>
  <si>
    <t>August 01, 2020 at 09:55AM</t>
  </si>
  <si>
    <t>August 02, 2020 at 09:55AM</t>
  </si>
  <si>
    <t>August 04, 2020 at 12:49PM</t>
  </si>
  <si>
    <t>August 04, 2020 at 01:28PM</t>
  </si>
  <si>
    <t>August 07, 2020 at 06:43PM</t>
  </si>
  <si>
    <t>August 08, 2020 at 08:49AM</t>
  </si>
  <si>
    <t>August 08, 2020 at 06:53PM</t>
  </si>
  <si>
    <t>August 09, 2020 at 12:10PM</t>
  </si>
  <si>
    <t>August 12, 2020 at 08:25AM</t>
  </si>
  <si>
    <t>August 15, 2020 at 03:07PM</t>
  </si>
  <si>
    <t>August 20, 2020 at 04:53PM</t>
  </si>
  <si>
    <t>August 22, 2020 at 01:23PM</t>
  </si>
  <si>
    <t>August 25, 2020 at 11:15AM</t>
  </si>
  <si>
    <t>August 25, 2020 at 12:38PM</t>
  </si>
  <si>
    <t>August 26, 2020 at 12:38PM</t>
  </si>
  <si>
    <t>August 29, 2020 at 03:35PM</t>
  </si>
  <si>
    <t>September 01, 2020 at 12:57PM</t>
  </si>
  <si>
    <t>September 02, 2020 at 08:30AM</t>
  </si>
  <si>
    <t>September 02, 2020 at 06:06PM</t>
  </si>
  <si>
    <t>September 05, 2020 at 06:58PM</t>
  </si>
  <si>
    <t>September 08, 2020 at 09:12AM</t>
  </si>
  <si>
    <t>September 08, 2020 at 10:02AM</t>
  </si>
  <si>
    <t>September 08, 2020 at 12:43PM</t>
  </si>
  <si>
    <t>September 11, 2020 at 05:54PM</t>
  </si>
  <si>
    <t>September 16, 2020 at 05:48PM</t>
  </si>
  <si>
    <t>September 20, 2020 at 01:47PM</t>
  </si>
  <si>
    <t>September 21, 2020 at 08:06AM</t>
  </si>
  <si>
    <t>September 21, 2020 at 09:01AM</t>
  </si>
  <si>
    <t>September 21, 2020 at 11:02AM</t>
  </si>
  <si>
    <t>September 21, 2020 at 11:48AM</t>
  </si>
  <si>
    <t>September 21, 2020 at 12:18PM</t>
  </si>
  <si>
    <t>September 21, 2020 at 01:15PM</t>
  </si>
  <si>
    <t>September 21, 2020 at 07:44PM</t>
  </si>
  <si>
    <t>September 22, 2020 at 10:58AM</t>
  </si>
  <si>
    <t>September 22, 2020 at 11:26AM</t>
  </si>
  <si>
    <t>September 22, 2020 at 01:55PM</t>
  </si>
  <si>
    <t>September 22, 2020 at 04:04PM</t>
  </si>
  <si>
    <t>September 22, 2020 at 09:35PM</t>
  </si>
  <si>
    <t>September 23, 2020 at 11:27AM</t>
  </si>
  <si>
    <t>September 23, 2020 at 05:33PM</t>
  </si>
  <si>
    <t>September 23, 2020 at 05:34PM</t>
  </si>
  <si>
    <t>September 23, 2020 at 06:46PM</t>
  </si>
  <si>
    <t>September 24, 2020 at 08:22AM</t>
  </si>
  <si>
    <t>September 26, 2020 at 10:43AM</t>
  </si>
  <si>
    <t>September 26, 2020 at 12:39PM</t>
  </si>
  <si>
    <t>September 27, 2020 at 05:21PM</t>
  </si>
  <si>
    <t>September 28, 2020 at 05:00PM</t>
  </si>
  <si>
    <t>September 29, 2020 at 05:47PM</t>
  </si>
  <si>
    <t>October 01, 2020 at 05:35PM</t>
  </si>
  <si>
    <t>October 03, 2020 at 09:54AM</t>
  </si>
  <si>
    <t>October 03, 2020 at 11:34AM</t>
  </si>
  <si>
    <t>October 10, 2020 at 09:18AM</t>
  </si>
  <si>
    <t>October 10, 2020 at 04:12PM</t>
  </si>
  <si>
    <t>October 11, 2020 at 04:51PM</t>
  </si>
  <si>
    <t>October 12, 2020 at 01:37PM</t>
  </si>
  <si>
    <t>October 12, 2020 at 03:07PM</t>
  </si>
  <si>
    <t>October 15, 2020 at 09:49AM</t>
  </si>
  <si>
    <t>October 17, 2020 at 05:23PM</t>
  </si>
  <si>
    <t>October 18, 2020 at 07:46AM</t>
  </si>
  <si>
    <t>October 18, 2020 at 09:26AM</t>
  </si>
  <si>
    <t>October 18, 2020 at 12:30PM</t>
  </si>
  <si>
    <t>October 18, 2020 at 03:24PM</t>
  </si>
  <si>
    <t>October 19, 2020 at 01:05PM</t>
  </si>
  <si>
    <t>October 19, 2020 at 03:24PM</t>
  </si>
  <si>
    <t>October 19, 2020 at 03:52PM</t>
  </si>
  <si>
    <t>October 19, 2020 at 04:23PM</t>
  </si>
  <si>
    <t>October 19, 2020 at 06:04PM</t>
  </si>
  <si>
    <t>October 20, 2020 at 12:08PM</t>
  </si>
  <si>
    <t>October 20, 2020 at 02:18PM</t>
  </si>
  <si>
    <t>October 23, 2020 at 10:49AM</t>
  </si>
  <si>
    <t>October 23, 2020 at 12:42PM</t>
  </si>
  <si>
    <t>October 23, 2020 at 03:07PM</t>
  </si>
  <si>
    <t>October 31, 2020 at 02:09PM</t>
  </si>
  <si>
    <t>November 06, 2020 at 08:56AM</t>
  </si>
  <si>
    <t>November 08, 2020 at 08:47AM</t>
  </si>
  <si>
    <t>November 08, 2020 at 02:40PM</t>
  </si>
  <si>
    <t>November 14, 2020 at 10:45AM</t>
  </si>
  <si>
    <t>November 15, 2020 at 12:18PM</t>
  </si>
  <si>
    <t>November 19, 2020 at 12:46PM</t>
  </si>
  <si>
    <t>November 22, 2020 at 06:04PM</t>
  </si>
  <si>
    <t>November 24, 2020 at 05:03PM</t>
  </si>
  <si>
    <t>November 26, 2020 at 04:43PM</t>
  </si>
  <si>
    <t>November 27, 2020 at 05:58PM</t>
  </si>
  <si>
    <t>November 28, 2020 at 08:32AM</t>
  </si>
  <si>
    <t>November 29, 2020 at 01:50PM</t>
  </si>
  <si>
    <t>December 03, 2020 at 03:22PM</t>
  </si>
  <si>
    <t>December 05, 2020 at 01:14PM</t>
  </si>
  <si>
    <t>December 07, 2020 at 01:33PM</t>
  </si>
  <si>
    <t>December 07, 2020 at 03:22PM</t>
  </si>
  <si>
    <t>December 08, 2020 at 03:07PM</t>
  </si>
  <si>
    <t>December 11, 2020 at 05:31PM</t>
  </si>
  <si>
    <t>December 13, 2020 at 01:11PM</t>
  </si>
  <si>
    <t>December 18, 2020 at 09:14AM</t>
  </si>
  <si>
    <t>December 18, 2020 at 04:09PM</t>
  </si>
  <si>
    <t>December 18, 2020 at 05:27PM</t>
  </si>
  <si>
    <t>December 18, 2020 at 05:57PM</t>
  </si>
  <si>
    <t>December 19, 2020 at 02:24PM</t>
  </si>
  <si>
    <t>December 19, 2020 at 06:29PM</t>
  </si>
  <si>
    <t>December 20, 2020 at 03:11PM</t>
  </si>
  <si>
    <t>December 22, 2020 at 03:51PM</t>
  </si>
  <si>
    <t>December 22, 2020 at 06:56PM</t>
  </si>
  <si>
    <t>December 23, 2020 at 06:58PM</t>
  </si>
  <si>
    <t>December 24, 2020 at 02:50PM</t>
  </si>
  <si>
    <t>December 25, 2020 at 07:53PM</t>
  </si>
  <si>
    <t>December 26, 2020 at 11:17AM</t>
  </si>
  <si>
    <t>December 27, 2020 at 02:53PM</t>
  </si>
  <si>
    <t>December 29, 2020 at 01:53PM</t>
  </si>
  <si>
    <t>December 29, 2020 at 03:39PM</t>
  </si>
  <si>
    <t>December 29, 2020 at 03:40PM</t>
  </si>
  <si>
    <t>December 30, 2020 at 11:17AM</t>
  </si>
  <si>
    <t>December 30, 2020 at 12:31PM</t>
  </si>
  <si>
    <t>January 01, 2021 at 06:37PM</t>
  </si>
  <si>
    <t>January 02, 2021 at 12:11PM</t>
  </si>
  <si>
    <t>January 04, 2021 at 06:15PM</t>
  </si>
  <si>
    <t>January 08, 2021 at 06:48PM</t>
  </si>
  <si>
    <t>January 17, 2021 at 06:29PM</t>
  </si>
  <si>
    <t>January 22, 2021 at 06:04PM</t>
  </si>
  <si>
    <t>January 24, 2021 at 12:15PM</t>
  </si>
  <si>
    <t>January 26, 2021 at 08:14AM</t>
  </si>
  <si>
    <t>January 29, 2021 at 08:21AM</t>
  </si>
  <si>
    <t>January 29, 2021 at 08:30AM</t>
  </si>
  <si>
    <t>January 31, 2021 at 04:21PM</t>
  </si>
  <si>
    <t>January 31, 2021 at 05:12PM</t>
  </si>
  <si>
    <t>February 02, 2021 at 07:06PM</t>
  </si>
  <si>
    <t>February 03, 2021 at 07:59AM</t>
  </si>
  <si>
    <t>February 06, 2021 at 01:40PM</t>
  </si>
  <si>
    <t>February 10, 2021 at 01:28PM</t>
  </si>
  <si>
    <t>February 12, 2021 at 07:12PM</t>
  </si>
  <si>
    <t>February 13, 2021 at 07:10PM</t>
  </si>
  <si>
    <t>February 14, 2021 at 09:05AM</t>
  </si>
  <si>
    <t>February 19, 2021 at 05:54PM</t>
  </si>
  <si>
    <t>February 19, 2021 at 07:00PM</t>
  </si>
  <si>
    <t>February 20, 2021 at 09:45AM</t>
  </si>
  <si>
    <t>February 21, 2021 at 09:19AM</t>
  </si>
  <si>
    <t>February 23, 2021 at 02:25PM</t>
  </si>
  <si>
    <t>February 26, 2021 at 09:30AM</t>
  </si>
  <si>
    <t>February 26, 2021 at 11:49AM</t>
  </si>
  <si>
    <t>No longer in service</t>
  </si>
  <si>
    <t>February 26, 2021 at 01:11PM</t>
  </si>
  <si>
    <t>February 26, 2021 at 04:06PM</t>
  </si>
  <si>
    <t>February 26, 2021 at 10:39PM</t>
  </si>
  <si>
    <t>February 27, 2021 at 10:35AM</t>
  </si>
  <si>
    <t>February 27, 2021 at 06:37PM</t>
  </si>
  <si>
    <t>February 27, 2021 at 06:50PM</t>
  </si>
  <si>
    <t>February 27, 2021 at 07:13PM</t>
  </si>
  <si>
    <t>February 27, 2021 at 07:50PM</t>
  </si>
  <si>
    <t>February 28, 2021 at 01:11PM</t>
  </si>
  <si>
    <t>February 28, 2021 at 07:45PM</t>
  </si>
  <si>
    <t>February 28, 2021 at 09:41PM</t>
  </si>
  <si>
    <t>March 01, 2021 at 11:33AM</t>
  </si>
  <si>
    <t>March 01, 2021 at 11:41AM</t>
  </si>
  <si>
    <t>March 01, 2021 at 11:59AM</t>
  </si>
  <si>
    <t>March 01, 2021 at 12:35PM</t>
  </si>
  <si>
    <t>March 01, 2021 at 07:50PM</t>
  </si>
  <si>
    <t>March 02, 2021 at 10:18AM</t>
  </si>
  <si>
    <t>March 02, 2021 at 11:44AM</t>
  </si>
  <si>
    <t>March 02, 2021 at 12:14PM</t>
  </si>
  <si>
    <t>March 02, 2021 at 03:17PM</t>
  </si>
  <si>
    <t>March 02, 2021 at 04:32PM</t>
  </si>
  <si>
    <t>March 02, 2021 at 07:46PM</t>
  </si>
  <si>
    <t>March 02, 2021 at 08:05PM</t>
  </si>
  <si>
    <t>March 03, 2021 at 06:15AM</t>
  </si>
  <si>
    <t>March 03, 2021 at 10:36AM</t>
  </si>
  <si>
    <t>March 06, 2021 at 06:59PM</t>
  </si>
  <si>
    <t>March 11, 2021 at 08:00PM</t>
  </si>
  <si>
    <t>March 13, 2021 at 06:11PM</t>
  </si>
  <si>
    <t>March 14, 2021 at 10:01AM</t>
  </si>
  <si>
    <t>March 17, 2021 at 01:24PM</t>
  </si>
  <si>
    <t>March 20, 2021 at 11:37AM</t>
  </si>
  <si>
    <t>March 20, 2021 at 07:23PM</t>
  </si>
  <si>
    <t>March 21, 2021 at 01:48PM</t>
  </si>
  <si>
    <t>March 21, 2021 at 03:34PM</t>
  </si>
  <si>
    <t>March 25, 2021 at 05:26PM</t>
  </si>
  <si>
    <t>March 27, 2021 at 10:24AM</t>
  </si>
  <si>
    <t>April 02, 2021 at 09:10PM</t>
  </si>
  <si>
    <t>April 05, 2021 at 01:07PM</t>
  </si>
  <si>
    <t>April 06, 2021 at 08:15AM</t>
  </si>
  <si>
    <t>April 07, 2021 at 12:21PM</t>
  </si>
  <si>
    <t>April 09, 2021 at 07:08PM</t>
  </si>
  <si>
    <t>April 10, 2021 at 07:02PM</t>
  </si>
  <si>
    <t>April 12, 2021 at 05:14PM</t>
  </si>
  <si>
    <t>April 12, 2021 at 05:30PM</t>
  </si>
  <si>
    <t>April 13, 2021 at 02:00PM</t>
  </si>
  <si>
    <t>April 16, 2021 at 12:40PM</t>
  </si>
  <si>
    <t>April 17, 2021 at 12:29PM</t>
  </si>
  <si>
    <t>April 18, 2021 at 12:37PM</t>
  </si>
  <si>
    <t>April 21, 2021 at 06:27PM</t>
  </si>
  <si>
    <t>June 06, 2021 at 11:48AM</t>
  </si>
  <si>
    <t>June 06, 2021 at 05:30PM</t>
  </si>
  <si>
    <t>June 09, 2021 at 12:34PM</t>
  </si>
  <si>
    <t>June 09, 2021 at 01:35PM</t>
  </si>
  <si>
    <t>June 11, 2021 at 06:28PM</t>
  </si>
  <si>
    <t>June 12, 2021 at 01:00PM</t>
  </si>
  <si>
    <t>June 12, 2021 at 06:24PM</t>
  </si>
  <si>
    <t>June 13, 2021 at 02:14PM</t>
  </si>
  <si>
    <t>June 13, 2021 at 04:04PM</t>
  </si>
  <si>
    <t>June 13, 2021 at 06:18PM</t>
  </si>
  <si>
    <t>June 14, 2021 at 07:14AM</t>
  </si>
  <si>
    <t>June 14, 2021 at 02:30PM</t>
  </si>
  <si>
    <t>June 14, 2021 at 07:35PM</t>
  </si>
  <si>
    <t>June 15, 2021 at 06:08AM</t>
  </si>
  <si>
    <t>June 15, 2021 at 02:26PM</t>
  </si>
  <si>
    <t>June 16, 2021 at 04:41AM</t>
  </si>
  <si>
    <t>June 16, 2021 at 05:22AM</t>
  </si>
  <si>
    <t>June 16, 2021 at 10:40PM</t>
  </si>
  <si>
    <t>June 17, 2021 at 08:33AM</t>
  </si>
  <si>
    <t>June 21, 2021 at 02:09AM</t>
  </si>
  <si>
    <t>June 21, 2021 at 03:01AM</t>
  </si>
  <si>
    <t>June 22, 2021 at 12:35AM</t>
  </si>
  <si>
    <t>June 24, 2021 at 07:45AM</t>
  </si>
  <si>
    <t>June 25, 2021 at 05:31AM</t>
  </si>
  <si>
    <t>June 25, 2021 at 07:34AM</t>
  </si>
  <si>
    <t>June 26, 2021 at 04:54AM</t>
  </si>
  <si>
    <t>June 26, 2021 at 06:47AM</t>
  </si>
  <si>
    <t>June 27, 2021 at 02:44AM</t>
  </si>
  <si>
    <t>June 27, 2021 at 03:22AM</t>
  </si>
  <si>
    <t>June 28, 2021 at 10:18AM</t>
  </si>
  <si>
    <t>June 28, 2021 at 10:56PM</t>
  </si>
  <si>
    <t>June 28, 2021 at 11:57PM</t>
  </si>
  <si>
    <t>June 29, 2021 at 03:42AM</t>
  </si>
  <si>
    <t>June 29, 2021 at 04:59AM</t>
  </si>
  <si>
    <t>June 29, 2021 at 10:54PM</t>
  </si>
  <si>
    <t>June 30, 2021 at 01:02AM</t>
  </si>
  <si>
    <t>July 02, 2021 at 06:53AM</t>
  </si>
  <si>
    <t>July 09, 2021 at 04:29AM</t>
  </si>
  <si>
    <t>July 09, 2021 at 05:18AM</t>
  </si>
  <si>
    <t>July 10, 2021 at 10:11AM</t>
  </si>
  <si>
    <t>July 11, 2021 at 03:39AM</t>
  </si>
  <si>
    <t>July 11, 2021 at 10:13AM</t>
  </si>
  <si>
    <t>July 11, 2021 at 10:35AM</t>
  </si>
  <si>
    <t>July 11, 2021 at 10:40PM</t>
  </si>
  <si>
    <t>July 14, 2021 at 08:57AM</t>
  </si>
  <si>
    <t>July 16, 2021 at 01:25AM</t>
  </si>
  <si>
    <t>July 18, 2021 at 09:53PM</t>
  </si>
  <si>
    <t>July 18, 2021 at 10:21PM</t>
  </si>
  <si>
    <t>July 19, 2021 at 12:11AM</t>
  </si>
  <si>
    <t>July 19, 2021 at 01:28AM</t>
  </si>
  <si>
    <t>July 19, 2021 at 02:34AM</t>
  </si>
  <si>
    <t>July 19, 2021 at 06:18AM</t>
  </si>
  <si>
    <t>July 19, 2021 at 08:11AM</t>
  </si>
  <si>
    <t>July 19, 2021 at 08:47AM</t>
  </si>
  <si>
    <t>July 20, 2021 at 02:01AM</t>
  </si>
  <si>
    <t>July 20, 2021 at 04:28AM</t>
  </si>
  <si>
    <t>July 22, 2021 at 02:07AM</t>
  </si>
  <si>
    <t>July 22, 2021 at 09:22AM</t>
  </si>
  <si>
    <t>July 23, 2021 at 02:16AM</t>
  </si>
  <si>
    <t>July 24, 2021 at 12:19AM</t>
  </si>
  <si>
    <t>July 24, 2021 at 08:38AM</t>
  </si>
  <si>
    <t>July 25, 2021 at 05:31AM</t>
  </si>
  <si>
    <t>July 26, 2021 at 02:07AM</t>
  </si>
  <si>
    <t>July 27, 2021 at 04:52AM</t>
  </si>
  <si>
    <t>August 04, 2021 at 03:08AM</t>
  </si>
  <si>
    <t>August 04, 2021 at 09:45AM</t>
  </si>
  <si>
    <t>August 05, 2021 at 02:28AM</t>
  </si>
  <si>
    <t>August 06, 2021 at 02:00AM</t>
  </si>
  <si>
    <t>August 08, 2021 at 04:14AM</t>
  </si>
  <si>
    <t>August 08, 2021 at 04:59AM</t>
  </si>
  <si>
    <t>August 08, 2021 at 06:57AM</t>
  </si>
  <si>
    <t>August 09, 2021 at 11:25PM</t>
  </si>
  <si>
    <t>August 10, 2021 at 09:41AM</t>
  </si>
  <si>
    <t>August 12, 2021 at 11:39PM</t>
  </si>
  <si>
    <t>August 14, 2021 at 10:01AM</t>
  </si>
  <si>
    <t>August 18, 2021 at 01:55AM</t>
  </si>
  <si>
    <t>August 18, 2021 at 04:14AM</t>
  </si>
  <si>
    <t>August 19, 2021 at 08:31AM</t>
  </si>
  <si>
    <t>August 20, 2021 at 12:43AM</t>
  </si>
  <si>
    <t>August 22, 2021 at 07:37AM</t>
  </si>
  <si>
    <t>August 23, 2021 at 09:08AM</t>
  </si>
  <si>
    <t>August 23, 2021 at 11:18PM</t>
  </si>
  <si>
    <t>August 24, 2021 at 12:24AM</t>
  </si>
  <si>
    <t>August 24, 2021 at 02:55AM</t>
  </si>
  <si>
    <t>August 27, 2021 at 07:56AM</t>
  </si>
  <si>
    <t>August 29, 2021 at 12:31AM</t>
  </si>
  <si>
    <t>August 29, 2021 at 04:29AM</t>
  </si>
  <si>
    <t>August 29, 2021 at 08:11AM</t>
  </si>
  <si>
    <t>September 05, 2021 at 12:23AM</t>
  </si>
  <si>
    <t>September 05, 2021 at 12:52AM</t>
  </si>
  <si>
    <t>September 06, 2021 at 01:48AM</t>
  </si>
  <si>
    <t>September 06, 2021 at 04:14AM</t>
  </si>
  <si>
    <t>September 06, 2021 at 12:07PM</t>
  </si>
  <si>
    <t>September 07, 2021 at 08:10AM</t>
  </si>
  <si>
    <t>September 09, 2021 at 04:02AM</t>
  </si>
  <si>
    <t>September 10, 2021 at 01:02AM</t>
  </si>
  <si>
    <t>September 12, 2021 at 02:07AM</t>
  </si>
  <si>
    <t>September 12, 2021 at 05:44AM</t>
  </si>
  <si>
    <t>September 17, 2021 at 04:12AM</t>
  </si>
  <si>
    <t>September 22, 2021 at 01:10PM</t>
  </si>
  <si>
    <t>September 24, 2021 at 09:55AM</t>
  </si>
  <si>
    <t>September 25, 2021 at 05:42PM</t>
  </si>
  <si>
    <t>September 28, 2021 at 02:16PM</t>
  </si>
  <si>
    <t>October 01, 2021 at 04:29PM</t>
  </si>
  <si>
    <t>October 02, 2021 at 02:51PM</t>
  </si>
  <si>
    <t>October 05, 2021 at 04:48PM</t>
  </si>
  <si>
    <t>October 08, 2021 at 08:09AM</t>
  </si>
  <si>
    <t>October 08, 2021 at 09:23AM</t>
  </si>
  <si>
    <t>October 08, 2021 at 02:40PM</t>
  </si>
  <si>
    <t>October 10, 2021 at 03:29PM</t>
  </si>
  <si>
    <t>October 11, 2021 at 09:03AM</t>
  </si>
  <si>
    <t>October 11, 2021 at 10:35AM</t>
  </si>
  <si>
    <t>October 11, 2021 at 10:36AM</t>
  </si>
  <si>
    <t>October 11, 2021 at 03:08PM</t>
  </si>
  <si>
    <t>October 23, 2021 at 01:43PM</t>
  </si>
  <si>
    <t>October 27, 2021 at 08:38AM</t>
  </si>
  <si>
    <t>October 30, 2021 at 10:30AM</t>
  </si>
  <si>
    <t>November 05, 2021 at 11:04AM</t>
  </si>
  <si>
    <t>November 05, 2021 at 01:21PM</t>
  </si>
  <si>
    <t>November 05, 2021 at 07:43PM</t>
  </si>
  <si>
    <t>November 06, 2021 at 06:46PM</t>
  </si>
  <si>
    <t>November 09, 2021 at 05:37PM</t>
  </si>
  <si>
    <t>November 12, 2021 at 01:12PM</t>
  </si>
  <si>
    <t>November 13, 2021 at 11:54AM</t>
  </si>
  <si>
    <t>November 13, 2021 at 02:33PM</t>
  </si>
  <si>
    <t>November 13, 2021 at 03:30PM</t>
  </si>
  <si>
    <t>November 18, 2021 at 09:02AM</t>
  </si>
  <si>
    <t>November 19, 2021 at 11:55AM</t>
  </si>
  <si>
    <t>November 19, 2021 at 12:46PM</t>
  </si>
  <si>
    <t>November 19, 2021 at 02:09PM</t>
  </si>
  <si>
    <t>November 29, 2021 at 11:13AM</t>
  </si>
  <si>
    <t>November 29, 2021 at 05:29PM</t>
  </si>
  <si>
    <t>December 03, 2021 at 11:45AM</t>
  </si>
  <si>
    <t>December 05, 2021 at 12:06PM</t>
  </si>
  <si>
    <t>December 07, 2021 at 07:21PM</t>
  </si>
  <si>
    <t>December 11, 2021 at 12:04PM</t>
  </si>
  <si>
    <t>December 23, 2021 at 12:25PM</t>
  </si>
  <si>
    <t>December 23, 2021 at 07:21PM</t>
  </si>
  <si>
    <t>January 05, 2022 at 03:07PM</t>
  </si>
  <si>
    <t>January 20, 2022 at 04:31PM</t>
  </si>
  <si>
    <t>January 21, 2022 at 08:38AM</t>
  </si>
  <si>
    <t>January 23, 2022 at 10:43AM</t>
  </si>
  <si>
    <t>February 05, 2022 at 05:40PM</t>
  </si>
  <si>
    <t>February 06, 2022 at 02:42PM</t>
  </si>
  <si>
    <t>February 10, 2022 at 05:12AM</t>
  </si>
  <si>
    <t>February 10, 2022 at 08:02AM</t>
  </si>
  <si>
    <t>February 10, 2022 at 10:30AM</t>
  </si>
  <si>
    <t>February 10, 2022 at 12:25PM</t>
  </si>
  <si>
    <t>February 12, 2022 at 11:11AM</t>
  </si>
  <si>
    <t>February 12, 2022 at 05:33PM</t>
  </si>
  <si>
    <t>February 12, 2022 at 06:34PM</t>
  </si>
  <si>
    <t>February 13, 2022 at 01:25PM</t>
  </si>
  <si>
    <t>February 13, 2022 at 02:03PM</t>
  </si>
  <si>
    <t>February 13, 2022 at 07:19PM</t>
  </si>
  <si>
    <t>February 13, 2022 at 07:33PM</t>
  </si>
  <si>
    <t>February 13, 2022 at 08:59PM</t>
  </si>
  <si>
    <t>February 13, 2022 at 10:52PM</t>
  </si>
  <si>
    <t>February 18, 2022 at 08:53AM</t>
  </si>
  <si>
    <t>February 20, 2022 at 10:05AM</t>
  </si>
  <si>
    <t>February 20, 2022 at 01:32PM</t>
  </si>
  <si>
    <t>February 27, 2022 at 08:53AM</t>
  </si>
  <si>
    <t>March 05, 2022 at 05:26PM</t>
  </si>
  <si>
    <t>March 07, 2022 at 08:44AM</t>
  </si>
  <si>
    <t>March 07, 2022 at 10:39AM</t>
  </si>
  <si>
    <t>March 07, 2022 at 01:34PM</t>
  </si>
  <si>
    <t>March 07, 2022 at 04:31PM</t>
  </si>
  <si>
    <t>March 07, 2022 at 07:23PM</t>
  </si>
  <si>
    <t>March 07, 2022 at 07:53PM</t>
  </si>
  <si>
    <t>March 09, 2022 at 01:31PM</t>
  </si>
  <si>
    <t>March 11, 2022 at 08:41AM</t>
  </si>
  <si>
    <t>March 11, 2022 at 02:30PM</t>
  </si>
  <si>
    <t>March 18, 2022 at 05:46PM</t>
  </si>
  <si>
    <t>March 19, 2022 at 11:16AM</t>
  </si>
  <si>
    <t>March 19, 2022 at 11:24AM</t>
  </si>
  <si>
    <t>March 19, 2022 at 05:58PM</t>
  </si>
  <si>
    <t>March 20, 2022 at 08:48AM</t>
  </si>
  <si>
    <t>March 20, 2022 at 12:52PM</t>
  </si>
  <si>
    <t>April 03, 2022 at 01:44PM</t>
  </si>
  <si>
    <t>April 06, 2022 at 10:05AM</t>
  </si>
  <si>
    <t>April 12, 2022 at 09:56AM</t>
  </si>
  <si>
    <t>April 15, 2022 at 11:25AM</t>
  </si>
  <si>
    <t>April 22, 2022 at 06:10PM</t>
  </si>
  <si>
    <t>April 22, 2022 at 06:12PM</t>
  </si>
  <si>
    <t>April 24, 2022 at 02:32PM</t>
  </si>
  <si>
    <t>May 06, 2022 at 10:35AM</t>
  </si>
  <si>
    <t>May 08, 2022 at 03:59PM</t>
  </si>
  <si>
    <t>May 15, 2022 at 02:44PM</t>
  </si>
  <si>
    <t>May 20, 2022 at 04:13PM</t>
  </si>
  <si>
    <t>June 09, 2022 at 12:02PM</t>
  </si>
  <si>
    <t>June 11, 2022 at 08:36AM</t>
  </si>
  <si>
    <t>June 11, 2022 at 10:07AM</t>
  </si>
  <si>
    <t>June 12, 2022 at 02:07PM</t>
  </si>
  <si>
    <t>June 15, 2022 at 05:27PM</t>
  </si>
  <si>
    <t>June 22, 2022 at 05:24AM</t>
  </si>
  <si>
    <t>June 22, 2022 at 05:43AM</t>
  </si>
  <si>
    <t>June 22, 2022 at 11:05AM</t>
  </si>
  <si>
    <t>June 22, 2022 at 02:59PM</t>
  </si>
  <si>
    <t>June 22, 2022 at 03:07PM</t>
  </si>
  <si>
    <t>June 23, 2022 at 12:10PM</t>
  </si>
  <si>
    <t>June 23, 2022 at 01:48PM</t>
  </si>
  <si>
    <t>June 26, 2022 at 10:18AM</t>
  </si>
  <si>
    <t>June 26, 2022 at 09:56PM</t>
  </si>
  <si>
    <t>June 28, 2022 at 08:14AM</t>
  </si>
  <si>
    <t>June 28, 2022 at 10:07AM</t>
  </si>
  <si>
    <t>June 29, 2022 at 08:03AM</t>
  </si>
  <si>
    <t>June 30, 2022 at 06:13AM</t>
  </si>
  <si>
    <t>June 30, 2022 at 03:16PM</t>
  </si>
  <si>
    <t>July 01, 2022 at 01:51PM</t>
  </si>
  <si>
    <t>July 01, 2022 at 06:14PM</t>
  </si>
  <si>
    <t>July 02, 2022 at 03:01PM</t>
  </si>
  <si>
    <t>July 03, 2022 at 07:07PM</t>
  </si>
  <si>
    <t>July 04, 2022 at 10:25AM</t>
  </si>
  <si>
    <t>July 05, 2022 at 02:01PM</t>
  </si>
  <si>
    <t>July 05, 2022 at 03:48PM</t>
  </si>
  <si>
    <t>July 06, 2022 at 01:02AM</t>
  </si>
  <si>
    <t>July 08, 2022 at 06:56PM</t>
  </si>
  <si>
    <t>July 10, 2022 at 05:50PM</t>
  </si>
  <si>
    <t>July 11, 2022 at 01:58PM</t>
  </si>
  <si>
    <t>July 17, 2022 at 01:57PM</t>
  </si>
  <si>
    <t>July 17, 2022 at 02:31PM</t>
  </si>
  <si>
    <t>July 18, 2022 at 08:17AM</t>
  </si>
  <si>
    <t>July 20, 2022 at 10:38AM</t>
  </si>
  <si>
    <t>July 20, 2022 at 11:11AM</t>
  </si>
  <si>
    <t>July 23, 2022 at 08:40AM</t>
  </si>
  <si>
    <t>July 28, 2022 at 03:30PM</t>
  </si>
  <si>
    <t>July 29, 2022 at 01:19PM</t>
  </si>
  <si>
    <t>July 30, 2022 at 07:30AM</t>
  </si>
  <si>
    <t>July 31, 2022 at 02:30AM</t>
  </si>
  <si>
    <t>July 31, 2022 at 12:22PM</t>
  </si>
  <si>
    <t>July 31, 2022 at 06:56PM</t>
  </si>
  <si>
    <t>August 01, 2022 at 12:40AM</t>
  </si>
  <si>
    <t>August 01, 2022 at 02:21AM</t>
  </si>
  <si>
    <t>August 01, 2022 at 04:30AM</t>
  </si>
  <si>
    <t>August 02, 2022 at 03:20AM</t>
  </si>
  <si>
    <t>August 02, 2022 at 04:21AM</t>
  </si>
  <si>
    <t>August 03, 2022 at 05:20AM</t>
  </si>
  <si>
    <t>August 03, 2022 at 04:58PM</t>
  </si>
  <si>
    <t>August 03, 2022 at 05:55PM</t>
  </si>
  <si>
    <t>August 03, 2022 at 10:05PM</t>
  </si>
  <si>
    <t>August 04, 2022 at 12:00AM</t>
  </si>
  <si>
    <t>August 04, 2022 at 07:45PM</t>
  </si>
  <si>
    <t>August 05, 2022 at 05:17AM</t>
  </si>
  <si>
    <t>August 05, 2022 at 08:32PM</t>
  </si>
  <si>
    <t>August 05, 2022 at 09:08PM</t>
  </si>
  <si>
    <t>August 05, 2022 at 09:58PM</t>
  </si>
  <si>
    <t>August 05, 2022 at 11:51PM</t>
  </si>
  <si>
    <t>August 06, 2022 at 12:23AM</t>
  </si>
  <si>
    <t>August 07, 2022 at 03:40AM</t>
  </si>
  <si>
    <t>August 07, 2022 at 08:23PM</t>
  </si>
  <si>
    <t>August 07, 2022 at 11:29PM</t>
  </si>
  <si>
    <t>August 08, 2022 at 12:25AM</t>
  </si>
  <si>
    <t>August 08, 2022 at 05:31AM</t>
  </si>
  <si>
    <t>August 08, 2022 at 07:42AM</t>
  </si>
  <si>
    <t>August 08, 2022 at 04:40PM</t>
  </si>
  <si>
    <t>August 08, 2022 at 09:01PM</t>
  </si>
  <si>
    <t>August 08, 2022 at 10:26PM</t>
  </si>
  <si>
    <t>August 09, 2022 at 08:35PM</t>
  </si>
  <si>
    <t>August 10, 2022 at 04:40AM</t>
  </si>
  <si>
    <t>August 11, 2022 at 02:44AM</t>
  </si>
  <si>
    <t>August 11, 2022 at 10:33PM</t>
  </si>
  <si>
    <t>August 12, 2022 at 03:12AM</t>
  </si>
  <si>
    <t>August 12, 2022 at 04:00AM</t>
  </si>
  <si>
    <t>August 12, 2022 at 06:21AM</t>
  </si>
  <si>
    <t>August 12, 2022 at 07:05PM</t>
  </si>
  <si>
    <t>August 13, 2022 at 02:21AM</t>
  </si>
  <si>
    <t>August 13, 2022 at 08:57PM</t>
  </si>
  <si>
    <t>August 14, 2022 at 04:23AM</t>
  </si>
  <si>
    <t>August 14, 2022 at 11:30PM</t>
  </si>
  <si>
    <t>August 16, 2022 at 09:04PM</t>
  </si>
  <si>
    <t>August 16, 2022 at 11:04PM</t>
  </si>
  <si>
    <t>August 17, 2022 at 05:34PM</t>
  </si>
  <si>
    <t>August 17, 2022 at 07:50PM</t>
  </si>
  <si>
    <t>August 17, 2022 at 08:38PM</t>
  </si>
  <si>
    <t>August 18, 2022 at 05:11AM</t>
  </si>
  <si>
    <t>August 18, 2022 at 05:27PM</t>
  </si>
  <si>
    <t>August 18, 2022 at 05:47PM</t>
  </si>
  <si>
    <t>August 19, 2022 at 03:51AM</t>
  </si>
  <si>
    <t>August 19, 2022 at 08:21AM</t>
  </si>
  <si>
    <t>August 19, 2022 at 04:24PM</t>
  </si>
  <si>
    <t>August 20, 2022 at 09:26AM</t>
  </si>
  <si>
    <t>August 23, 2022 at 02:22PM</t>
  </si>
  <si>
    <t>August 24, 2022 at 01:56PM</t>
  </si>
  <si>
    <t>August 24, 2022 at 04:12PM</t>
  </si>
  <si>
    <t>August 26, 2022 at 06:12PM</t>
  </si>
  <si>
    <t>August 27, 2022 at 08:31AM</t>
  </si>
  <si>
    <t>August 27, 2022 at 02:25PM</t>
  </si>
  <si>
    <t>August 27, 2022 at 05:27PM</t>
  </si>
  <si>
    <t>August 27, 2022 at 05:41PM</t>
  </si>
  <si>
    <t>August 28, 2022 at 07:41AM</t>
  </si>
  <si>
    <t>September 02, 2022 at 02:13PM</t>
  </si>
  <si>
    <t>September 04, 2022 at 06:38PM</t>
  </si>
  <si>
    <t>September 12, 2022 at 05:12PM</t>
  </si>
  <si>
    <t>September 13, 2022 at 11:59AM</t>
  </si>
  <si>
    <t>September 16, 2022 at 05:21PM</t>
  </si>
  <si>
    <t>September 25, 2022 at 09:49AM</t>
  </si>
  <si>
    <t>September 28, 2022 at 08:35AM</t>
  </si>
  <si>
    <t>September 30, 2022 at 06:08AM</t>
  </si>
  <si>
    <t>September 30, 2022 at 08:25AM</t>
  </si>
  <si>
    <t>September 30, 2022 at 10:13AM</t>
  </si>
  <si>
    <t>September 30, 2022 at 01:05PM</t>
  </si>
  <si>
    <t>September 30, 2022 at 01:22PM</t>
  </si>
  <si>
    <t>September 30, 2022 at 10:31PM</t>
  </si>
  <si>
    <t>October 04, 2022 at 04:34PM</t>
  </si>
  <si>
    <t>October 09, 2022 at 01:55PM</t>
  </si>
  <si>
    <t>October 16, 2022 at 09:28AM</t>
  </si>
  <si>
    <t>October 18, 2022 at 09:42AM</t>
  </si>
  <si>
    <t>October 23, 2022 at 12:25PM</t>
  </si>
  <si>
    <t>October 23, 2022 at 01:50PM</t>
  </si>
  <si>
    <t>October 29, 2022 at 07:07PM</t>
  </si>
  <si>
    <t>November 05, 2022 at 09:15AM</t>
  </si>
  <si>
    <t>First pumpkin spice latte, 10 yrs after invented.</t>
  </si>
  <si>
    <t>November 10, 2022 at 12:57PM</t>
  </si>
  <si>
    <t>November 18, 2022 at 06:54PM</t>
  </si>
  <si>
    <t>November 23, 2022 at 11:46AM</t>
  </si>
  <si>
    <t>November 26, 2022 at 11:42AM</t>
  </si>
  <si>
    <t>November 27, 2022 at 04:08PM</t>
  </si>
  <si>
    <t>December 02, 2022 at 08:26AM</t>
  </si>
  <si>
    <t>December 02, 2022 at 04:25PM</t>
  </si>
  <si>
    <t>December 03, 2022 at 05:28PM</t>
  </si>
  <si>
    <t>December 04, 2022 at 12:31PM</t>
  </si>
  <si>
    <t>December 06, 2022 at 03:36PM</t>
  </si>
  <si>
    <t>December 10, 2022 at 01:17PM</t>
  </si>
  <si>
    <t>December 10, 2022 at 02:44PM</t>
  </si>
  <si>
    <t>December 10, 2022 at 03:19PM</t>
  </si>
  <si>
    <t>December 10, 2022 at 03:59PM</t>
  </si>
  <si>
    <t>December 11, 2022 at 03:01PM</t>
  </si>
  <si>
    <t>December 18, 2022 at 11:51AM</t>
  </si>
  <si>
    <t>December 19, 2022 at 02:24PM</t>
  </si>
  <si>
    <t>December 22, 2022 at 12:20PM</t>
  </si>
  <si>
    <t>December 24, 2022 at 12:15PM</t>
  </si>
  <si>
    <t>December 26, 2022 at 12:04PM</t>
  </si>
  <si>
    <t>December 30, 2022 at 02:57PM</t>
  </si>
  <si>
    <t>December 30, 2022 at 05:26PM</t>
  </si>
  <si>
    <t>December 30, 2022 at 06:41PM</t>
  </si>
  <si>
    <t>December 30, 2022 at 08:15PM</t>
  </si>
  <si>
    <t>December 30, 2022 at 09:27PM</t>
  </si>
  <si>
    <t>December 31, 2022 at 06:36AM</t>
  </si>
  <si>
    <t>December 31, 2022 at 11:32AM</t>
  </si>
  <si>
    <t>December 31, 2022 at 05:36PM</t>
  </si>
  <si>
    <t>December 31, 2022 at 05:37PM</t>
  </si>
  <si>
    <t>December 31, 2022 at 06:56PM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</si>
</sst>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12">
    <font>
      <sz val="10.0"/>
      <color rgb="FF000000"/>
      <name val="Arial"/>
    </font>
    <font/>
    <font>
      <u/>
      <color rgb="FF0000FF"/>
    </font>
    <font>
      <color rgb="FF000000"/>
    </font>
    <font>
      <u/>
      <sz val="11.0"/>
      <color rgb="FF000000"/>
      <name val="Inconsolata"/>
    </font>
    <font>
      <name val="Arial"/>
    </font>
    <font>
      <color rgb="FF000000"/>
      <name val="Arial"/>
    </font>
    <font>
      <u/>
      <color rgb="FF1155CC"/>
      <name val="Arial"/>
    </font>
    <font>
      <u/>
      <sz val="11.0"/>
      <color rgb="FF000000"/>
      <name val="Inconsolata"/>
    </font>
    <font>
      <u/>
      <color rgb="FF1155CC"/>
      <name val="Arial"/>
    </font>
    <font>
      <u/>
      <color rgb="FF0000FF"/>
    </font>
    <font>
      <u/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164" xfId="0" applyAlignment="1" applyFont="1" applyNumberFormat="1">
      <alignment shrinkToFit="0" wrapText="1"/>
    </xf>
    <xf borderId="0" fillId="2" fontId="4" numFmtId="0" xfId="0" applyAlignment="1" applyFill="1" applyFont="1">
      <alignment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5" numFmtId="164" xfId="0" applyAlignment="1" applyFont="1" applyNumberFormat="1">
      <alignment shrinkToFit="0" vertical="bottom" wrapText="1"/>
    </xf>
    <xf borderId="0" fillId="0" fontId="10" numFmtId="0" xfId="0" applyAlignment="1" applyFont="1">
      <alignment shrinkToFit="0" wrapText="1"/>
    </xf>
    <xf borderId="0" fillId="2" fontId="1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1.0"/>
    <col customWidth="1" min="2" max="2" width="16.88"/>
    <col customWidth="1" min="3" max="3" width="55.38"/>
    <col customWidth="1" min="4" max="4" width="20.88"/>
    <col customWidth="1" min="5" max="5" width="50.88"/>
    <col customWidth="1" min="6" max="20" width="8.13"/>
  </cols>
  <sheetData>
    <row r="1" ht="48.75" customHeight="1">
      <c r="A1" s="1" t="s">
        <v>0</v>
      </c>
      <c r="C1" s="2" t="str">
        <f>HYPERLINK("http://4sq.com/9j2fhe","Doi Chaang Coffe ")</f>
        <v>Doi Chaang Coffe </v>
      </c>
      <c r="D1" s="3" t="str">
        <f>IMAGE("http://maps.google.com/maps/api/staticmap?center=13.729765528694138,100.58590650558472&amp;zoom=16&amp;size=420x260&amp;maptype=roadmap&amp;sensor=false&amp;markers=color:red%7C13.729765528694138,100.58590650558472",1)</f>
        <v/>
      </c>
      <c r="E1" t="str">
        <f>IFERROR(__xludf.DUMMYFUNCTION("REGEXEXTRACT(FORMULATEXT(D1),""center=([-0-9.]+,[-0-9.]+)"")"),"13.729765528694138,100.58590650558472")</f>
        <v>13.729765528694138,100.58590650558472</v>
      </c>
    </row>
    <row r="2">
      <c r="A2" s="1" t="s">
        <v>1</v>
      </c>
      <c r="C2" s="2" t="str">
        <f>HYPERLINK("http://4sq.com/hphxyG","Madrid Pizzeria &amp; Bar ")</f>
        <v>Madrid Pizzeria &amp; Bar </v>
      </c>
      <c r="D2" s="3" t="str">
        <f>IMAGE("http://maps.google.com/maps/api/staticmap?center=13.728199220910154,100.53213014536614&amp;zoom=16&amp;size=420x260&amp;maptype=roadmap&amp;sensor=false&amp;markers=color:red%7C13.728199220910154,100.53213014536614",1)</f>
        <v/>
      </c>
      <c r="E2" t="str">
        <f>IFERROR(__xludf.DUMMYFUNCTION("REGEXEXTRACT(FORMULATEXT(D2),""center=([-0-9.]+,[-0-9.]+)"")"),"13.728199220910154,100.53213014536614")</f>
        <v>13.728199220910154,100.53213014536614</v>
      </c>
    </row>
    <row r="3">
      <c r="A3" s="1" t="s">
        <v>2</v>
      </c>
      <c r="C3" s="2" t="str">
        <f>HYPERLINK("http://4sq.com/88NMQc","Four Seasons Hotel Bangkok ")</f>
        <v>Four Seasons Hotel Bangkok </v>
      </c>
      <c r="D3" s="3" t="str">
        <f>IMAGE("http://maps.google.com/maps/api/staticmap?center=13.740896248564614,100.54013729095459&amp;zoom=16&amp;size=420x260&amp;maptype=roadmap&amp;sensor=false&amp;markers=color:red%7C13.740896248564614,100.54013729095459",1)</f>
        <v/>
      </c>
      <c r="E3" t="str">
        <f>IFERROR(__xludf.DUMMYFUNCTION("REGEXEXTRACT(FORMULATEXT(D3),""center=([-0-9.]+,[-0-9.]+)"")"),"13.740896248564614,100.54013729095459")</f>
        <v>13.740896248564614,100.54013729095459</v>
      </c>
    </row>
    <row r="4">
      <c r="A4" s="1" t="s">
        <v>3</v>
      </c>
      <c r="C4" s="2" t="str">
        <f>HYPERLINK("http://4sq.com/cB0spg","Sizzler (ซิซซ์เลอร์) ")</f>
        <v>Sizzler (ซิซซ์เลอร์) </v>
      </c>
      <c r="D4" s="3" t="str">
        <f>IMAGE("http://maps.google.com/maps/api/staticmap?center=13.721365,100.583151&amp;zoom=16&amp;size=420x260&amp;maptype=roadmap&amp;sensor=false&amp;markers=color:red%7C13.721365,100.583151",1)</f>
        <v/>
      </c>
      <c r="E4" t="str">
        <f>IFERROR(__xludf.DUMMYFUNCTION("REGEXEXTRACT(FORMULATEXT(D4),""center=([-0-9.]+,[-0-9.]+)"")"),"13.721365,100.583151")</f>
        <v>13.721365,100.583151</v>
      </c>
    </row>
    <row r="5">
      <c r="A5" s="1" t="s">
        <v>4</v>
      </c>
      <c r="C5" s="2" t="str">
        <f>HYPERLINK("http://4sq.com/H9l2G9","Litehouse Asia ")</f>
        <v>Litehouse Asia </v>
      </c>
      <c r="D5" s="3" t="str">
        <f>IMAGE("http://maps.google.com/maps/api/staticmap?center=13.576553,100.772337&amp;zoom=16&amp;size=420x260&amp;maptype=roadmap&amp;sensor=false&amp;markers=color:red%7C13.576553,100.772337",1)</f>
        <v/>
      </c>
      <c r="E5" t="str">
        <f>IFERROR(__xludf.DUMMYFUNCTION("REGEXEXTRACT(FORMULATEXT(D5),""center=([-0-9.]+,[-0-9.]+)"")"),"13.576553,100.772337")</f>
        <v>13.576553,100.772337</v>
      </c>
    </row>
    <row r="6">
      <c r="A6" s="1" t="s">
        <v>5</v>
      </c>
      <c r="C6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  <c r="D6" s="3" t="str">
        <f>IMAGE("http://maps.google.com/maps/api/staticmap?center=13.73450761348332,100.57661533355713&amp;zoom=16&amp;size=420x260&amp;maptype=roadmap&amp;sensor=false&amp;markers=color:red%7C13.73450761348332,100.57661533355713",1)</f>
        <v/>
      </c>
      <c r="E6" t="str">
        <f>IFERROR(__xludf.DUMMYFUNCTION("REGEXEXTRACT(FORMULATEXT(D6),""center=([-0-9.]+,[-0-9.]+)"")"),"13.73450761348332,100.57661533355713")</f>
        <v>13.73450761348332,100.57661533355713</v>
      </c>
    </row>
    <row r="7">
      <c r="A7" s="1" t="s">
        <v>6</v>
      </c>
      <c r="C7" s="2" t="str">
        <f>HYPERLINK("http://4sq.com/9UmMqp","OOTOYA (โอโตยะ) ")</f>
        <v>OOTOYA (โอโตยะ) </v>
      </c>
      <c r="D7" s="3" t="str">
        <f>IMAGE("http://maps.google.com/maps/api/staticmap?center=13.735224780319276,100.57684063911438&amp;zoom=16&amp;size=420x260&amp;maptype=roadmap&amp;sensor=false&amp;markers=color:red%7C13.735224780319276,100.57684063911438",1)</f>
        <v/>
      </c>
      <c r="E7" t="str">
        <f>IFERROR(__xludf.DUMMYFUNCTION("REGEXEXTRACT(FORMULATEXT(D7),""center=([-0-9.]+,[-0-9.]+)"")"),"13.735224780319276,100.57684063911438")</f>
        <v>13.735224780319276,100.57684063911438</v>
      </c>
    </row>
    <row r="8">
      <c r="A8" s="1" t="s">
        <v>7</v>
      </c>
      <c r="C8" s="2" t="str">
        <f>HYPERLINK("http://4sq.com/6l6MbZ","Dusit Thani Bangkok ")</f>
        <v>Dusit Thani Bangkok </v>
      </c>
      <c r="D8" s="3" t="str">
        <f>IMAGE("http://maps.google.com/maps/api/staticmap?center=13.728848367161703,100.53690791130066&amp;zoom=16&amp;size=420x260&amp;maptype=roadmap&amp;sensor=false&amp;markers=color:red%7C13.728848367161703,100.53690791130066",1)</f>
        <v/>
      </c>
      <c r="E8" t="str">
        <f>IFERROR(__xludf.DUMMYFUNCTION("REGEXEXTRACT(FORMULATEXT(D8),""center=([-0-9.]+,[-0-9.]+)"")"),"13.728848367161703,100.53690791130066")</f>
        <v>13.728848367161703,100.53690791130066</v>
      </c>
    </row>
    <row r="9">
      <c r="A9" s="1" t="s">
        <v>8</v>
      </c>
      <c r="C9" s="2" t="str">
        <f>HYPERLINK("http://4sq.com/637ByW","Bed Supperclub ")</f>
        <v>Bed Supperclub </v>
      </c>
      <c r="D9" s="3" t="str">
        <f>IMAGE("http://maps.google.com/maps/api/staticmap?center=13.74449173330872,100.55704593658447&amp;zoom=16&amp;size=420x260&amp;maptype=roadmap&amp;sensor=false&amp;markers=color:red%7C13.74449173330872,100.55704593658447",1)</f>
        <v/>
      </c>
      <c r="E9" t="str">
        <f>IFERROR(__xludf.DUMMYFUNCTION("REGEXEXTRACT(FORMULATEXT(D9),""center=([-0-9.]+,[-0-9.]+)"")"),"13.74449173330872,100.55704593658447")</f>
        <v>13.74449173330872,100.55704593658447</v>
      </c>
    </row>
    <row r="10">
      <c r="A10" s="1" t="s">
        <v>9</v>
      </c>
      <c r="C10" s="2" t="str">
        <f t="shared" ref="C10:C11" si="1">HYPERLINK("http://4sq.com/JtOEww","Levels Club &amp; Lounge ")</f>
        <v>Levels Club &amp; Lounge </v>
      </c>
      <c r="D10" s="3" t="str">
        <f t="shared" ref="D10:D11" si="2">IMAGE("http://maps.google.com/maps/api/staticmap?center=13.744334463133368,100.55653462046759&amp;zoom=16&amp;size=420x260&amp;maptype=roadmap&amp;sensor=false&amp;markers=color:red%7C13.744334463133368,100.55653462046759",1)</f>
        <v/>
      </c>
      <c r="E10" t="str">
        <f>IFERROR(__xludf.DUMMYFUNCTION("REGEXEXTRACT(FORMULATEXT(D10),""center=([-0-9.]+,[-0-9.]+)"")"),"13.744334463133368,100.55653462046759")</f>
        <v>13.744334463133368,100.55653462046759</v>
      </c>
    </row>
    <row r="11">
      <c r="A11" s="1" t="s">
        <v>10</v>
      </c>
      <c r="C11" s="2" t="str">
        <f t="shared" si="1"/>
        <v>Levels Club &amp; Lounge </v>
      </c>
      <c r="D11" s="3" t="str">
        <f t="shared" si="2"/>
        <v/>
      </c>
      <c r="E11" t="str">
        <f>IFERROR(__xludf.DUMMYFUNCTION("REGEXEXTRACT(FORMULATEXT(D11),""center=([-0-9.]+,[-0-9.]+)"")"),"13.744334463133368,100.55653462046759")</f>
        <v>13.744334463133368,100.55653462046759</v>
      </c>
    </row>
    <row r="12">
      <c r="A12" s="1" t="s">
        <v>11</v>
      </c>
      <c r="C12" s="2" t="str">
        <f>HYPERLINK("http://4sq.com/982T1S","Pro wash carcare ")</f>
        <v>Pro wash carcare </v>
      </c>
      <c r="D12" s="3" t="str">
        <f>IMAGE("http://maps.google.com/maps/api/staticmap?center=13.729853303665772,100.59409894963042&amp;zoom=16&amp;size=420x260&amp;maptype=roadmap&amp;sensor=false&amp;markers=color:red%7C13.729853303665772,100.59409894963042",1)</f>
        <v/>
      </c>
      <c r="E12" t="str">
        <f>IFERROR(__xludf.DUMMYFUNCTION("REGEXEXTRACT(FORMULATEXT(D12),""center=([-0-9.]+,[-0-9.]+)"")"),"13.729853303665772,100.59409894963042")</f>
        <v>13.729853303665772,100.59409894963042</v>
      </c>
    </row>
    <row r="13">
      <c r="A13" s="1" t="s">
        <v>12</v>
      </c>
      <c r="C13" s="2" t="str">
        <f>HYPERLINK("http://4sq.com/e1dncS","สบายใจเก็บตะวัน (Sabaijai Kebtawan) ")</f>
        <v>สบายใจเก็บตะวัน (Sabaijai Kebtawan) </v>
      </c>
      <c r="D13" s="3" t="str">
        <f>IMAGE("http://maps.google.com/maps/api/staticmap?center=13.72946,100.585863&amp;zoom=16&amp;size=420x260&amp;maptype=roadmap&amp;sensor=false&amp;markers=color:red%7C13.72946,100.585863",1)</f>
        <v/>
      </c>
      <c r="E13" t="str">
        <f>IFERROR(__xludf.DUMMYFUNCTION("REGEXEXTRACT(FORMULATEXT(D13),""center=([-0-9.]+,[-0-9.]+)"")"),"13.72946,100.585863")</f>
        <v>13.72946,100.585863</v>
      </c>
    </row>
    <row r="14">
      <c r="A14" s="1" t="s">
        <v>13</v>
      </c>
      <c r="C14" s="2" t="str">
        <f>HYPERLINK("http://4sq.com/4SKUa9","Emporium (เอ็มโพเรียม) ")</f>
        <v>Emporium (เอ็มโพเรียม) </v>
      </c>
      <c r="D14" s="3" t="str">
        <f>IMAGE("http://maps.google.com/maps/api/staticmap?center=13.730415775878729,100.56865724131455&amp;zoom=16&amp;size=420x260&amp;maptype=roadmap&amp;sensor=false&amp;markers=color:red%7C13.730415775878729,100.56865724131455",1)</f>
        <v/>
      </c>
      <c r="E14" t="str">
        <f>IFERROR(__xludf.DUMMYFUNCTION("REGEXEXTRACT(FORMULATEXT(D14),""center=([-0-9.]+,[-0-9.]+)"")"),"13.730415775878729,100.56865724131455")</f>
        <v>13.730415775878729,100.56865724131455</v>
      </c>
    </row>
    <row r="15">
      <c r="A15" s="1" t="s">
        <v>14</v>
      </c>
      <c r="C15" s="2" t="str">
        <f>HYPERLINK("http://4sq.com/9Uu1Sp","อุทยานเบญจสิริ (Benchasiri Park) ")</f>
        <v>อุทยานเบญจสิริ (Benchasiri Park) </v>
      </c>
      <c r="D15" s="3" t="str">
        <f>IMAGE("http://maps.google.com/maps/api/staticmap?center=13.730724375551842,100.5674421787262&amp;zoom=16&amp;size=420x260&amp;maptype=roadmap&amp;sensor=false&amp;markers=color:red%7C13.730724375551842,100.5674421787262",1)</f>
        <v/>
      </c>
      <c r="E15" t="str">
        <f>IFERROR(__xludf.DUMMYFUNCTION("REGEXEXTRACT(FORMULATEXT(D15),""center=([-0-9.]+,[-0-9.]+)"")"),"13.730724375551842,100.5674421787262")</f>
        <v>13.730724375551842,100.5674421787262</v>
      </c>
    </row>
    <row r="16">
      <c r="A16" s="1" t="s">
        <v>15</v>
      </c>
      <c r="C16" s="2" t="str">
        <f>HYPERLINK("http://4sq.com/oxs7u4","Singapore Chicken Rice ")</f>
        <v>Singapore Chicken Rice </v>
      </c>
      <c r="D16" s="3" t="str">
        <f>IMAGE("http://maps.google.com/maps/api/staticmap?center=13.726339729414487,100.58518324979174&amp;zoom=16&amp;size=420x260&amp;maptype=roadmap&amp;sensor=false&amp;markers=color:red%7C13.726339729414487,100.58518324979174",1)</f>
        <v/>
      </c>
      <c r="E16" t="str">
        <f>IFERROR(__xludf.DUMMYFUNCTION("REGEXEXTRACT(FORMULATEXT(D16),""center=([-0-9.]+,[-0-9.]+)"")"),"13.726339729414487,100.58518324979174")</f>
        <v>13.726339729414487,100.58518324979174</v>
      </c>
    </row>
    <row r="17">
      <c r="A17" s="1" t="s">
        <v>16</v>
      </c>
      <c r="C17" s="2" t="str">
        <f>HYPERLINK("http://4sq.com/jJvUtE","Ramada Encore Bangkok ")</f>
        <v>Ramada Encore Bangkok </v>
      </c>
      <c r="D17" s="3" t="str">
        <f>IMAGE("http://maps.google.com/maps/api/staticmap?center=13.736983740872052,100.55728740539381&amp;zoom=16&amp;size=420x260&amp;maptype=roadmap&amp;sensor=false&amp;markers=color:red%7C13.736983740872052,100.55728740539381",1)</f>
        <v/>
      </c>
      <c r="E17" t="str">
        <f>IFERROR(__xludf.DUMMYFUNCTION("REGEXEXTRACT(FORMULATEXT(D17),""center=([-0-9.]+,[-0-9.]+)"")"),"13.736983740872052,100.55728740539381")</f>
        <v>13.736983740872052,100.55728740539381</v>
      </c>
    </row>
    <row r="18">
      <c r="A18" s="1" t="s">
        <v>17</v>
      </c>
      <c r="C18" s="2" t="str">
        <f>HYPERLINK("http://4sq.com/npzpMY","PTT Bypass Chon Buri ")</f>
        <v>PTT Bypass Chon Buri </v>
      </c>
      <c r="D18" s="3" t="str">
        <f>IMAGE("http://maps.google.com/maps/api/staticmap?center=13.349392165488286,101.00042109115707&amp;zoom=16&amp;size=420x260&amp;maptype=roadmap&amp;sensor=false&amp;markers=color:red%7C13.349392165488286,101.00042109115707",1)</f>
        <v/>
      </c>
      <c r="E18" t="str">
        <f>IFERROR(__xludf.DUMMYFUNCTION("REGEXEXTRACT(FORMULATEXT(D18),""center=([-0-9.]+,[-0-9.]+)"")"),"13.349392165488286,101.00042109115707")</f>
        <v>13.349392165488286,101.00042109115707</v>
      </c>
    </row>
    <row r="19">
      <c r="A19" s="1" t="s">
        <v>18</v>
      </c>
      <c r="B19" s="1" t="s">
        <v>19</v>
      </c>
      <c r="C19" s="2" t="str">
        <f>HYPERLINK("http://4sq.com/hvANZC","ริมทะเล บางแสน ")</f>
        <v>ริมทะเล บางแสน </v>
      </c>
      <c r="D19" s="3" t="str">
        <f>IMAGE("http://maps.google.com/maps/api/staticmap?center=13.288409174794015,100.91145160964506&amp;zoom=16&amp;size=420x260&amp;maptype=roadmap&amp;sensor=false&amp;markers=color:red%7C13.288409174794015,100.91145160964506",1)</f>
        <v/>
      </c>
      <c r="E19" t="str">
        <f>IFERROR(__xludf.DUMMYFUNCTION("REGEXEXTRACT(FORMULATEXT(D19),""center=([-0-9.]+,[-0-9.]+)"")"),"13.288409174794015,100.91145160964506")</f>
        <v>13.288409174794015,100.91145160964506</v>
      </c>
    </row>
    <row r="20">
      <c r="A20" s="1" t="s">
        <v>20</v>
      </c>
      <c r="C20" s="2" t="str">
        <f>HYPERLINK("http://4sq.com/IN16pe","Megabangna (เมกาบางนา) ")</f>
        <v>Megabangna (เมกาบางนา) </v>
      </c>
      <c r="D20" s="3" t="str">
        <f>IMAGE("http://maps.google.com/maps/api/staticmap?center=13.647321336800458,100.68099617958069&amp;zoom=16&amp;size=420x260&amp;maptype=roadmap&amp;sensor=false&amp;markers=color:red%7C13.647321336800458,100.68099617958069",1)</f>
        <v/>
      </c>
      <c r="E20" t="str">
        <f>IFERROR(__xludf.DUMMYFUNCTION("REGEXEXTRACT(FORMULATEXT(D20),""center=([-0-9.]+,[-0-9.]+)"")"),"13.647321336800458,100.68099617958069")</f>
        <v>13.647321336800458,100.68099617958069</v>
      </c>
    </row>
    <row r="21">
      <c r="A21" s="1" t="s">
        <v>21</v>
      </c>
      <c r="C21" s="2" t="str">
        <f>HYPERLINK("http://4sq.com/KWSriA","Bangkok Burger Company ")</f>
        <v>Bangkok Burger Company </v>
      </c>
      <c r="D21" s="3" t="str">
        <f>IMAGE("http://maps.google.com/maps/api/staticmap?center=13.645358660808174,100.68053007696324&amp;zoom=16&amp;size=420x260&amp;maptype=roadmap&amp;sensor=false&amp;markers=color:red%7C13.645358660808174,100.68053007696324",1)</f>
        <v/>
      </c>
      <c r="E21" t="str">
        <f>IFERROR(__xludf.DUMMYFUNCTION("REGEXEXTRACT(FORMULATEXT(D21),""center=([-0-9.]+,[-0-9.]+)"")"),"13.645358660808174,100.68053007696324")</f>
        <v>13.645358660808174,100.68053007696324</v>
      </c>
    </row>
    <row r="22">
      <c r="A22" s="1" t="s">
        <v>22</v>
      </c>
      <c r="C22" s="2" t="str">
        <f>HYPERLINK("http://4sq.com/mSCNSR","Food by Phone ")</f>
        <v>Food by Phone </v>
      </c>
      <c r="D22" s="3" t="str">
        <f>IMAGE("http://maps.google.com/maps/api/staticmap?center=13.731937460163843,100.5629582167787&amp;zoom=16&amp;size=420x260&amp;maptype=roadmap&amp;sensor=false&amp;markers=color:red%7C13.731937460163843,100.5629582167787",1)</f>
        <v/>
      </c>
      <c r="E22" t="str">
        <f>IFERROR(__xludf.DUMMYFUNCTION("REGEXEXTRACT(FORMULATEXT(D22),""center=([-0-9.]+,[-0-9.]+)"")"),"13.731937460163843,100.5629582167787")</f>
        <v>13.731937460163843,100.5629582167787</v>
      </c>
    </row>
    <row r="23">
      <c r="A23" s="1" t="s">
        <v>23</v>
      </c>
      <c r="C23" s="2" t="str">
        <f>HYPERLINK("http://4sq.com/akePoH","TrueCoffee (ทรูคอฟฟี่) ")</f>
        <v>TrueCoffee (ทรูคอฟฟี่) </v>
      </c>
      <c r="D23" s="3" t="str">
        <f>IMAGE("http://maps.google.com/maps/api/staticmap?center=13.745596421887042,100.53357124328613&amp;zoom=16&amp;size=420x260&amp;maptype=roadmap&amp;sensor=false&amp;markers=color:red%7C13.745596421887042,100.53357124328613",1)</f>
        <v/>
      </c>
      <c r="E23" t="str">
        <f>IFERROR(__xludf.DUMMYFUNCTION("REGEXEXTRACT(FORMULATEXT(D23),""center=([-0-9.]+,[-0-9.]+)"")"),"13.745596421887042,100.53357124328613")</f>
        <v>13.745596421887042,100.53357124328613</v>
      </c>
    </row>
    <row r="24">
      <c r="A24" s="1" t="s">
        <v>24</v>
      </c>
      <c r="C24" s="2" t="str">
        <f>HYPERLINK("http://4sq.com/bxxPVU","Tesco Lotus (เทสโก้ โลตัส) ")</f>
        <v>Tesco Lotus (เทสโก้ โลตัส) </v>
      </c>
      <c r="D24" s="3" t="str">
        <f>IMAGE("http://maps.google.com/maps/api/staticmap?center=13.80161605048938,100.61391949653625&amp;zoom=16&amp;size=420x260&amp;maptype=roadmap&amp;sensor=false&amp;markers=color:red%7C13.80161605048938,100.61391949653625",1)</f>
        <v/>
      </c>
      <c r="E24" t="str">
        <f>IFERROR(__xludf.DUMMYFUNCTION("REGEXEXTRACT(FORMULATEXT(D24),""center=([-0-9.]+,[-0-9.]+)"")"),"13.80161605048938,100.61391949653625")</f>
        <v>13.80161605048938,100.61391949653625</v>
      </c>
    </row>
    <row r="25">
      <c r="A25" s="1" t="s">
        <v>25</v>
      </c>
      <c r="C25" s="2" t="str">
        <f>HYPERLINK("http://4sq.com/9tK9rd","The Westin Grande Sukhumvit Bangkok ")</f>
        <v>The Westin Grande Sukhumvit Bangkok </v>
      </c>
      <c r="D25" s="3" t="str">
        <f>IMAGE("http://maps.google.com/maps/api/staticmap?center=13.737963631748592,100.55987549398759&amp;zoom=16&amp;size=420x260&amp;maptype=roadmap&amp;sensor=false&amp;markers=color:red%7C13.737963631748592,100.55987549398759",1)</f>
        <v/>
      </c>
      <c r="E25" t="str">
        <f>IFERROR(__xludf.DUMMYFUNCTION("REGEXEXTRACT(FORMULATEXT(D25),""center=([-0-9.]+,[-0-9.]+)"")"),"13.737963631748592,100.55987549398759")</f>
        <v>13.737963631748592,100.55987549398759</v>
      </c>
    </row>
    <row r="26">
      <c r="A26" s="1" t="s">
        <v>26</v>
      </c>
      <c r="C26" s="2" t="str">
        <f>HYPERLINK("http://4sq.com/vaGEut","Mulligan's Irish Pub and Restaurant ")</f>
        <v>Mulligan's Irish Pub and Restaurant </v>
      </c>
      <c r="D26" s="3" t="str">
        <f>IMAGE("http://maps.google.com/maps/api/staticmap?center=13.744033181802735,100.55689573287964&amp;zoom=16&amp;size=420x260&amp;maptype=roadmap&amp;sensor=false&amp;markers=color:red%7C13.744033181802735,100.55689573287964",1)</f>
        <v/>
      </c>
      <c r="E26" t="str">
        <f>IFERROR(__xludf.DUMMYFUNCTION("REGEXEXTRACT(FORMULATEXT(D26),""center=([-0-9.]+,[-0-9.]+)"")"),"13.744033181802735,100.55689573287964")</f>
        <v>13.744033181802735,100.55689573287964</v>
      </c>
    </row>
    <row r="27">
      <c r="A27" s="1" t="s">
        <v>27</v>
      </c>
      <c r="C27" s="2" t="str">
        <f>HYPERLINK("http://4sq.com/JtOEww","Levels Club &amp; Lounge ")</f>
        <v>Levels Club &amp; Lounge </v>
      </c>
      <c r="D27" s="3" t="str">
        <f>IMAGE("http://maps.google.com/maps/api/staticmap?center=13.744334463133368,100.55653462046759&amp;zoom=16&amp;size=420x260&amp;maptype=roadmap&amp;sensor=false&amp;markers=color:red%7C13.744334463133368,100.55653462046759",1)</f>
        <v/>
      </c>
      <c r="E27" t="str">
        <f>IFERROR(__xludf.DUMMYFUNCTION("REGEXEXTRACT(FORMULATEXT(D27),""center=([-0-9.]+,[-0-9.]+)"")"),"13.744334463133368,100.55653462046759")</f>
        <v>13.744334463133368,100.55653462046759</v>
      </c>
    </row>
    <row r="28">
      <c r="A28" s="1" t="s">
        <v>28</v>
      </c>
      <c r="C28" s="2" t="str">
        <f>HYPERLINK("http://4sq.com/cD2Ukz","Au Bon Pain (โอ บอง แปง) ")</f>
        <v>Au Bon Pain (โอ บอง แปง) </v>
      </c>
      <c r="D28" s="3" t="str">
        <f>IMAGE("http://maps.google.com/maps/api/staticmap?center=13.735019,100.576703&amp;zoom=16&amp;size=420x260&amp;maptype=roadmap&amp;sensor=false&amp;markers=color:red%7C13.735019,100.576703",1)</f>
        <v/>
      </c>
      <c r="E28" t="str">
        <f>IFERROR(__xludf.DUMMYFUNCTION("REGEXEXTRACT(FORMULATEXT(D28),""center=([-0-9.]+,[-0-9.]+)"")"),"13.735019,100.576703")</f>
        <v>13.735019,100.576703</v>
      </c>
    </row>
    <row r="29">
      <c r="A29" s="1" t="s">
        <v>29</v>
      </c>
      <c r="C29" s="2" t="str">
        <f>HYPERLINK("http://4sq.com/exXZGv","BTS บางนา (Bang Na) E13 ")</f>
        <v>BTS บางนา (Bang Na) E13 </v>
      </c>
      <c r="D29" s="3" t="str">
        <f>IMAGE("http://maps.google.com/maps/api/staticmap?center=13.668114923709362,100.6046712398529&amp;zoom=16&amp;size=420x260&amp;maptype=roadmap&amp;sensor=false&amp;markers=color:red%7C13.668114923709362,100.6046712398529",1)</f>
        <v/>
      </c>
      <c r="E29" t="str">
        <f>IFERROR(__xludf.DUMMYFUNCTION("REGEXEXTRACT(FORMULATEXT(D29),""center=([-0-9.]+,[-0-9.]+)"")"),"13.668114923709362,100.6046712398529")</f>
        <v>13.668114923709362,100.6046712398529</v>
      </c>
    </row>
    <row r="30">
      <c r="A30" s="1" t="s">
        <v>30</v>
      </c>
      <c r="C30" s="2" t="str">
        <f>HYPERLINK("http://4sq.com/989PFv","BITEC (ศูนย์นิทรรศการและการประชุมไบเทค) ")</f>
        <v>BITEC (ศูนย์นิทรรศการและการประชุมไบเทค) </v>
      </c>
      <c r="D30" s="3" t="str">
        <f>IMAGE("http://maps.google.com/maps/api/staticmap?center=13.670569999284455,100.61034679412842&amp;zoom=16&amp;size=420x260&amp;maptype=roadmap&amp;sensor=false&amp;markers=color:red%7C13.670569999284455,100.61034679412842",1)</f>
        <v/>
      </c>
      <c r="E30" t="str">
        <f>IFERROR(__xludf.DUMMYFUNCTION("REGEXEXTRACT(FORMULATEXT(D30),""center=([-0-9.]+,[-0-9.]+)"")"),"13.670569999284455,100.61034679412842")</f>
        <v>13.670569999284455,100.61034679412842</v>
      </c>
    </row>
    <row r="31">
      <c r="A31" s="1" t="s">
        <v>31</v>
      </c>
      <c r="C31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  <c r="D31" s="3" t="str">
        <f>IMAGE("http://maps.google.com/maps/api/staticmap?center=13.71908245892265,100.58520913124084&amp;zoom=16&amp;size=420x260&amp;maptype=roadmap&amp;sensor=false&amp;markers=color:red%7C13.71908245892265,100.58520913124084",1)</f>
        <v/>
      </c>
      <c r="E31" t="str">
        <f>IFERROR(__xludf.DUMMYFUNCTION("REGEXEXTRACT(FORMULATEXT(D31),""center=([-0-9.]+,[-0-9.]+)"")"),"13.71908245892265,100.58520913124084")</f>
        <v>13.71908245892265,100.58520913124084</v>
      </c>
    </row>
    <row r="32">
      <c r="A32" s="1" t="s">
        <v>32</v>
      </c>
      <c r="C32" s="2" t="str">
        <f>HYPERLINK("http://4sq.com/OU9B8n","Nakiya ")</f>
        <v>Nakiya </v>
      </c>
      <c r="D32" s="3" t="str">
        <f>IMAGE("http://maps.google.com/maps/api/staticmap?center=13.71922,100.585124&amp;zoom=16&amp;size=420x260&amp;maptype=roadmap&amp;sensor=false&amp;markers=color:red%7C13.71922,100.585124",1)</f>
        <v/>
      </c>
      <c r="E32" t="str">
        <f>IFERROR(__xludf.DUMMYFUNCTION("REGEXEXTRACT(FORMULATEXT(D32),""center=([-0-9.]+,[-0-9.]+)"")"),"13.71922,100.585124")</f>
        <v>13.71922,100.585124</v>
      </c>
    </row>
    <row r="33">
      <c r="A33" s="1" t="s">
        <v>33</v>
      </c>
      <c r="C33" s="2" t="str">
        <f>HYPERLINK("http://4sq.com/cVvKnp","Doi Chaang (กาแฟดอยช้าง) ")</f>
        <v>Doi Chaang (กาแฟดอยช้าง) </v>
      </c>
      <c r="D33" s="3" t="str">
        <f>IMAGE("http://maps.google.com/maps/api/staticmap?center=13.819244447544405,100.59275150299072&amp;zoom=16&amp;size=420x260&amp;maptype=roadmap&amp;sensor=false&amp;markers=color:red%7C13.819244447544405,100.59275150299072",1)</f>
        <v/>
      </c>
      <c r="E33" t="str">
        <f>IFERROR(__xludf.DUMMYFUNCTION("REGEXEXTRACT(FORMULATEXT(D33),""center=([-0-9.]+,[-0-9.]+)"")"),"13.819244447544405,100.59275150299072")</f>
        <v>13.819244447544405,100.59275150299072</v>
      </c>
    </row>
    <row r="34">
      <c r="A34" s="1" t="s">
        <v>34</v>
      </c>
      <c r="C34" s="2" t="str">
        <f>HYPERLINK("http://4sq.com/9re5J6","Night Food Stall Street ")</f>
        <v>Night Food Stall Street </v>
      </c>
      <c r="D34" s="3" t="str">
        <f>IMAGE("http://maps.google.com/maps/api/staticmap?center=13.723126448894282,100.57901859283447&amp;zoom=16&amp;size=420x260&amp;maptype=roadmap&amp;sensor=false&amp;markers=color:red%7C13.723126448894282,100.57901859283447",1)</f>
        <v/>
      </c>
      <c r="E34" t="str">
        <f>IFERROR(__xludf.DUMMYFUNCTION("REGEXEXTRACT(FORMULATEXT(D34),""center=([-0-9.]+,[-0-9.]+)"")"),"13.723126448894282,100.57901859283447")</f>
        <v>13.723126448894282,100.57901859283447</v>
      </c>
    </row>
    <row r="35">
      <c r="A35" s="1" t="s">
        <v>35</v>
      </c>
      <c r="C35" s="2" t="str">
        <f>HYPERLINK("http://4sq.com/aGMW2Q","The Landmark Bangkok ")</f>
        <v>The Landmark Bangkok </v>
      </c>
      <c r="D35" s="3" t="str">
        <f>IMAGE("http://maps.google.com/maps/api/staticmap?center=13.74078160901291,100.5540418624878&amp;zoom=16&amp;size=420x260&amp;maptype=roadmap&amp;sensor=false&amp;markers=color:red%7C13.74078160901291,100.5540418624878",1)</f>
        <v/>
      </c>
      <c r="E35" t="str">
        <f>IFERROR(__xludf.DUMMYFUNCTION("REGEXEXTRACT(FORMULATEXT(D35),""center=([-0-9.]+,[-0-9.]+)"")"),"13.74078160901291,100.5540418624878")</f>
        <v>13.74078160901291,100.5540418624878</v>
      </c>
    </row>
    <row r="36">
      <c r="A36" s="1" t="s">
        <v>36</v>
      </c>
      <c r="C36" s="2" t="str">
        <f>HYPERLINK("http://4sq.com/aeDVYJ","Pullman Bangkok King Power ")</f>
        <v>Pullman Bangkok King Power </v>
      </c>
      <c r="D36" s="3" t="str">
        <f>IMAGE("http://maps.google.com/maps/api/staticmap?center=13.75879439245982,100.53763459575924&amp;zoom=16&amp;size=420x260&amp;maptype=roadmap&amp;sensor=false&amp;markers=color:red%7C13.75879439245982,100.53763459575924",1)</f>
        <v/>
      </c>
      <c r="E36" t="str">
        <f>IFERROR(__xludf.DUMMYFUNCTION("REGEXEXTRACT(FORMULATEXT(D36),""center=([-0-9.]+,[-0-9.]+)"")"),"13.75879439245982,100.53763459575924")</f>
        <v>13.75879439245982,100.53763459575924</v>
      </c>
    </row>
    <row r="37">
      <c r="A37" s="1" t="s">
        <v>37</v>
      </c>
      <c r="C37" s="2" t="str">
        <f>HYPERLINK("http://4sq.com/g7rpC8","Playtime@Play Lane ")</f>
        <v>Playtime@Play Lane </v>
      </c>
      <c r="D37" s="3" t="str">
        <f>IMAGE("http://maps.google.com/maps/api/staticmap?center=13.723240199073846,100.58435328702961&amp;zoom=16&amp;size=420x260&amp;maptype=roadmap&amp;sensor=false&amp;markers=color:red%7C13.723240199073846,100.58435328702961",1)</f>
        <v/>
      </c>
      <c r="E37" t="str">
        <f>IFERROR(__xludf.DUMMYFUNCTION("REGEXEXTRACT(FORMULATEXT(D37),""center=([-0-9.]+,[-0-9.]+)"")"),"13.723240199073846,100.58435328702961")</f>
        <v>13.723240199073846,100.58435328702961</v>
      </c>
    </row>
    <row r="38">
      <c r="A38" s="1" t="s">
        <v>38</v>
      </c>
      <c r="C38" s="2" t="str">
        <f>HYPERLINK("http://4sq.com/e3gDzA","Omu (โอมุ) おむ ")</f>
        <v>Omu (โอมุ) おむ </v>
      </c>
      <c r="D38" s="3" t="str">
        <f>IMAGE("http://maps.google.com/maps/api/staticmap?center=13.723001378083904,100.58403968811035&amp;zoom=16&amp;size=420x260&amp;maptype=roadmap&amp;sensor=false&amp;markers=color:red%7C13.723001378083904,100.58403968811035",1)</f>
        <v/>
      </c>
      <c r="E38" t="str">
        <f>IFERROR(__xludf.DUMMYFUNCTION("REGEXEXTRACT(FORMULATEXT(D38),""center=([-0-9.]+,[-0-9.]+)"")"),"13.723001378083904,100.58403968811035")</f>
        <v>13.723001378083904,100.58403968811035</v>
      </c>
    </row>
    <row r="39">
      <c r="A39" s="1" t="s">
        <v>39</v>
      </c>
      <c r="C39" s="2" t="str">
        <f>HYPERLINK("http://4sq.com/yiWuCo","PTT: Nak Niwat ")</f>
        <v>PTT: Nak Niwat </v>
      </c>
      <c r="D39" s="3" t="str">
        <f>IMAGE("http://maps.google.com/maps/api/staticmap?center=13.809880752533928,100.6094093566662&amp;zoom=16&amp;size=420x260&amp;maptype=roadmap&amp;sensor=false&amp;markers=color:red%7C13.809880752533928,100.6094093566662",1)</f>
        <v/>
      </c>
      <c r="E39" t="str">
        <f>IFERROR(__xludf.DUMMYFUNCTION("REGEXEXTRACT(FORMULATEXT(D39),""center=([-0-9.]+,[-0-9.]+)"")"),"13.809880752533928,100.6094093566662")</f>
        <v>13.809880752533928,100.6094093566662</v>
      </c>
    </row>
    <row r="40">
      <c r="A40" s="1" t="s">
        <v>40</v>
      </c>
      <c r="C40" s="2" t="str">
        <f>HYPERLINK("http://4sq.com/cbXVJ2","การไฟฟ้านครหลวงเขต สาขาย่อยนาคนิวาส ")</f>
        <v>การไฟฟ้านครหลวงเขต สาขาย่อยนาคนิวาส </v>
      </c>
      <c r="D40" s="3" t="str">
        <f>IMAGE("http://maps.google.com/maps/api/staticmap?center=13.805327,100.607403&amp;zoom=16&amp;size=420x260&amp;maptype=roadmap&amp;sensor=false&amp;markers=color:red%7C13.805327,100.607403",1)</f>
        <v/>
      </c>
      <c r="E40" t="str">
        <f>IFERROR(__xludf.DUMMYFUNCTION("REGEXEXTRACT(FORMULATEXT(D40),""center=([-0-9.]+,[-0-9.]+)"")"),"13.805327,100.607403")</f>
        <v>13.805327,100.607403</v>
      </c>
    </row>
    <row r="41">
      <c r="A41" s="1" t="s">
        <v>41</v>
      </c>
      <c r="C41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  <c r="D41" s="3" t="str">
        <f>IMAGE("http://maps.google.com/maps/api/staticmap?center=13.73450761348332,100.57661533355713&amp;zoom=16&amp;size=420x260&amp;maptype=roadmap&amp;sensor=false&amp;markers=color:red%7C13.73450761348332,100.57661533355713",1)</f>
        <v/>
      </c>
      <c r="E41" t="str">
        <f>IFERROR(__xludf.DUMMYFUNCTION("REGEXEXTRACT(FORMULATEXT(D41),""center=([-0-9.]+,[-0-9.]+)"")"),"13.73450761348332,100.57661533355713")</f>
        <v>13.73450761348332,100.57661533355713</v>
      </c>
    </row>
    <row r="42">
      <c r="A42" s="1" t="s">
        <v>42</v>
      </c>
      <c r="C42" s="2" t="str">
        <f>HYPERLINK("http://4sq.com/57s7nj","BTS สะพานตากสิน (Saphan Taksin) S6 ")</f>
        <v>BTS สะพานตากสิน (Saphan Taksin) S6 </v>
      </c>
      <c r="D42" s="3" t="str">
        <f>IMAGE("http://maps.google.com/maps/api/staticmap?center=13.718769776383237,100.51408767700195&amp;zoom=16&amp;size=420x260&amp;maptype=roadmap&amp;sensor=false&amp;markers=color:red%7C13.718769776383237,100.51408767700195",1)</f>
        <v/>
      </c>
      <c r="E42" t="str">
        <f>IFERROR(__xludf.DUMMYFUNCTION("REGEXEXTRACT(FORMULATEXT(D42),""center=([-0-9.]+,[-0-9.]+)"")"),"13.718769776383237,100.51408767700195")</f>
        <v>13.718769776383237,100.51408767700195</v>
      </c>
    </row>
    <row r="43">
      <c r="A43" s="1" t="s">
        <v>43</v>
      </c>
      <c r="C43" s="2" t="str">
        <f>HYPERLINK("http://4sq.com/dgiNh8","River City (ริเวอร์ซิตี้) ")</f>
        <v>River City (ริเวอร์ซิตี้) </v>
      </c>
      <c r="D43" s="3" t="str">
        <f>IMAGE("http://maps.google.com/maps/api/staticmap?center=13.730494322273055,100.51300447366165&amp;zoom=16&amp;size=420x260&amp;maptype=roadmap&amp;sensor=false&amp;markers=color:red%7C13.730494322273055,100.51300447366165",1)</f>
        <v/>
      </c>
      <c r="E43" t="str">
        <f>IFERROR(__xludf.DUMMYFUNCTION("REGEXEXTRACT(FORMULATEXT(D43),""center=([-0-9.]+,[-0-9.]+)"")"),"13.730494322273055,100.51300447366165")</f>
        <v>13.730494322273055,100.51300447366165</v>
      </c>
    </row>
    <row r="44">
      <c r="A44" s="1" t="s">
        <v>43</v>
      </c>
      <c r="C44" s="2" t="str">
        <f t="shared" ref="C44:C45" si="3">HYPERLINK("http://4sq.com/nTqH1Q","Viva &amp; Aviv The River ")</f>
        <v>Viva &amp; Aviv The River </v>
      </c>
      <c r="D44" s="3" t="str">
        <f t="shared" ref="D44:D45" si="4">IMAGE("http://maps.google.com/maps/api/staticmap?center=13.730201310454282,100.51293856785138&amp;zoom=16&amp;size=420x260&amp;maptype=roadmap&amp;sensor=false&amp;markers=color:red%7C13.730201310454282,100.51293856785138",1)</f>
        <v/>
      </c>
      <c r="E44" t="str">
        <f>IFERROR(__xludf.DUMMYFUNCTION("REGEXEXTRACT(FORMULATEXT(D44),""center=([-0-9.]+,[-0-9.]+)"")"),"13.730201310454282,100.51293856785138")</f>
        <v>13.730201310454282,100.51293856785138</v>
      </c>
    </row>
    <row r="45">
      <c r="A45" s="1" t="s">
        <v>44</v>
      </c>
      <c r="C45" s="2" t="str">
        <f t="shared" si="3"/>
        <v>Viva &amp; Aviv The River </v>
      </c>
      <c r="D45" s="3" t="str">
        <f t="shared" si="4"/>
        <v/>
      </c>
      <c r="E45" t="str">
        <f>IFERROR(__xludf.DUMMYFUNCTION("REGEXEXTRACT(FORMULATEXT(D45),""center=([-0-9.]+,[-0-9.]+)"")"),"13.730201310454282,100.51293856785138")</f>
        <v>13.730201310454282,100.51293856785138</v>
      </c>
    </row>
    <row r="46">
      <c r="A46" s="1" t="s">
        <v>45</v>
      </c>
      <c r="C46" s="2" t="str">
        <f>HYPERLINK("http://4sq.com/60bYEf","ปากคลองตลาด (Pak Khlong Market) ")</f>
        <v>ปากคลองตลาด (Pak Khlong Market) </v>
      </c>
      <c r="D46" s="3" t="str">
        <f>IMAGE("http://maps.google.com/maps/api/staticmap?center=13.742019473713611,100.49724884323378&amp;zoom=16&amp;size=420x260&amp;maptype=roadmap&amp;sensor=false&amp;markers=color:red%7C13.742019473713611,100.49724884323378",1)</f>
        <v/>
      </c>
      <c r="E46" t="str">
        <f>IFERROR(__xludf.DUMMYFUNCTION("REGEXEXTRACT(FORMULATEXT(D46),""center=([-0-9.]+,[-0-9.]+)"")"),"13.742019473713611,100.49724884323378")</f>
        <v>13.742019473713611,100.49724884323378</v>
      </c>
    </row>
    <row r="47">
      <c r="A47" s="1" t="s">
        <v>46</v>
      </c>
      <c r="C47" s="2" t="str">
        <f>HYPERLINK("http://4sq.com/P9FO7e","Wine I Love You ")</f>
        <v>Wine I Love You </v>
      </c>
      <c r="D47" s="3" t="str">
        <f>IMAGE("http://maps.google.com/maps/api/staticmap?center=13.720133943715584,100.56800289492108&amp;zoom=16&amp;size=420x260&amp;maptype=roadmap&amp;sensor=false&amp;markers=color:red%7C13.720133943715584,100.56800289492108",1)</f>
        <v/>
      </c>
      <c r="E47" t="str">
        <f>IFERROR(__xludf.DUMMYFUNCTION("REGEXEXTRACT(FORMULATEXT(D47),""center=([-0-9.]+,[-0-9.]+)"")"),"13.720133943715584,100.56800289492108")</f>
        <v>13.720133943715584,100.56800289492108</v>
      </c>
    </row>
    <row r="48">
      <c r="A48" s="1" t="s">
        <v>47</v>
      </c>
      <c r="C48" s="2" t="str">
        <f>HYPERLINK("http://4sq.com/9n3t6o","Pullman Bangkok Hotel G ")</f>
        <v>Pullman Bangkok Hotel G </v>
      </c>
      <c r="D48" s="3" t="str">
        <f>IMAGE("http://maps.google.com/maps/api/staticmap?center=13.725950770764367,100.52587349144106&amp;zoom=16&amp;size=420x260&amp;maptype=roadmap&amp;sensor=false&amp;markers=color:red%7C13.725950770764367,100.52587349144106",1)</f>
        <v/>
      </c>
      <c r="E48" t="str">
        <f>IFERROR(__xludf.DUMMYFUNCTION("REGEXEXTRACT(FORMULATEXT(D48),""center=([-0-9.]+,[-0-9.]+)"")"),"13.725950770764367,100.52587349144106")</f>
        <v>13.725950770764367,100.52587349144106</v>
      </c>
    </row>
    <row r="49">
      <c r="A49" s="1" t="s">
        <v>48</v>
      </c>
      <c r="C49" s="2" t="str">
        <f>HYPERLINK("http://4sq.com/aMJWwb","Scarlett ")</f>
        <v>Scarlett </v>
      </c>
      <c r="D49" s="3" t="str">
        <f>IMAGE("http://maps.google.com/maps/api/staticmap?center=13.725857144967879,100.52588939666748&amp;zoom=16&amp;size=420x260&amp;maptype=roadmap&amp;sensor=false&amp;markers=color:red%7C13.725857144967879,100.52588939666748",1)</f>
        <v/>
      </c>
      <c r="E49" t="str">
        <f>IFERROR(__xludf.DUMMYFUNCTION("REGEXEXTRACT(FORMULATEXT(D49),""center=([-0-9.]+,[-0-9.]+)"")"),"13.725857144967879,100.52588939666748")</f>
        <v>13.725857144967879,100.52588939666748</v>
      </c>
    </row>
    <row r="50">
      <c r="A50" s="1" t="s">
        <v>49</v>
      </c>
      <c r="C50" s="2" t="str">
        <f>HYPERLINK("http://4sq.com/Oc8ITm","El Osito Sandwiches &amp; Tapas ")</f>
        <v>El Osito Sandwiches &amp; Tapas </v>
      </c>
      <c r="D50" s="3" t="str">
        <f>IMAGE("http://maps.google.com/maps/api/staticmap?center=13.742080715605356,100.54923237696917&amp;zoom=16&amp;size=420x260&amp;maptype=roadmap&amp;sensor=false&amp;markers=color:red%7C13.742080715605356,100.54923237696917",1)</f>
        <v/>
      </c>
      <c r="E50" t="str">
        <f>IFERROR(__xludf.DUMMYFUNCTION("REGEXEXTRACT(FORMULATEXT(D50),""center=([-0-9.]+,[-0-9.]+)"")"),"13.742080715605356,100.54923237696917")</f>
        <v>13.742080715605356,100.54923237696917</v>
      </c>
    </row>
    <row r="51">
      <c r="A51" s="1" t="s">
        <v>50</v>
      </c>
      <c r="C51" s="2" t="str">
        <f>HYPERLINK("http://4sq.com/hoFGT4","Mojo's ")</f>
        <v>Mojo's </v>
      </c>
      <c r="D51" s="3" t="str">
        <f>IMAGE("http://maps.google.com/maps/api/staticmap?center=13.733695,100.567939&amp;zoom=16&amp;size=420x260&amp;maptype=roadmap&amp;sensor=false&amp;markers=color:red%7C13.733695,100.567939",1)</f>
        <v/>
      </c>
      <c r="E51" t="str">
        <f>IFERROR(__xludf.DUMMYFUNCTION("REGEXEXTRACT(FORMULATEXT(D51),""center=([-0-9.]+,[-0-9.]+)"")"),"13.733695,100.567939")</f>
        <v>13.733695,100.567939</v>
      </c>
    </row>
    <row r="52">
      <c r="A52" s="1" t="s">
        <v>51</v>
      </c>
      <c r="C52" s="2" t="str">
        <f>HYPERLINK("http://4sq.com/KWSriA","Bangkok Burger Company ")</f>
        <v>Bangkok Burger Company </v>
      </c>
      <c r="D52" s="3" t="str">
        <f>IMAGE("http://maps.google.com/maps/api/staticmap?center=13.645358660808174,100.68053007696324&amp;zoom=16&amp;size=420x260&amp;maptype=roadmap&amp;sensor=false&amp;markers=color:red%7C13.645358660808174,100.68053007696324",1)</f>
        <v/>
      </c>
      <c r="E52" t="str">
        <f>IFERROR(__xludf.DUMMYFUNCTION("REGEXEXTRACT(FORMULATEXT(D52),""center=([-0-9.]+,[-0-9.]+)"")"),"13.645358660808174,100.68053007696324")</f>
        <v>13.645358660808174,100.68053007696324</v>
      </c>
    </row>
    <row r="53">
      <c r="A53" s="1" t="s">
        <v>52</v>
      </c>
      <c r="C53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D53" s="3" t="str">
        <f>IMAGE("http://maps.google.com/maps/api/staticmap?center=13.692607593567537,100.75172189579953&amp;zoom=16&amp;size=420x260&amp;maptype=roadmap&amp;sensor=false&amp;markers=color:red%7C13.692607593567537,100.75172189579953",1)</f>
        <v/>
      </c>
      <c r="E53" t="str">
        <f>IFERROR(__xludf.DUMMYFUNCTION("REGEXEXTRACT(FORMULATEXT(D53),""center=([-0-9.]+,[-0-9.]+)"")"),"13.692607593567537,100.75172189579953")</f>
        <v>13.692607593567537,100.75172189579953</v>
      </c>
    </row>
    <row r="54">
      <c r="A54" s="1" t="s">
        <v>53</v>
      </c>
      <c r="C54" s="2" t="str">
        <f>HYPERLINK("http://4sq.com/cbfq7a","Krabi International Airport (KBV) ท่าอากาศยานนานาชาติกระบี่ ")</f>
        <v>Krabi International Airport (KBV) ท่าอากาศยานนานาชาติกระบี่ </v>
      </c>
      <c r="D54" s="3" t="str">
        <f>IMAGE("http://maps.google.com/maps/api/staticmap?center=8.097794132449197,98.98140907287598&amp;zoom=16&amp;size=420x260&amp;maptype=roadmap&amp;sensor=false&amp;markers=color:red%7C8.097794132449197,98.98140907287598",1)</f>
        <v/>
      </c>
      <c r="E54" t="str">
        <f>IFERROR(__xludf.DUMMYFUNCTION("REGEXEXTRACT(FORMULATEXT(D54),""center=([-0-9.]+,[-0-9.]+)"")"),"8.097794132449197,98.98140907287598")</f>
        <v>8.097794132449197,98.98140907287598</v>
      </c>
    </row>
    <row r="55">
      <c r="A55" s="1" t="s">
        <v>54</v>
      </c>
      <c r="C55" s="2" t="str">
        <f>HYPERLINK("http://4sq.com/9OK8r7","Aonang Paradise Resort &amp; Longstay ")</f>
        <v>Aonang Paradise Resort &amp; Longstay </v>
      </c>
      <c r="D55" s="3" t="str">
        <f>IMAGE("http://maps.google.com/maps/api/staticmap?center=8.03254653,98.827598&amp;zoom=16&amp;size=420x260&amp;maptype=roadmap&amp;sensor=false&amp;markers=color:red%7C8.03254653,98.827598",1)</f>
        <v/>
      </c>
      <c r="E55" t="str">
        <f>IFERROR(__xludf.DUMMYFUNCTION("REGEXEXTRACT(FORMULATEXT(D55),""center=([-0-9.]+,[-0-9.]+)"")"),"8.03254653,98.827598")</f>
        <v>8.03254653,98.827598</v>
      </c>
    </row>
    <row r="56">
      <c r="A56" s="1" t="s">
        <v>55</v>
      </c>
      <c r="C56" s="2" t="str">
        <f>HYPERLINK("http://4sq.com/9fAfRE","วังทรายซีฟู้ด (Wang Sai Seafood) ")</f>
        <v>วังทรายซีฟู้ด (Wang Sai Seafood) </v>
      </c>
      <c r="D56" s="3" t="str">
        <f>IMAGE("http://maps.google.com/maps/api/staticmap?center=8.038344517388717,98.81584167480469&amp;zoom=16&amp;size=420x260&amp;maptype=roadmap&amp;sensor=false&amp;markers=color:red%7C8.038344517388717,98.81584167480469",1)</f>
        <v/>
      </c>
      <c r="E56" t="str">
        <f>IFERROR(__xludf.DUMMYFUNCTION("REGEXEXTRACT(FORMULATEXT(D56),""center=([-0-9.]+,[-0-9.]+)"")"),"8.038344517388717,98.81584167480469")</f>
        <v>8.038344517388717,98.81584167480469</v>
      </c>
    </row>
    <row r="57">
      <c r="A57" s="1" t="s">
        <v>56</v>
      </c>
      <c r="C57" s="2" t="str">
        <f t="shared" ref="C57:C58" si="5">HYPERLINK("http://4sq.com/6gRhAV","Railay Beach West (อ่าวไร่เลย์) ")</f>
        <v>Railay Beach West (อ่าวไร่เลย์) </v>
      </c>
      <c r="D57" s="3" t="str">
        <f t="shared" ref="D57:D58" si="6">IMAGE("http://maps.google.com/maps/api/staticmap?center=8.010839219734033,98.83800642843728&amp;zoom=16&amp;size=420x260&amp;maptype=roadmap&amp;sensor=false&amp;markers=color:red%7C8.010839219734033,98.83800642843728",1)</f>
        <v/>
      </c>
      <c r="E57" t="str">
        <f>IFERROR(__xludf.DUMMYFUNCTION("REGEXEXTRACT(FORMULATEXT(D57),""center=([-0-9.]+,[-0-9.]+)"")"),"8.010839219734033,98.83800642843728")</f>
        <v>8.010839219734033,98.83800642843728</v>
      </c>
    </row>
    <row r="58">
      <c r="A58" s="1" t="s">
        <v>57</v>
      </c>
      <c r="C58" s="2" t="str">
        <f t="shared" si="5"/>
        <v>Railay Beach West (อ่าวไร่เลย์) </v>
      </c>
      <c r="D58" s="3" t="str">
        <f t="shared" si="6"/>
        <v/>
      </c>
      <c r="E58" t="str">
        <f>IFERROR(__xludf.DUMMYFUNCTION("REGEXEXTRACT(FORMULATEXT(D58),""center=([-0-9.]+,[-0-9.]+)"")"),"8.010839219734033,98.83800642843728")</f>
        <v>8.010839219734033,98.83800642843728</v>
      </c>
    </row>
    <row r="59">
      <c r="A59" s="1" t="s">
        <v>58</v>
      </c>
      <c r="C59" s="2" t="str">
        <f>HYPERLINK("http://4sq.com/j9s9G6","The Last Fisherman Bar, Ao Nang ")</f>
        <v>The Last Fisherman Bar, Ao Nang </v>
      </c>
      <c r="D59" s="3" t="str">
        <f>IMAGE("http://maps.google.com/maps/api/staticmap?center=8.028913,98.82471634000001&amp;zoom=16&amp;size=420x260&amp;maptype=roadmap&amp;sensor=false&amp;markers=color:red%7C8.028913,98.82471634000001",1)</f>
        <v/>
      </c>
      <c r="E59" t="str">
        <f>IFERROR(__xludf.DUMMYFUNCTION("REGEXEXTRACT(FORMULATEXT(D59),""center=([-0-9.]+,[-0-9.]+)"")"),"8.028913,98.82471634000001")</f>
        <v>8.028913,98.82471634000001</v>
      </c>
    </row>
    <row r="60">
      <c r="A60" s="1" t="s">
        <v>59</v>
      </c>
      <c r="C60" s="2" t="str">
        <f>HYPERLINK("http://4sq.com/i8BiCV","Coconut Bar ")</f>
        <v>Coconut Bar </v>
      </c>
      <c r="D60" s="3" t="str">
        <f>IMAGE("http://maps.google.com/maps/api/staticmap?center=8.032979,98.826674&amp;zoom=16&amp;size=420x260&amp;maptype=roadmap&amp;sensor=false&amp;markers=color:red%7C8.032979,98.826674",1)</f>
        <v/>
      </c>
      <c r="E60" t="str">
        <f>IFERROR(__xludf.DUMMYFUNCTION("REGEXEXTRACT(FORMULATEXT(D60),""center=([-0-9.]+,[-0-9.]+)"")"),"8.032979,98.826674")</f>
        <v>8.032979,98.826674</v>
      </c>
    </row>
    <row r="61">
      <c r="A61" s="1" t="s">
        <v>60</v>
      </c>
      <c r="C61" s="2" t="str">
        <f>HYPERLINK("http://4sq.com/bvrzTO","Blue Orchid Cafe ")</f>
        <v>Blue Orchid Cafe </v>
      </c>
      <c r="D61" s="3" t="str">
        <f>IMAGE("http://maps.google.com/maps/api/staticmap?center=8.031654210318374,98.82212535486136&amp;zoom=16&amp;size=420x260&amp;maptype=roadmap&amp;sensor=false&amp;markers=color:red%7C8.031654210318374,98.82212535486136",1)</f>
        <v/>
      </c>
      <c r="E61" t="str">
        <f>IFERROR(__xludf.DUMMYFUNCTION("REGEXEXTRACT(FORMULATEXT(D61),""center=([-0-9.]+,[-0-9.]+)"")"),"8.031654210318374,98.82212535486136")</f>
        <v>8.031654210318374,98.82212535486136</v>
      </c>
    </row>
    <row r="62">
      <c r="A62" s="1" t="s">
        <v>61</v>
      </c>
      <c r="C62" s="2" t="str">
        <f>HYPERLINK("http://4sq.com/bLIJPF","ร้านน้องโจ๊ก ")</f>
        <v>ร้านน้องโจ๊ก </v>
      </c>
      <c r="D62" s="3" t="str">
        <f>IMAGE("http://maps.google.com/maps/api/staticmap?center=8.050452,98.916574&amp;zoom=16&amp;size=420x260&amp;maptype=roadmap&amp;sensor=false&amp;markers=color:red%7C8.050452,98.916574",1)</f>
        <v/>
      </c>
      <c r="E62" t="str">
        <f>IFERROR(__xludf.DUMMYFUNCTION("REGEXEXTRACT(FORMULATEXT(D62),""center=([-0-9.]+,[-0-9.]+)"")"),"8.050452,98.916574")</f>
        <v>8.050452,98.916574</v>
      </c>
    </row>
    <row r="63">
      <c r="A63" s="1" t="s">
        <v>62</v>
      </c>
      <c r="C63" s="2" t="str">
        <f>HYPERLINK("http://4sq.com/cbfq7a","Krabi International Airport (KBV) ท่าอากาศยานนานาชาติกระบี่ ")</f>
        <v>Krabi International Airport (KBV) ท่าอากาศยานนานาชาติกระบี่ </v>
      </c>
      <c r="D63" s="3" t="str">
        <f>IMAGE("http://maps.google.com/maps/api/staticmap?center=8.097794132449197,98.98140907287598&amp;zoom=16&amp;size=420x260&amp;maptype=roadmap&amp;sensor=false&amp;markers=color:red%7C8.097794132449197,98.98140907287598",1)</f>
        <v/>
      </c>
      <c r="E63" t="str">
        <f>IFERROR(__xludf.DUMMYFUNCTION("REGEXEXTRACT(FORMULATEXT(D63),""center=([-0-9.]+,[-0-9.]+)"")"),"8.097794132449197,98.98140907287598")</f>
        <v>8.097794132449197,98.98140907287598</v>
      </c>
    </row>
    <row r="64">
      <c r="A64" s="1" t="s">
        <v>63</v>
      </c>
      <c r="C64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D64" s="3" t="str">
        <f>IMAGE("http://maps.google.com/maps/api/staticmap?center=13.692607593567537,100.75172189579953&amp;zoom=16&amp;size=420x260&amp;maptype=roadmap&amp;sensor=false&amp;markers=color:red%7C13.692607593567537,100.75172189579953",1)</f>
        <v/>
      </c>
      <c r="E64" t="str">
        <f>IFERROR(__xludf.DUMMYFUNCTION("REGEXEXTRACT(FORMULATEXT(D64),""center=([-0-9.]+,[-0-9.]+)"")"),"13.692607593567537,100.75172189579953")</f>
        <v>13.692607593567537,100.75172189579953</v>
      </c>
    </row>
    <row r="65">
      <c r="A65" s="1" t="s">
        <v>64</v>
      </c>
      <c r="C65" s="2" t="str">
        <f>HYPERLINK("http://4sq.com/bYsqsf","The Imperial Queen's Park Hotel ")</f>
        <v>The Imperial Queen's Park Hotel </v>
      </c>
      <c r="D65" s="3" t="str">
        <f>IMAGE("http://maps.google.com/maps/api/staticmap?center=13.730401286287764,100.56539297103882&amp;zoom=16&amp;size=420x260&amp;maptype=roadmap&amp;sensor=false&amp;markers=color:red%7C13.730401286287764,100.56539297103882",1)</f>
        <v/>
      </c>
      <c r="E65" t="str">
        <f>IFERROR(__xludf.DUMMYFUNCTION("REGEXEXTRACT(FORMULATEXT(D65),""center=([-0-9.]+,[-0-9.]+)"")"),"13.730401286287764,100.56539297103882")</f>
        <v>13.730401286287764,100.56539297103882</v>
      </c>
    </row>
    <row r="66">
      <c r="A66" s="1" t="s">
        <v>65</v>
      </c>
      <c r="C66" s="2" t="str">
        <f>HYPERLINK("http://4sq.com/9j2fhe","Doi Chaang Coffe ")</f>
        <v>Doi Chaang Coffe </v>
      </c>
      <c r="D66" s="3" t="str">
        <f>IMAGE("http://maps.google.com/maps/api/staticmap?center=13.729765528694138,100.58590650558472&amp;zoom=16&amp;size=420x260&amp;maptype=roadmap&amp;sensor=false&amp;markers=color:red%7C13.729765528694138,100.58590650558472",1)</f>
        <v/>
      </c>
      <c r="E66" t="str">
        <f>IFERROR(__xludf.DUMMYFUNCTION("REGEXEXTRACT(FORMULATEXT(D66),""center=([-0-9.]+,[-0-9.]+)"")"),"13.729765528694138,100.58590650558472")</f>
        <v>13.729765528694138,100.58590650558472</v>
      </c>
    </row>
    <row r="67">
      <c r="A67" s="1" t="s">
        <v>66</v>
      </c>
      <c r="C67" s="2" t="str">
        <f>HYPERLINK("http://4sq.com/cZkLQo","Siam Wheels ")</f>
        <v>Siam Wheels </v>
      </c>
      <c r="D67" s="3" t="str">
        <f>IMAGE("http://maps.google.com/maps/api/staticmap?center=13.677875,100.650769&amp;zoom=16&amp;size=420x260&amp;maptype=roadmap&amp;sensor=false&amp;markers=color:red%7C13.677875,100.650769",1)</f>
        <v/>
      </c>
      <c r="E67" t="str">
        <f>IFERROR(__xludf.DUMMYFUNCTION("REGEXEXTRACT(FORMULATEXT(D67),""center=([-0-9.]+,[-0-9.]+)"")"),"13.677875,100.650769")</f>
        <v>13.677875,100.650769</v>
      </c>
    </row>
    <row r="68">
      <c r="A68" s="1" t="s">
        <v>67</v>
      </c>
      <c r="C68" s="2" t="str">
        <f>HYPERLINK("http://4sq.com/TZNcDc","Charlie San Fran Restaurant ")</f>
        <v>Charlie San Fran Restaurant </v>
      </c>
      <c r="D68" s="3" t="str">
        <f>IMAGE("http://maps.google.com/maps/api/staticmap?center=13.670663409150485,100.61594660067124&amp;zoom=16&amp;size=420x260&amp;maptype=roadmap&amp;sensor=false&amp;markers=color:red%7C13.670663409150485,100.61594660067124",1)</f>
        <v/>
      </c>
      <c r="E68" t="str">
        <f>IFERROR(__xludf.DUMMYFUNCTION("REGEXEXTRACT(FORMULATEXT(D68),""center=([-0-9.]+,[-0-9.]+)"")"),"13.670663409150485,100.61594660067124")</f>
        <v>13.670663409150485,100.61594660067124</v>
      </c>
    </row>
    <row r="69">
      <c r="A69" s="1" t="s">
        <v>68</v>
      </c>
      <c r="C69" s="2" t="str">
        <f>HYPERLINK("http://4sq.com/nqZDxe","Katip Restaurant ")</f>
        <v>Katip Restaurant </v>
      </c>
      <c r="D69" s="3" t="str">
        <f>IMAGE("http://maps.google.com/maps/api/staticmap?center=13.784673,100.612217&amp;zoom=16&amp;size=420x260&amp;maptype=roadmap&amp;sensor=false&amp;markers=color:red%7C13.784673,100.612217",1)</f>
        <v/>
      </c>
      <c r="E69" t="str">
        <f>IFERROR(__xludf.DUMMYFUNCTION("REGEXEXTRACT(FORMULATEXT(D69),""center=([-0-9.]+,[-0-9.]+)"")"),"13.784673,100.612217")</f>
        <v>13.784673,100.612217</v>
      </c>
    </row>
    <row r="70">
      <c r="A70" s="1" t="s">
        <v>69</v>
      </c>
      <c r="C70" s="2" t="str">
        <f>HYPERLINK("http://4sq.com/bwtdbR","Durty Nelly's Irish Pub ")</f>
        <v>Durty Nelly's Irish Pub </v>
      </c>
      <c r="D70" s="3" t="str">
        <f>IMAGE("http://maps.google.com/maps/api/staticmap?center=13.72339743542138,100.58475852012634&amp;zoom=16&amp;size=420x260&amp;maptype=roadmap&amp;sensor=false&amp;markers=color:red%7C13.72339743542138,100.58475852012634",1)</f>
        <v/>
      </c>
      <c r="E70" t="str">
        <f>IFERROR(__xludf.DUMMYFUNCTION("REGEXEXTRACT(FORMULATEXT(D70),""center=([-0-9.]+,[-0-9.]+)"")"),"13.72339743542138,100.58475852012634")</f>
        <v>13.72339743542138,100.58475852012634</v>
      </c>
    </row>
    <row r="71">
      <c r="A71" s="1" t="s">
        <v>70</v>
      </c>
      <c r="C71" s="2" t="str">
        <f>HYPERLINK("http://4sq.com/dbOIev","Bangkok Patana School (โรงเรียนบางกอกพัฒนา) ")</f>
        <v>Bangkok Patana School (โรงเรียนบางกอกพัฒนา) </v>
      </c>
      <c r="D71" s="3" t="str">
        <f>IMAGE("http://maps.google.com/maps/api/staticmap?center=13.661938028071175,100.62214851379395&amp;zoom=16&amp;size=420x260&amp;maptype=roadmap&amp;sensor=false&amp;markers=color:red%7C13.661938028071175,100.62214851379395",1)</f>
        <v/>
      </c>
      <c r="E71" t="str">
        <f>IFERROR(__xludf.DUMMYFUNCTION("REGEXEXTRACT(FORMULATEXT(D71),""center=([-0-9.]+,[-0-9.]+)"")"),"13.661938028071175,100.62214851379395")</f>
        <v>13.661938028071175,100.62214851379395</v>
      </c>
    </row>
    <row r="72">
      <c r="A72" s="1" t="s">
        <v>71</v>
      </c>
      <c r="C72" s="2" t="str">
        <f>HYPERLINK("http://4sq.com/c4Rb2o","Attarod Cuisine (ครัวอรรถรส) ")</f>
        <v>Attarod Cuisine (ครัวอรรถรส) </v>
      </c>
      <c r="D72" s="3" t="str">
        <f>IMAGE("http://maps.google.com/maps/api/staticmap?center=13.822588256282959,100.58119839738256&amp;zoom=16&amp;size=420x260&amp;maptype=roadmap&amp;sensor=false&amp;markers=color:red%7C13.822588256282959,100.58119839738256",1)</f>
        <v/>
      </c>
      <c r="E72" t="str">
        <f>IFERROR(__xludf.DUMMYFUNCTION("REGEXEXTRACT(FORMULATEXT(D72),""center=([-0-9.]+,[-0-9.]+)"")"),"13.822588256282959,100.58119839738256")</f>
        <v>13.822588256282959,100.58119839738256</v>
      </c>
    </row>
    <row r="73">
      <c r="A73" s="1" t="s">
        <v>72</v>
      </c>
      <c r="C73" s="2" t="str">
        <f>HYPERLINK("http://4sq.com/akePoH","TrueCoffee (ทรูคอฟฟี่) ")</f>
        <v>TrueCoffee (ทรูคอฟฟี่) </v>
      </c>
      <c r="D73" s="3" t="str">
        <f>IMAGE("http://maps.google.com/maps/api/staticmap?center=13.745596421887042,100.53357124328613&amp;zoom=16&amp;size=420x260&amp;maptype=roadmap&amp;sensor=false&amp;markers=color:red%7C13.745596421887042,100.53357124328613",1)</f>
        <v/>
      </c>
      <c r="E73" t="str">
        <f>IFERROR(__xludf.DUMMYFUNCTION("REGEXEXTRACT(FORMULATEXT(D73),""center=([-0-9.]+,[-0-9.]+)"")"),"13.745596421887042,100.53357124328613")</f>
        <v>13.745596421887042,100.53357124328613</v>
      </c>
    </row>
    <row r="74">
      <c r="A74" s="1" t="s">
        <v>73</v>
      </c>
      <c r="C74" s="2" t="str">
        <f>HYPERLINK("http://4sq.com/5TNFC5","Bourbon St. ")</f>
        <v>Bourbon St. </v>
      </c>
      <c r="D74" s="3" t="str">
        <f>IMAGE("http://maps.google.com/maps/api/staticmap?center=13.722359443986457,100.58451817969932&amp;zoom=16&amp;size=420x260&amp;maptype=roadmap&amp;sensor=false&amp;markers=color:red%7C13.722359443986457,100.58451817969932",1)</f>
        <v/>
      </c>
      <c r="E74" t="str">
        <f>IFERROR(__xludf.DUMMYFUNCTION("REGEXEXTRACT(FORMULATEXT(D74),""center=([-0-9.]+,[-0-9.]+)"")"),"13.722359443986457,100.58451817969932")</f>
        <v>13.722359443986457,100.58451817969932</v>
      </c>
    </row>
    <row r="75">
      <c r="A75" s="1" t="s">
        <v>74</v>
      </c>
      <c r="C75" s="2" t="str">
        <f>HYPERLINK("http://4sq.com/QsYXXs","Flow House Bangkok ")</f>
        <v>Flow House Bangkok </v>
      </c>
      <c r="D75" s="3" t="str">
        <f>IMAGE("http://maps.google.com/maps/api/staticmap?center=13.720462164000127,100.56734344416836&amp;zoom=16&amp;size=420x260&amp;maptype=roadmap&amp;sensor=false&amp;markers=color:red%7C13.720462164000127,100.56734344416836",1)</f>
        <v/>
      </c>
      <c r="E75" t="str">
        <f>IFERROR(__xludf.DUMMYFUNCTION("REGEXEXTRACT(FORMULATEXT(D75),""center=([-0-9.]+,[-0-9.]+)"")"),"13.720462164000127,100.56734344416836")</f>
        <v>13.720462164000127,100.56734344416836</v>
      </c>
    </row>
    <row r="76">
      <c r="A76" s="1" t="s">
        <v>75</v>
      </c>
      <c r="C76" s="2" t="str">
        <f>HYPERLINK("http://4sq.com/OksxL5","Corn Dog Dude ")</f>
        <v>Corn Dog Dude </v>
      </c>
      <c r="D76" s="3" t="str">
        <f>IMAGE("http://maps.google.com/maps/api/staticmap?center=13.721324,100.569398&amp;zoom=16&amp;size=420x260&amp;maptype=roadmap&amp;sensor=false&amp;markers=color:red%7C13.721324,100.569398",1)</f>
        <v/>
      </c>
      <c r="E76" t="str">
        <f>IFERROR(__xludf.DUMMYFUNCTION("REGEXEXTRACT(FORMULATEXT(D76),""center=([-0-9.]+,[-0-9.]+)"")"),"13.721324,100.569398")</f>
        <v>13.721324,100.569398</v>
      </c>
    </row>
    <row r="77">
      <c r="A77" s="1" t="s">
        <v>76</v>
      </c>
      <c r="C77" s="2" t="str">
        <f>HYPERLINK("http://4sq.com/eMPbUu","Kuppadeli ")</f>
        <v>Kuppadeli </v>
      </c>
      <c r="D77" s="3" t="str">
        <f>IMAGE("http://maps.google.com/maps/api/staticmap?center=13.745322855625389,100.56248545646667&amp;zoom=16&amp;size=420x260&amp;maptype=roadmap&amp;sensor=false&amp;markers=color:red%7C13.745322855625389,100.56248545646667",1)</f>
        <v/>
      </c>
      <c r="E77" t="str">
        <f>IFERROR(__xludf.DUMMYFUNCTION("REGEXEXTRACT(FORMULATEXT(D77),""center=([-0-9.]+,[-0-9.]+)"")"),"13.745322855625389,100.56248545646667")</f>
        <v>13.745322855625389,100.56248545646667</v>
      </c>
    </row>
    <row r="78">
      <c r="A78" s="1" t="s">
        <v>77</v>
      </c>
      <c r="C78" s="2" t="str">
        <f>HYPERLINK("http://4sq.com/ci8faI","Offshore fish &amp; chips ")</f>
        <v>Offshore fish &amp; chips </v>
      </c>
      <c r="D78" s="3" t="str">
        <f>IMAGE("http://maps.google.com/maps/api/staticmap?center=13.73631332562221,100.56265598448931&amp;zoom=16&amp;size=420x260&amp;maptype=roadmap&amp;sensor=false&amp;markers=color:red%7C13.73631332562221,100.56265598448931",1)</f>
        <v/>
      </c>
      <c r="E78" t="str">
        <f>IFERROR(__xludf.DUMMYFUNCTION("REGEXEXTRACT(FORMULATEXT(D78),""center=([-0-9.]+,[-0-9.]+)"")"),"13.73631332562221,100.56265598448931")</f>
        <v>13.73631332562221,100.56265598448931</v>
      </c>
    </row>
    <row r="79">
      <c r="A79" s="1" t="s">
        <v>78</v>
      </c>
      <c r="C79" s="2" t="str">
        <f>HYPERLINK("http://4sq.com/7GwAmp","BTS หมอชิต (Mo Chit) N8 ")</f>
        <v>BTS หมอชิต (Mo Chit) N8 </v>
      </c>
      <c r="D79" s="3" t="str">
        <f>IMAGE("http://maps.google.com/maps/api/staticmap?center=13.802699631074837,100.55376291275024&amp;zoom=16&amp;size=420x260&amp;maptype=roadmap&amp;sensor=false&amp;markers=color:red%7C13.802699631074837,100.55376291275024",1)</f>
        <v/>
      </c>
      <c r="E79" t="str">
        <f>IFERROR(__xludf.DUMMYFUNCTION("REGEXEXTRACT(FORMULATEXT(D79),""center=([-0-9.]+,[-0-9.]+)"")"),"13.802699631074837,100.55376291275024")</f>
        <v>13.802699631074837,100.55376291275024</v>
      </c>
    </row>
    <row r="80">
      <c r="A80" s="1" t="s">
        <v>79</v>
      </c>
      <c r="C80" s="2" t="str">
        <f>HYPERLINK("http://4sq.com/T822K5","J.J Market Weekend ")</f>
        <v>J.J Market Weekend </v>
      </c>
      <c r="D80" s="3" t="str">
        <f>IMAGE("http://maps.google.com/maps/api/staticmap?center=13.798347276477017,100.54904007591044&amp;zoom=16&amp;size=420x260&amp;maptype=roadmap&amp;sensor=false&amp;markers=color:red%7C13.798347276477017,100.54904007591044",1)</f>
        <v/>
      </c>
      <c r="E80" t="str">
        <f>IFERROR(__xludf.DUMMYFUNCTION("REGEXEXTRACT(FORMULATEXT(D80),""center=([-0-9.]+,[-0-9.]+)"")"),"13.798347276477017,100.54904007591044")</f>
        <v>13.798347276477017,100.54904007591044</v>
      </c>
    </row>
    <row r="81">
      <c r="A81" s="1" t="s">
        <v>80</v>
      </c>
      <c r="C81" s="2" t="str">
        <f>HYPERLINK("http://4sq.com/5BK2lU","MRT สวนจตุจักร (Chatuchak Park) CHA ")</f>
        <v>MRT สวนจตุจักร (Chatuchak Park) CHA </v>
      </c>
      <c r="D81" s="3" t="str">
        <f>IMAGE("http://maps.google.com/maps/api/staticmap?center=13.802736,100.553669&amp;zoom=16&amp;size=420x260&amp;maptype=roadmap&amp;sensor=false&amp;markers=color:red%7C13.802736,100.553669",1)</f>
        <v/>
      </c>
      <c r="E81" t="str">
        <f>IFERROR(__xludf.DUMMYFUNCTION("REGEXEXTRACT(FORMULATEXT(D81),""center=([-0-9.]+,[-0-9.]+)"")"),"13.802736,100.553669")</f>
        <v>13.802736,100.553669</v>
      </c>
    </row>
    <row r="82">
      <c r="A82" s="1" t="s">
        <v>81</v>
      </c>
      <c r="C82" s="2" t="str">
        <f>HYPERLINK("http://4sq.com/5TNFC5","Bourbon St. ")</f>
        <v>Bourbon St. </v>
      </c>
      <c r="D82" s="3" t="str">
        <f>IMAGE("http://maps.google.com/maps/api/staticmap?center=13.722359443986457,100.58451817969932&amp;zoom=16&amp;size=420x260&amp;maptype=roadmap&amp;sensor=false&amp;markers=color:red%7C13.722359443986457,100.58451817969932",1)</f>
        <v/>
      </c>
      <c r="E82" t="str">
        <f>IFERROR(__xludf.DUMMYFUNCTION("REGEXEXTRACT(FORMULATEXT(D82),""center=([-0-9.]+,[-0-9.]+)"")"),"13.722359443986457,100.58451817969932")</f>
        <v>13.722359443986457,100.58451817969932</v>
      </c>
    </row>
    <row r="83">
      <c r="A83" s="1" t="s">
        <v>82</v>
      </c>
      <c r="C83" s="2" t="str">
        <f>HYPERLINK("http://4sq.com/g7rpC8","Playtime@Play Lane ")</f>
        <v>Playtime@Play Lane </v>
      </c>
      <c r="D83" s="3" t="str">
        <f>IMAGE("http://maps.google.com/maps/api/staticmap?center=13.723240199073846,100.58435328702961&amp;zoom=16&amp;size=420x260&amp;maptype=roadmap&amp;sensor=false&amp;markers=color:red%7C13.723240199073846,100.58435328702961",1)</f>
        <v/>
      </c>
      <c r="E83" t="str">
        <f>IFERROR(__xludf.DUMMYFUNCTION("REGEXEXTRACT(FORMULATEXT(D83),""center=([-0-9.]+,[-0-9.]+)"")"),"13.723240199073846,100.58435328702961")</f>
        <v>13.723240199073846,100.58435328702961</v>
      </c>
    </row>
    <row r="84">
      <c r="A84" s="1" t="s">
        <v>83</v>
      </c>
      <c r="C84" s="2" t="str">
        <f>HYPERLINK("http://4sq.com/fAWkjh","Chu Chocolate Bar &amp; Cafe ")</f>
        <v>Chu Chocolate Bar &amp; Cafe </v>
      </c>
      <c r="D84" s="3" t="str">
        <f>IMAGE("http://maps.google.com/maps/api/staticmap?center=13.735674881181941,100.56161642074585&amp;zoom=16&amp;size=420x260&amp;maptype=roadmap&amp;sensor=false&amp;markers=color:red%7C13.735674881181941,100.56161642074585",1)</f>
        <v/>
      </c>
      <c r="E84" t="str">
        <f>IFERROR(__xludf.DUMMYFUNCTION("REGEXEXTRACT(FORMULATEXT(D84),""center=([-0-9.]+,[-0-9.]+)"")"),"13.735674881181941,100.56161642074585")</f>
        <v>13.735674881181941,100.56161642074585</v>
      </c>
    </row>
    <row r="85">
      <c r="A85" s="1" t="s">
        <v>84</v>
      </c>
      <c r="C85" s="2" t="str">
        <f t="shared" ref="C85:C86" si="7">HYPERLINK("http://4sq.com/UxeAst","Chatrium Hotel Riverside ")</f>
        <v>Chatrium Hotel Riverside </v>
      </c>
      <c r="D85" s="3" t="str">
        <f t="shared" ref="D85:D86" si="8">IMAGE("http://maps.google.com/maps/api/staticmap?center=13.71087280710689,100.508907419304&amp;zoom=16&amp;size=420x260&amp;maptype=roadmap&amp;sensor=false&amp;markers=color:red%7C13.71087280710689,100.508907419304",1)</f>
        <v/>
      </c>
      <c r="E85" t="str">
        <f>IFERROR(__xludf.DUMMYFUNCTION("REGEXEXTRACT(FORMULATEXT(D85),""center=([-0-9.]+,[-0-9.]+)"")"),"13.71087280710689,100.508907419304")</f>
        <v>13.71087280710689,100.508907419304</v>
      </c>
    </row>
    <row r="86">
      <c r="A86" s="1" t="s">
        <v>85</v>
      </c>
      <c r="C86" s="2" t="str">
        <f t="shared" si="7"/>
        <v>Chatrium Hotel Riverside </v>
      </c>
      <c r="D86" s="3" t="str">
        <f t="shared" si="8"/>
        <v/>
      </c>
      <c r="E86" t="str">
        <f>IFERROR(__xludf.DUMMYFUNCTION("REGEXEXTRACT(FORMULATEXT(D86),""center=([-0-9.]+,[-0-9.]+)"")"),"13.71087280710689,100.508907419304")</f>
        <v>13.71087280710689,100.508907419304</v>
      </c>
    </row>
    <row r="87">
      <c r="A87" s="1" t="s">
        <v>86</v>
      </c>
      <c r="C87" s="2" t="str">
        <f>HYPERLINK("http://4sq.com/9kBTMC","Anna &amp; Charlie's Café ")</f>
        <v>Anna &amp; Charlie's Café </v>
      </c>
      <c r="D87" s="3" t="str">
        <f>IMAGE("http://maps.google.com/maps/api/staticmap?center=13.701488207250978,100.54140329360962&amp;zoom=16&amp;size=420x260&amp;maptype=roadmap&amp;sensor=false&amp;markers=color:red%7C13.701488207250978,100.54140329360962",1)</f>
        <v/>
      </c>
      <c r="E87" t="str">
        <f>IFERROR(__xludf.DUMMYFUNCTION("REGEXEXTRACT(FORMULATEXT(D87),""center=([-0-9.]+,[-0-9.]+)"")"),"13.701488207250978,100.54140329360962")</f>
        <v>13.701488207250978,100.54140329360962</v>
      </c>
    </row>
    <row r="88">
      <c r="A88" s="1" t="s">
        <v>87</v>
      </c>
      <c r="C88" s="2" t="str">
        <f>HYPERLINK("http://4sq.com/6jd3M8","The Black Swan ")</f>
        <v>The Black Swan </v>
      </c>
      <c r="D88" s="3" t="str">
        <f>IMAGE("http://maps.google.com/maps/api/staticmap?center=13.736717079572433,100.56035041809082&amp;zoom=16&amp;size=420x260&amp;maptype=roadmap&amp;sensor=false&amp;markers=color:red%7C13.736717079572433,100.56035041809082",1)</f>
        <v/>
      </c>
      <c r="E88" t="str">
        <f>IFERROR(__xludf.DUMMYFUNCTION("REGEXEXTRACT(FORMULATEXT(D88),""center=([-0-9.]+,[-0-9.]+)"")"),"13.736717079572433,100.56035041809082")</f>
        <v>13.736717079572433,100.56035041809082</v>
      </c>
    </row>
    <row r="89">
      <c r="A89" s="1" t="s">
        <v>88</v>
      </c>
      <c r="C89" s="2" t="str">
        <f>HYPERLINK("http://4sq.com/bxxPVU","Tesco Lotus (เทสโก้ โลตัส) ")</f>
        <v>Tesco Lotus (เทสโก้ โลตัส) </v>
      </c>
      <c r="D89" s="3" t="str">
        <f>IMAGE("http://maps.google.com/maps/api/staticmap?center=13.80161605048938,100.61391949653625&amp;zoom=16&amp;size=420x260&amp;maptype=roadmap&amp;sensor=false&amp;markers=color:red%7C13.80161605048938,100.61391949653625",1)</f>
        <v/>
      </c>
      <c r="E89" t="str">
        <f>IFERROR(__xludf.DUMMYFUNCTION("REGEXEXTRACT(FORMULATEXT(D89),""center=([-0-9.]+,[-0-9.]+)"")"),"13.80161605048938,100.61391949653625")</f>
        <v>13.80161605048938,100.61391949653625</v>
      </c>
    </row>
    <row r="90">
      <c r="A90" s="1" t="s">
        <v>89</v>
      </c>
      <c r="C90" s="2" t="str">
        <f>HYPERLINK("http://4sq.com/5TNFC5","Bourbon St. ")</f>
        <v>Bourbon St. </v>
      </c>
      <c r="D90" s="3" t="str">
        <f>IMAGE("http://maps.google.com/maps/api/staticmap?center=13.722359443986457,100.58451817969932&amp;zoom=16&amp;size=420x260&amp;maptype=roadmap&amp;sensor=false&amp;markers=color:red%7C13.722359443986457,100.58451817969932",1)</f>
        <v/>
      </c>
      <c r="E90" t="str">
        <f>IFERROR(__xludf.DUMMYFUNCTION("REGEXEXTRACT(FORMULATEXT(D90),""center=([-0-9.]+,[-0-9.]+)"")"),"13.722359443986457,100.58451817969932")</f>
        <v>13.722359443986457,100.58451817969932</v>
      </c>
    </row>
    <row r="91">
      <c r="A91" s="1" t="s">
        <v>90</v>
      </c>
      <c r="C91" s="2" t="str">
        <f>HYPERLINK("http://4sq.com/TZNcDc","Charlie San Fran Restaurant ")</f>
        <v>Charlie San Fran Restaurant </v>
      </c>
      <c r="D91" s="3" t="str">
        <f>IMAGE("http://maps.google.com/maps/api/staticmap?center=13.670863701267015,100.61599058705617&amp;zoom=16&amp;size=420x260&amp;maptype=roadmap&amp;sensor=false&amp;markers=color:red%7C13.670863701267015,100.61599058705617",1)</f>
        <v/>
      </c>
      <c r="E91" t="str">
        <f>IFERROR(__xludf.DUMMYFUNCTION("REGEXEXTRACT(FORMULATEXT(D91),""center=([-0-9.]+,[-0-9.]+)"")"),"13.670863701267015,100.61599058705617")</f>
        <v>13.670863701267015,100.61599058705617</v>
      </c>
    </row>
    <row r="92">
      <c r="A92" s="1" t="s">
        <v>91</v>
      </c>
      <c r="C92" s="2" t="str">
        <f>HYPERLINK("http://4sq.com/RRKiSR","LAUNCHPAD ")</f>
        <v>LAUNCHPAD </v>
      </c>
      <c r="D92" s="3" t="str">
        <f>IMAGE("http://maps.google.com/maps/api/staticmap?center=13.721182922725149,100.52408830848589&amp;zoom=16&amp;size=420x260&amp;maptype=roadmap&amp;sensor=false&amp;markers=color:red%7C13.721182922725149,100.52408830848589",1)</f>
        <v/>
      </c>
      <c r="E92" t="str">
        <f>IFERROR(__xludf.DUMMYFUNCTION("REGEXEXTRACT(FORMULATEXT(D92),""center=([-0-9.]+,[-0-9.]+)"")"),"13.721182922725149,100.52408830848589")</f>
        <v>13.721182922725149,100.52408830848589</v>
      </c>
    </row>
    <row r="93">
      <c r="A93" s="1" t="s">
        <v>92</v>
      </c>
      <c r="C93" s="2" t="str">
        <f>HYPERLINK("http://4sq.com/cB0spg","Sizzler (ซิซซ์เลอร์) ")</f>
        <v>Sizzler (ซิซซ์เลอร์) </v>
      </c>
      <c r="D93" s="3" t="str">
        <f>IMAGE("http://maps.google.com/maps/api/staticmap?center=13.721365,100.583151&amp;zoom=16&amp;size=420x260&amp;maptype=roadmap&amp;sensor=false&amp;markers=color:red%7C13.721365,100.583151",1)</f>
        <v/>
      </c>
      <c r="E93" t="str">
        <f>IFERROR(__xludf.DUMMYFUNCTION("REGEXEXTRACT(FORMULATEXT(D93),""center=([-0-9.]+,[-0-9.]+)"")"),"13.721365,100.583151")</f>
        <v>13.721365,100.583151</v>
      </c>
    </row>
    <row r="94">
      <c r="A94" s="1" t="s">
        <v>93</v>
      </c>
      <c r="C94" s="2" t="str">
        <f>HYPERLINK("http://4sq.com/iDzqGG","The Connex Condominium ")</f>
        <v>The Connex Condominium </v>
      </c>
      <c r="D94" s="3" t="str">
        <f>IMAGE("http://maps.google.com/maps/api/staticmap?center=13.626755307874255,100.63576877117157&amp;zoom=16&amp;size=420x260&amp;maptype=roadmap&amp;sensor=false&amp;markers=color:red%7C13.626755307874255,100.63576877117157",1)</f>
        <v/>
      </c>
      <c r="E94" t="str">
        <f>IFERROR(__xludf.DUMMYFUNCTION("REGEXEXTRACT(FORMULATEXT(D94),""center=([-0-9.]+,[-0-9.]+)"")"),"13.626755307874255,100.63576877117157")</f>
        <v>13.626755307874255,100.63576877117157</v>
      </c>
    </row>
    <row r="95">
      <c r="A95" s="1" t="s">
        <v>94</v>
      </c>
      <c r="C95" s="2" t="str">
        <f>HYPERLINK("http://4sq.com/a4OIRH","Petronas ศรีนครินทร์ ")</f>
        <v>Petronas ศรีนครินทร์ </v>
      </c>
      <c r="D95" s="3" t="str">
        <f>IMAGE("http://maps.google.com/maps/api/staticmap?center=13.642665636392024,100.6352696310543&amp;zoom=16&amp;size=420x260&amp;maptype=roadmap&amp;sensor=false&amp;markers=color:red%7C13.642665636392024,100.6352696310543",1)</f>
        <v/>
      </c>
      <c r="E95" t="str">
        <f>IFERROR(__xludf.DUMMYFUNCTION("REGEXEXTRACT(FORMULATEXT(D95),""center=([-0-9.]+,[-0-9.]+)"")"),"13.642665636392024,100.6352696310543")</f>
        <v>13.642665636392024,100.6352696310543</v>
      </c>
    </row>
    <row r="96">
      <c r="A96" s="1" t="s">
        <v>95</v>
      </c>
      <c r="C96" s="2" t="str">
        <f>HYPERLINK("http://4sq.com/cnameF","BTS บางจาก (Bang Chak) E10 ")</f>
        <v>BTS บางจาก (Bang Chak) E10 </v>
      </c>
      <c r="D96" s="3" t="str">
        <f>IMAGE("http://maps.google.com/maps/api/staticmap?center=13.696740243553352,100.6053364276886&amp;zoom=16&amp;size=420x260&amp;maptype=roadmap&amp;sensor=false&amp;markers=color:red%7C13.696740243553352,100.6053364276886",1)</f>
        <v/>
      </c>
      <c r="E96" t="str">
        <f>IFERROR(__xludf.DUMMYFUNCTION("REGEXEXTRACT(FORMULATEXT(D96),""center=([-0-9.]+,[-0-9.]+)"")"),"13.696740243553352,100.6053364276886")</f>
        <v>13.696740243553352,100.6053364276886</v>
      </c>
    </row>
    <row r="97">
      <c r="A97" s="1" t="s">
        <v>96</v>
      </c>
      <c r="C97" s="2" t="str">
        <f>HYPERLINK("http://4sq.com/dqI3BV","BTS อุดมสุข (Udom Suk) E12 ")</f>
        <v>BTS อุดมสุข (Udom Suk) E12 </v>
      </c>
      <c r="D97" s="3" t="str">
        <f>IMAGE("http://maps.google.com/maps/api/staticmap?center=13.679816699657897,100.60945630073547&amp;zoom=16&amp;size=420x260&amp;maptype=roadmap&amp;sensor=false&amp;markers=color:red%7C13.679816699657897,100.60945630073547",1)</f>
        <v/>
      </c>
      <c r="E97" t="str">
        <f>IFERROR(__xludf.DUMMYFUNCTION("REGEXEXTRACT(FORMULATEXT(D97),""center=([-0-9.]+,[-0-9.]+)"")"),"13.679816699657897,100.60945630073547")</f>
        <v>13.679816699657897,100.60945630073547</v>
      </c>
    </row>
    <row r="98">
      <c r="A98" s="1" t="s">
        <v>97</v>
      </c>
      <c r="C98" s="2" t="str">
        <f>HYPERLINK("http://4sq.com/kqzwob","Oasis Bar&amp;Restauntrent ")</f>
        <v>Oasis Bar&amp;Restauntrent </v>
      </c>
      <c r="D98" s="3" t="str">
        <f>IMAGE("http://maps.google.com/maps/api/staticmap?center=16.486626,99.474098&amp;zoom=16&amp;size=420x260&amp;maptype=roadmap&amp;sensor=false&amp;markers=color:red%7C16.486626,99.474098",1)</f>
        <v/>
      </c>
      <c r="E98" t="str">
        <f>IFERROR(__xludf.DUMMYFUNCTION("REGEXEXTRACT(FORMULATEXT(D98),""center=([-0-9.]+,[-0-9.]+)"")"),"16.486626,99.474098")</f>
        <v>16.486626,99.474098</v>
      </c>
    </row>
    <row r="99">
      <c r="A99" s="1" t="s">
        <v>98</v>
      </c>
      <c r="C99" s="2" t="str">
        <f>HYPERLINK("http://4sq.com/c8sCUC","Esso เกาะคา ")</f>
        <v>Esso เกาะคา </v>
      </c>
      <c r="D99" s="3" t="str">
        <f>IMAGE("http://maps.google.com/maps/api/staticmap?center=18.158842,99.402911&amp;zoom=16&amp;size=420x260&amp;maptype=roadmap&amp;sensor=false&amp;markers=color:red%7C18.158842,99.402911",1)</f>
        <v/>
      </c>
      <c r="E99" t="str">
        <f>IFERROR(__xludf.DUMMYFUNCTION("REGEXEXTRACT(FORMULATEXT(D99),""center=([-0-9.]+,[-0-9.]+)"")"),"18.158842,99.402911")</f>
        <v>18.158842,99.402911</v>
      </c>
    </row>
    <row r="100">
      <c r="A100" s="1" t="s">
        <v>99</v>
      </c>
      <c r="C100" s="2" t="str">
        <f>HYPERLINK("http://4sq.com/gnUove","Aroon(rai)อรุณ(ไร) ")</f>
        <v>Aroon(rai)อรุณ(ไร) </v>
      </c>
      <c r="D100" s="3" t="str">
        <f>IMAGE("http://maps.google.com/maps/api/staticmap?center=18.78625662942066,98.99342901953376&amp;zoom=16&amp;size=420x260&amp;maptype=roadmap&amp;sensor=false&amp;markers=color:red%7C18.78625662942066,98.99342901953376",1)</f>
        <v/>
      </c>
      <c r="E100" t="str">
        <f>IFERROR(__xludf.DUMMYFUNCTION("REGEXEXTRACT(FORMULATEXT(D100),""center=([-0-9.]+,[-0-9.]+)"")"),"18.78625662942066,98.99342901953376")</f>
        <v>18.78625662942066,98.99342901953376</v>
      </c>
    </row>
    <row r="101">
      <c r="A101" s="1" t="s">
        <v>100</v>
      </c>
      <c r="C101" s="2" t="str">
        <f>HYPERLINK("http://4sq.com/RmSfiO","Viva Chiang Mai ")</f>
        <v>Viva Chiang Mai </v>
      </c>
      <c r="D101" s="3" t="str">
        <f>IMAGE("http://maps.google.com/maps/api/staticmap?center=18.776679618283232,98.94536111443757&amp;zoom=16&amp;size=420x260&amp;maptype=roadmap&amp;sensor=false&amp;markers=color:red%7C18.776679618283232,98.94536111443757",1)</f>
        <v/>
      </c>
      <c r="E101" t="str">
        <f>IFERROR(__xludf.DUMMYFUNCTION("REGEXEXTRACT(FORMULATEXT(D101),""center=([-0-9.]+,[-0-9.]+)"")"),"18.776679618283232,98.94536111443757")</f>
        <v>18.776679618283232,98.94536111443757</v>
      </c>
    </row>
    <row r="102">
      <c r="A102" s="1" t="s">
        <v>101</v>
      </c>
      <c r="C102" s="2" t="str">
        <f>HYPERLINK("http://4sq.com/a9YnRb","Coffee Bus ")</f>
        <v>Coffee Bus </v>
      </c>
      <c r="D102" s="3" t="str">
        <f>IMAGE("http://maps.google.com/maps/api/staticmap?center=18.824127372417912,99.00993436574936&amp;zoom=16&amp;size=420x260&amp;maptype=roadmap&amp;sensor=false&amp;markers=color:red%7C18.824127372417912,99.00993436574936",1)</f>
        <v/>
      </c>
      <c r="E102" t="str">
        <f>IFERROR(__xludf.DUMMYFUNCTION("REGEXEXTRACT(FORMULATEXT(D102),""center=([-0-9.]+,[-0-9.]+)"")"),"18.824127372417912,99.00993436574936")</f>
        <v>18.824127372417912,99.00993436574936</v>
      </c>
    </row>
    <row r="103">
      <c r="A103" s="1" t="s">
        <v>102</v>
      </c>
      <c r="C103" s="2" t="str">
        <f>HYPERLINK("http://4sq.com/9Ddkzi","Doi Chaang Coffee @ Mae Suai ")</f>
        <v>Doi Chaang Coffee @ Mae Suai </v>
      </c>
      <c r="D103" s="3" t="str">
        <f>IMAGE("http://maps.google.com/maps/api/staticmap?center=19.55998,99.493704&amp;zoom=16&amp;size=420x260&amp;maptype=roadmap&amp;sensor=false&amp;markers=color:red%7C19.55998,99.493704",1)</f>
        <v/>
      </c>
      <c r="E103" t="str">
        <f>IFERROR(__xludf.DUMMYFUNCTION("REGEXEXTRACT(FORMULATEXT(D103),""center=([-0-9.]+,[-0-9.]+)"")"),"19.55998,99.493704")</f>
        <v>19.55998,99.493704</v>
      </c>
    </row>
    <row r="104">
      <c r="A104" s="1" t="s">
        <v>103</v>
      </c>
      <c r="C104" s="2" t="str">
        <f>HYPERLINK("http://4sq.com/i6ovrr","Tesco Lotus Maechan ")</f>
        <v>Tesco Lotus Maechan </v>
      </c>
      <c r="D104" s="3" t="str">
        <f>IMAGE("http://maps.google.com/maps/api/staticmap?center=20.14447510201325,99.8580820530709&amp;zoom=16&amp;size=420x260&amp;maptype=roadmap&amp;sensor=false&amp;markers=color:red%7C20.14447510201325,99.8580820530709",1)</f>
        <v/>
      </c>
      <c r="E104" t="str">
        <f>IFERROR(__xludf.DUMMYFUNCTION("REGEXEXTRACT(FORMULATEXT(D104),""center=([-0-9.]+,[-0-9.]+)"")"),"20.14447510201325,99.8580820530709")</f>
        <v>20.14447510201325,99.8580820530709</v>
      </c>
    </row>
    <row r="105">
      <c r="A105" s="1" t="s">
        <v>104</v>
      </c>
      <c r="C105" s="2" t="str">
        <f>HYPERLINK("http://4sq.com/OEMjhq","Barrab Restaurant ")</f>
        <v>Barrab Restaurant </v>
      </c>
      <c r="D105" s="3" t="str">
        <f>IMAGE("http://maps.google.com/maps/api/staticmap?center=19.907076,99.830071&amp;zoom=16&amp;size=420x260&amp;maptype=roadmap&amp;sensor=false&amp;markers=color:red%7C19.907076,99.830071",1)</f>
        <v/>
      </c>
      <c r="E105" t="str">
        <f>IFERROR(__xludf.DUMMYFUNCTION("REGEXEXTRACT(FORMULATEXT(D105),""center=([-0-9.]+,[-0-9.]+)"")"),"19.907076,99.830071")</f>
        <v>19.907076,99.830071</v>
      </c>
    </row>
    <row r="106">
      <c r="A106" s="1" t="s">
        <v>105</v>
      </c>
      <c r="C106" s="2" t="str">
        <f>HYPERLINK("http://4sq.com/ueRACY","ST Motorcycle ")</f>
        <v>ST Motorcycle </v>
      </c>
      <c r="D106" s="3" t="str">
        <f>IMAGE("http://maps.google.com/maps/api/staticmap?center=19.907137642148008,99.83131295637335&amp;zoom=16&amp;size=420x260&amp;maptype=roadmap&amp;sensor=false&amp;markers=color:red%7C19.907137642148008,99.83131295637335",1)</f>
        <v/>
      </c>
      <c r="E106" t="str">
        <f>IFERROR(__xludf.DUMMYFUNCTION("REGEXEXTRACT(FORMULATEXT(D106),""center=([-0-9.]+,[-0-9.]+)"")"),"19.907137642148008,99.83131295637335")</f>
        <v>19.907137642148008,99.83131295637335</v>
      </c>
    </row>
    <row r="107">
      <c r="A107" s="1" t="s">
        <v>106</v>
      </c>
      <c r="C107" s="2" t="str">
        <f>HYPERLINK("http://4sq.com/s1OduH","Amy Coffee @ Hotspring, Patueng ")</f>
        <v>Amy Coffee @ Hotspring, Patueng </v>
      </c>
      <c r="D107" s="3" t="str">
        <f>IMAGE("http://maps.google.com/maps/api/staticmap?center=20.117845,99.797219&amp;zoom=16&amp;size=420x260&amp;maptype=roadmap&amp;sensor=false&amp;markers=color:red%7C20.117845,99.797219",1)</f>
        <v/>
      </c>
      <c r="E107" t="str">
        <f>IFERROR(__xludf.DUMMYFUNCTION("REGEXEXTRACT(FORMULATEXT(D107),""center=([-0-9.]+,[-0-9.]+)"")"),"20.117845,99.797219")</f>
        <v>20.117845,99.797219</v>
      </c>
    </row>
    <row r="108">
      <c r="A108" s="1" t="s">
        <v>107</v>
      </c>
      <c r="C108" s="2" t="str">
        <f>HYPERLINK("http://4sq.com/cTUv51","Mae Fah Luang - Chiang Rai International Airport (CEI) ท่าอากาศยานแม่ฟ้าหลวง เชียงราย ")</f>
        <v>Mae Fah Luang - Chiang Rai International Airport (CEI) ท่าอากาศยานแม่ฟ้าหลวง เชียงราย </v>
      </c>
      <c r="D108" s="3" t="str">
        <f>IMAGE("http://maps.google.com/maps/api/staticmap?center=19.954322,99.879363&amp;zoom=16&amp;size=420x260&amp;maptype=roadmap&amp;sensor=false&amp;markers=color:red%7C19.954322,99.879363",1)</f>
        <v/>
      </c>
      <c r="E108" t="str">
        <f>IFERROR(__xludf.DUMMYFUNCTION("REGEXEXTRACT(FORMULATEXT(D108),""center=([-0-9.]+,[-0-9.]+)"")"),"19.954322,99.879363")</f>
        <v>19.954322,99.879363</v>
      </c>
    </row>
    <row r="109">
      <c r="A109" s="1" t="s">
        <v>108</v>
      </c>
      <c r="C109" s="2" t="str">
        <f>HYPERLINK("http://4sq.com/Os1Y3r","ข้าวซอยสูตรเหมืองฮ่อ||ข้างกรุงไทย ")</f>
        <v>ข้าวซอยสูตรเหมืองฮ่อ||ข้างกรุงไทย </v>
      </c>
      <c r="D109" s="3" t="str">
        <f>IMAGE("http://maps.google.com/maps/api/staticmap?center=20.15292594288494,99.85840370374206&amp;zoom=16&amp;size=420x260&amp;maptype=roadmap&amp;sensor=false&amp;markers=color:red%7C20.15292594288494,99.85840370374206",1)</f>
        <v/>
      </c>
      <c r="E109" t="str">
        <f>IFERROR(__xludf.DUMMYFUNCTION("REGEXEXTRACT(FORMULATEXT(D109),""center=([-0-9.]+,[-0-9.]+)"")"),"20.15292594288494,99.85840370374206")</f>
        <v>20.15292594288494,99.85840370374206</v>
      </c>
    </row>
    <row r="110">
      <c r="A110" s="1" t="s">
        <v>109</v>
      </c>
      <c r="C110" s="2" t="str">
        <f>HYPERLINK("http://4sq.com/tLh2wl","สวีทแม่สลอง (Sweet Maesalong) ")</f>
        <v>สวีทแม่สลอง (Sweet Maesalong) </v>
      </c>
      <c r="D110" s="3" t="str">
        <f>IMAGE("http://maps.google.com/maps/api/staticmap?center=20.16497578471899,99.63170696049929&amp;zoom=16&amp;size=420x260&amp;maptype=roadmap&amp;sensor=false&amp;markers=color:red%7C20.16497578471899,99.63170696049929",1)</f>
        <v/>
      </c>
      <c r="E110" t="str">
        <f>IFERROR(__xludf.DUMMYFUNCTION("REGEXEXTRACT(FORMULATEXT(D110),""center=([-0-9.]+,[-0-9.]+)"")"),"20.16497578471899,99.63170696049929")</f>
        <v>20.16497578471899,99.63170696049929</v>
      </c>
    </row>
    <row r="111">
      <c r="A111" s="1" t="s">
        <v>110</v>
      </c>
      <c r="C111" s="2" t="str">
        <f>HYPERLINK("http://4sq.com/ueRACY","ST Motorcycle ")</f>
        <v>ST Motorcycle </v>
      </c>
      <c r="D111" s="3" t="str">
        <f>IMAGE("http://maps.google.com/maps/api/staticmap?center=19.907137642148008,99.83131295637335&amp;zoom=16&amp;size=420x260&amp;maptype=roadmap&amp;sensor=false&amp;markers=color:red%7C19.907137642148008,99.83131295637335",1)</f>
        <v/>
      </c>
      <c r="E111" t="str">
        <f>IFERROR(__xludf.DUMMYFUNCTION("REGEXEXTRACT(FORMULATEXT(D111),""center=([-0-9.]+,[-0-9.]+)"")"),"19.907137642148008,99.83131295637335")</f>
        <v>19.907137642148008,99.83131295637335</v>
      </c>
    </row>
    <row r="112">
      <c r="A112" s="1" t="s">
        <v>111</v>
      </c>
      <c r="C112" s="2" t="str">
        <f>HYPERLINK("http://4sq.com/qW6Xmi","Kaffee Hub Chiangrai | เชียงรายรำลึก ")</f>
        <v>Kaffee Hub Chiangrai | เชียงรายรำลึก </v>
      </c>
      <c r="D112" s="3" t="str">
        <f>IMAGE("http://maps.google.com/maps/api/staticmap?center=19.90703017875595,99.83132385635824&amp;zoom=16&amp;size=420x260&amp;maptype=roadmap&amp;sensor=false&amp;markers=color:red%7C19.90703017875595,99.83132385635824",1)</f>
        <v/>
      </c>
      <c r="E112" t="str">
        <f>IFERROR(__xludf.DUMMYFUNCTION("REGEXEXTRACT(FORMULATEXT(D112),""center=([-0-9.]+,[-0-9.]+)"")"),"19.90703017875595,99.83132385635824")</f>
        <v>19.90703017875595,99.83132385635824</v>
      </c>
    </row>
    <row r="113">
      <c r="A113" s="1" t="s">
        <v>112</v>
      </c>
      <c r="C113" s="2" t="str">
        <f>HYPERLINK("http://4sq.com/ifi3s2","Teepee Bar ")</f>
        <v>Teepee Bar </v>
      </c>
      <c r="D113" s="3" t="str">
        <f>IMAGE("http://maps.google.com/maps/api/staticmap?center=19.906601,99.833048&amp;zoom=16&amp;size=420x260&amp;maptype=roadmap&amp;sensor=false&amp;markers=color:red%7C19.906601,99.833048",1)</f>
        <v/>
      </c>
      <c r="E113" t="str">
        <f>IFERROR(__xludf.DUMMYFUNCTION("REGEXEXTRACT(FORMULATEXT(D113),""center=([-0-9.]+,[-0-9.]+)"")"),"19.906601,99.833048")</f>
        <v>19.906601,99.833048</v>
      </c>
    </row>
    <row r="114">
      <c r="A114" s="1" t="s">
        <v>113</v>
      </c>
      <c r="C114" s="2" t="str">
        <f>HYPERLINK("http://4sq.com/rXCeNp","ตลาดโต้รุ่งแม่จัน ")</f>
        <v>ตลาดโต้รุ่งแม่จัน </v>
      </c>
      <c r="D114" s="3" t="str">
        <f>IMAGE("http://maps.google.com/maps/api/staticmap?center=20.15047568981565,99.85737333551135&amp;zoom=16&amp;size=420x260&amp;maptype=roadmap&amp;sensor=false&amp;markers=color:red%7C20.15047568981565,99.85737333551135",1)</f>
        <v/>
      </c>
      <c r="E114" t="str">
        <f>IFERROR(__xludf.DUMMYFUNCTION("REGEXEXTRACT(FORMULATEXT(D114),""center=([-0-9.]+,[-0-9.]+)"")"),"20.15047568981565,99.85737333551135")</f>
        <v>20.15047568981565,99.85737333551135</v>
      </c>
    </row>
    <row r="115">
      <c r="A115" s="1" t="s">
        <v>114</v>
      </c>
      <c r="C115" s="2" t="str">
        <f>HYPERLINK("http://4sq.com/s1OduH","Amy Coffee @ Hotspring, Patueng ")</f>
        <v>Amy Coffee @ Hotspring, Patueng </v>
      </c>
      <c r="D115" s="3" t="str">
        <f>IMAGE("http://maps.google.com/maps/api/staticmap?center=20.117845,99.797219&amp;zoom=16&amp;size=420x260&amp;maptype=roadmap&amp;sensor=false&amp;markers=color:red%7C20.117845,99.797219",1)</f>
        <v/>
      </c>
      <c r="E115" t="str">
        <f>IFERROR(__xludf.DUMMYFUNCTION("REGEXEXTRACT(FORMULATEXT(D115),""center=([-0-9.]+,[-0-9.]+)"")"),"20.117845,99.797219")</f>
        <v>20.117845,99.797219</v>
      </c>
    </row>
    <row r="116">
      <c r="A116" s="1" t="s">
        <v>115</v>
      </c>
      <c r="C116" s="2" t="str">
        <f>HYPERLINK("http://4sq.com/i6ovrr","Tesco Lotus Maechan ")</f>
        <v>Tesco Lotus Maechan </v>
      </c>
      <c r="D116" s="3" t="str">
        <f>IMAGE("http://maps.google.com/maps/api/staticmap?center=20.14447510201325,99.8580820530709&amp;zoom=16&amp;size=420x260&amp;maptype=roadmap&amp;sensor=false&amp;markers=color:red%7C20.14447510201325,99.8580820530709",1)</f>
        <v/>
      </c>
      <c r="E116" t="str">
        <f>IFERROR(__xludf.DUMMYFUNCTION("REGEXEXTRACT(FORMULATEXT(D116),""center=([-0-9.]+,[-0-9.]+)"")"),"20.14447510201325,99.8580820530709")</f>
        <v>20.14447510201325,99.8580820530709</v>
      </c>
    </row>
    <row r="117">
      <c r="A117" s="1" t="s">
        <v>116</v>
      </c>
      <c r="C117" s="2" t="str">
        <f>HYPERLINK("http://4sq.com/g5GjRR","อู่รถสมบัติทัวร์ นางแล | Sombat Tour Hub ")</f>
        <v>อู่รถสมบัติทัวร์ นางแล | Sombat Tour Hub </v>
      </c>
      <c r="D117" s="3" t="str">
        <f>IMAGE("http://maps.google.com/maps/api/staticmap?center=20.011411308713672,99.86835366345677&amp;zoom=16&amp;size=420x260&amp;maptype=roadmap&amp;sensor=false&amp;markers=color:red%7C20.011411308713672,99.86835366345677",1)</f>
        <v/>
      </c>
      <c r="E117" t="str">
        <f>IFERROR(__xludf.DUMMYFUNCTION("REGEXEXTRACT(FORMULATEXT(D117),""center=([-0-9.]+,[-0-9.]+)"")"),"20.011411308713672,99.86835366345677")</f>
        <v>20.011411308713672,99.86835366345677</v>
      </c>
    </row>
    <row r="118">
      <c r="A118" s="1" t="s">
        <v>117</v>
      </c>
      <c r="C118" s="2" t="str">
        <f>HYPERLINK("http://4sq.com/9Ddkzi","Doi Chaang Coffee @ Mae Suai ")</f>
        <v>Doi Chaang Coffee @ Mae Suai </v>
      </c>
      <c r="D118" s="3" t="str">
        <f>IMAGE("http://maps.google.com/maps/api/staticmap?center=19.55998,99.493704&amp;zoom=16&amp;size=420x260&amp;maptype=roadmap&amp;sensor=false&amp;markers=color:red%7C19.55998,99.493704",1)</f>
        <v/>
      </c>
      <c r="E118" t="str">
        <f>IFERROR(__xludf.DUMMYFUNCTION("REGEXEXTRACT(FORMULATEXT(D118),""center=([-0-9.]+,[-0-9.]+)"")"),"19.55998,99.493704")</f>
        <v>19.55998,99.493704</v>
      </c>
    </row>
    <row r="119">
      <c r="A119" s="1" t="s">
        <v>118</v>
      </c>
      <c r="C119" s="2" t="str">
        <f>HYPERLINK("http://4sq.com/xhvGSx","ปั้ม ปตท. แม่ขะจาน @เชียงราย ")</f>
        <v>ปั้ม ปตท. แม่ขะจาน @เชียงราย </v>
      </c>
      <c r="D119" s="3" t="str">
        <f>IMAGE("http://maps.google.com/maps/api/staticmap?center=19.19305536732983,99.51419504784124&amp;zoom=16&amp;size=420x260&amp;maptype=roadmap&amp;sensor=false&amp;markers=color:red%7C19.19305536732983,99.51419504784124",1)</f>
        <v/>
      </c>
      <c r="E119" t="str">
        <f>IFERROR(__xludf.DUMMYFUNCTION("REGEXEXTRACT(FORMULATEXT(D119),""center=([-0-9.]+,[-0-9.]+)"")"),"19.19305536732983,99.51419504784124")</f>
        <v>19.19305536732983,99.51419504784124</v>
      </c>
    </row>
    <row r="120">
      <c r="A120" s="1" t="s">
        <v>119</v>
      </c>
      <c r="C120" s="2" t="str">
        <f>HYPERLINK("http://4sq.com/dIkmO1","PTT Sukhum Service ")</f>
        <v>PTT Sukhum Service </v>
      </c>
      <c r="D120" s="3" t="str">
        <f>IMAGE("http://maps.google.com/maps/api/staticmap?center=18.809195,99.01138&amp;zoom=16&amp;size=420x260&amp;maptype=roadmap&amp;sensor=false&amp;markers=color:red%7C18.809195,99.01138",1)</f>
        <v/>
      </c>
      <c r="E120" t="str">
        <f>IFERROR(__xludf.DUMMYFUNCTION("REGEXEXTRACT(FORMULATEXT(D120),""center=([-0-9.]+,[-0-9.]+)"")"),"18.809195,99.01138")</f>
        <v>18.809195,99.01138</v>
      </c>
    </row>
    <row r="121">
      <c r="A121" s="1" t="s">
        <v>120</v>
      </c>
      <c r="C121" s="2" t="str">
        <f>HYPERLINK("http://4sq.com/mTpKQC","Lai Thai Guest House ")</f>
        <v>Lai Thai Guest House </v>
      </c>
      <c r="D121" s="3" t="str">
        <f>IMAGE("http://maps.google.com/maps/api/staticmap?center=18.781998,98.993386&amp;zoom=16&amp;size=420x260&amp;maptype=roadmap&amp;sensor=false&amp;markers=color:red%7C18.781998,98.993386",1)</f>
        <v/>
      </c>
      <c r="E121" t="str">
        <f>IFERROR(__xludf.DUMMYFUNCTION("REGEXEXTRACT(FORMULATEXT(D121),""center=([-0-9.]+,[-0-9.]+)"")"),"18.781998,98.993386")</f>
        <v>18.781998,98.993386</v>
      </c>
    </row>
    <row r="122">
      <c r="A122" s="1" t="s">
        <v>121</v>
      </c>
      <c r="C122" s="2" t="str">
        <f>HYPERLINK("http://4sq.com/beCFWD","Miguel's Cafe ")</f>
        <v>Miguel's Cafe </v>
      </c>
      <c r="D122" s="3" t="str">
        <f>IMAGE("http://maps.google.com/maps/api/staticmap?center=18.793329,98.993851&amp;zoom=16&amp;size=420x260&amp;maptype=roadmap&amp;sensor=false&amp;markers=color:red%7C18.793329,98.993851",1)</f>
        <v/>
      </c>
      <c r="E122" t="str">
        <f>IFERROR(__xludf.DUMMYFUNCTION("REGEXEXTRACT(FORMULATEXT(D122),""center=([-0-9.]+,[-0-9.]+)"")"),"18.793329,98.993851")</f>
        <v>18.793329,98.993851</v>
      </c>
    </row>
    <row r="123">
      <c r="A123" s="1" t="s">
        <v>122</v>
      </c>
      <c r="C123" s="2" t="str">
        <f>HYPERLINK("http://4sq.com/g8cwa4","Mike's ")</f>
        <v>Mike's </v>
      </c>
      <c r="D123" s="3" t="str">
        <f>IMAGE("http://maps.google.com/maps/api/staticmap?center=18.784155,98.997696&amp;zoom=16&amp;size=420x260&amp;maptype=roadmap&amp;sensor=false&amp;markers=color:red%7C18.784155,98.997696",1)</f>
        <v/>
      </c>
      <c r="E123" t="str">
        <f>IFERROR(__xludf.DUMMYFUNCTION("REGEXEXTRACT(FORMULATEXT(D123),""center=([-0-9.]+,[-0-9.]+)"")"),"18.784155,98.997696")</f>
        <v>18.784155,98.997696</v>
      </c>
    </row>
    <row r="124">
      <c r="A124" s="1" t="s">
        <v>123</v>
      </c>
      <c r="C124" s="2" t="str">
        <f>HYPERLINK("http://4sq.com/HNbK2G","Mr.MECHANIC Motorbike &amp; Car Service. ")</f>
        <v>Mr.MECHANIC Motorbike &amp; Car Service. </v>
      </c>
      <c r="D124" s="3" t="str">
        <f>IMAGE("http://maps.google.com/maps/api/staticmap?center=18.79017142485292,98.99332112648723&amp;zoom=16&amp;size=420x260&amp;maptype=roadmap&amp;sensor=false&amp;markers=color:red%7C18.79017142485292,98.99332112648723",1)</f>
        <v/>
      </c>
      <c r="E124" t="str">
        <f>IFERROR(__xludf.DUMMYFUNCTION("REGEXEXTRACT(FORMULATEXT(D124),""center=([-0-9.]+,[-0-9.]+)"")"),"18.79017142485292,98.99332112648723")</f>
        <v>18.79017142485292,98.99332112648723</v>
      </c>
    </row>
    <row r="125">
      <c r="A125" s="1" t="s">
        <v>124</v>
      </c>
      <c r="C125" s="2" t="str">
        <f>HYPERLINK("http://4sq.com/bbzy6Y","Art Cafe ")</f>
        <v>Art Cafe </v>
      </c>
      <c r="D125" s="3" t="str">
        <f>IMAGE("http://maps.google.com/maps/api/staticmap?center=18.78783,98.993674&amp;zoom=16&amp;size=420x260&amp;maptype=roadmap&amp;sensor=false&amp;markers=color:red%7C18.78783,98.993674",1)</f>
        <v/>
      </c>
      <c r="E125" t="str">
        <f>IFERROR(__xludf.DUMMYFUNCTION("REGEXEXTRACT(FORMULATEXT(D125),""center=([-0-9.]+,[-0-9.]+)"")"),"18.78783,98.993674")</f>
        <v>18.78783,98.993674</v>
      </c>
    </row>
    <row r="126">
      <c r="A126" s="1" t="s">
        <v>125</v>
      </c>
      <c r="C126" s="2" t="str">
        <f>HYPERLINK("http://4sq.com/mNtm2L","32 Coffee Hill ")</f>
        <v>32 Coffee Hill </v>
      </c>
      <c r="D126" s="3" t="str">
        <f>IMAGE("http://maps.google.com/maps/api/staticmap?center=19.132662772350766,98.70403471143192&amp;zoom=16&amp;size=420x260&amp;maptype=roadmap&amp;sensor=false&amp;markers=color:red%7C19.132662772350766,98.70403471143192",1)</f>
        <v/>
      </c>
      <c r="E126" t="str">
        <f>IFERROR(__xludf.DUMMYFUNCTION("REGEXEXTRACT(FORMULATEXT(D126),""center=([-0-9.]+,[-0-9.]+)"")"),"19.132662772350766,98.70403471143192")</f>
        <v>19.132662772350766,98.70403471143192</v>
      </c>
    </row>
    <row r="127">
      <c r="A127" s="1" t="s">
        <v>126</v>
      </c>
      <c r="C127" s="2" t="str">
        <f>HYPERLINK("http://4sq.com/f5kmeu","อุทยานแห่งชาติห้วยน้ำดัง ")</f>
        <v>อุทยานแห่งชาติห้วยน้ำดัง </v>
      </c>
      <c r="D127" s="3" t="str">
        <f>IMAGE("http://maps.google.com/maps/api/staticmap?center=19.313978385317455,98.60411882400513&amp;zoom=16&amp;size=420x260&amp;maptype=roadmap&amp;sensor=false&amp;markers=color:red%7C19.313978385317455,98.60411882400513",1)</f>
        <v/>
      </c>
      <c r="E127" t="str">
        <f>IFERROR(__xludf.DUMMYFUNCTION("REGEXEXTRACT(FORMULATEXT(D127),""center=([-0-9.]+,[-0-9.]+)"")"),"19.313978385317455,98.60411882400513")</f>
        <v>19.313978385317455,98.60411882400513</v>
      </c>
    </row>
    <row r="128">
      <c r="A128" s="1" t="s">
        <v>127</v>
      </c>
      <c r="C128" s="2" t="str">
        <f>HYPERLINK("http://4sq.com/tAjLBs","Pai Taley (ปายทะเล) ")</f>
        <v>Pai Taley (ปายทะเล) </v>
      </c>
      <c r="D128" s="3" t="str">
        <f>IMAGE("http://maps.google.com/maps/api/staticmap?center=19.342700429752806,98.44875870172768&amp;zoom=16&amp;size=420x260&amp;maptype=roadmap&amp;sensor=false&amp;markers=color:red%7C19.342700429752806,98.44875870172768",1)</f>
        <v/>
      </c>
      <c r="E128" t="str">
        <f>IFERROR(__xludf.DUMMYFUNCTION("REGEXEXTRACT(FORMULATEXT(D128),""center=([-0-9.]+,[-0-9.]+)"")"),"19.342700429752806,98.44875870172768")</f>
        <v>19.342700429752806,98.44875870172768</v>
      </c>
    </row>
    <row r="129">
      <c r="A129" s="1" t="s">
        <v>128</v>
      </c>
      <c r="C129" s="2" t="str">
        <f>HYPERLINK("http://4sq.com/bT3Uy2","หมู่บ้านสันติชล (Santichon Village) ")</f>
        <v>หมู่บ้านสันติชล (Santichon Village) </v>
      </c>
      <c r="D129" s="3" t="str">
        <f>IMAGE("http://maps.google.com/maps/api/staticmap?center=19.37103282209386,98.40337524470807&amp;zoom=16&amp;size=420x260&amp;maptype=roadmap&amp;sensor=false&amp;markers=color:red%7C19.37103282209386,98.40337524470807",1)</f>
        <v/>
      </c>
      <c r="E129" t="str">
        <f>IFERROR(__xludf.DUMMYFUNCTION("REGEXEXTRACT(FORMULATEXT(D129),""center=([-0-9.]+,[-0-9.]+)"")"),"19.37103282209386,98.40337524470807")</f>
        <v>19.37103282209386,98.40337524470807</v>
      </c>
    </row>
    <row r="130">
      <c r="A130" s="1" t="s">
        <v>129</v>
      </c>
      <c r="C130" s="2" t="str">
        <f>HYPERLINK("http://4sq.com/aWduYM","ปตท. (PTT) ")</f>
        <v>ปตท. (PTT) </v>
      </c>
      <c r="D130" s="3" t="str">
        <f>IMAGE("http://maps.google.com/maps/api/staticmap?center=19.355220058455416,98.4372214684848&amp;zoom=16&amp;size=420x260&amp;maptype=roadmap&amp;sensor=false&amp;markers=color:red%7C19.355220058455416,98.4372214684848",1)</f>
        <v/>
      </c>
      <c r="E130" t="str">
        <f>IFERROR(__xludf.DUMMYFUNCTION("REGEXEXTRACT(FORMULATEXT(D130),""center=([-0-9.]+,[-0-9.]+)"")"),"19.355220058455416,98.4372214684848")</f>
        <v>19.355220058455416,98.4372214684848</v>
      </c>
    </row>
    <row r="131">
      <c r="A131" s="1" t="s">
        <v>130</v>
      </c>
      <c r="C131" s="2" t="str">
        <f>HYPERLINK("http://4sq.com/d7UfAw","จุดชมวิว ดอยกิ่วลม ")</f>
        <v>จุดชมวิว ดอยกิ่วลม </v>
      </c>
      <c r="D131" s="3" t="str">
        <f>IMAGE("http://maps.google.com/maps/api/staticmap?center=19.446177802673617,98.31908583641052&amp;zoom=16&amp;size=420x260&amp;maptype=roadmap&amp;sensor=false&amp;markers=color:red%7C19.446177802673617,98.31908583641052",1)</f>
        <v/>
      </c>
      <c r="E131" t="str">
        <f>IFERROR(__xludf.DUMMYFUNCTION("REGEXEXTRACT(FORMULATEXT(D131),""center=([-0-9.]+,[-0-9.]+)"")"),"19.446177802673617,98.31908583641052")</f>
        <v>19.446177802673617,98.31908583641052</v>
      </c>
    </row>
    <row r="132">
      <c r="A132" s="1" t="s">
        <v>131</v>
      </c>
      <c r="C132" s="2" t="str">
        <f>HYPERLINK("http://4sq.com/zml408","Tam Wua Forest Monastery ")</f>
        <v>Tam Wua Forest Monastery </v>
      </c>
      <c r="D132" s="3" t="str">
        <f>IMAGE("http://maps.google.com/maps/api/staticmap?center=19.52886675587941,98.08203190367978&amp;zoom=16&amp;size=420x260&amp;maptype=roadmap&amp;sensor=false&amp;markers=color:red%7C19.52886675587941,98.08203190367978",1)</f>
        <v/>
      </c>
      <c r="E132" t="str">
        <f>IFERROR(__xludf.DUMMYFUNCTION("REGEXEXTRACT(FORMULATEXT(D132),""center=([-0-9.]+,[-0-9.]+)"")"),"19.52886675587941,98.08203190367978")</f>
        <v>19.52886675587941,98.08203190367978</v>
      </c>
    </row>
    <row r="133">
      <c r="A133" s="1" t="s">
        <v>132</v>
      </c>
      <c r="C133" s="2" t="str">
        <f>HYPERLINK("http://4sq.com/UcMBQW","Kiang Doi House ")</f>
        <v>Kiang Doi House </v>
      </c>
      <c r="D133" s="3" t="str">
        <f>IMAGE("http://maps.google.com/maps/api/staticmap?center=19.300318,97.967501&amp;zoom=16&amp;size=420x260&amp;maptype=roadmap&amp;sensor=false&amp;markers=color:red%7C19.300318,97.967501",1)</f>
        <v/>
      </c>
      <c r="E133" t="str">
        <f>IFERROR(__xludf.DUMMYFUNCTION("REGEXEXTRACT(FORMULATEXT(D133),""center=([-0-9.]+,[-0-9.]+)"")"),"19.300318,97.967501")</f>
        <v>19.300318,97.967501</v>
      </c>
    </row>
    <row r="134">
      <c r="A134" s="1" t="s">
        <v>133</v>
      </c>
      <c r="C134" s="2" t="str">
        <f>HYPERLINK("http://4sq.com/f32wBt","Sunflower Resturant ")</f>
        <v>Sunflower Resturant </v>
      </c>
      <c r="D134" s="3" t="str">
        <f>IMAGE("http://maps.google.com/maps/api/staticmap?center=19.299139500823262,97.96677603990722&amp;zoom=16&amp;size=420x260&amp;maptype=roadmap&amp;sensor=false&amp;markers=color:red%7C19.299139500823262,97.96677603990722",1)</f>
        <v/>
      </c>
      <c r="E134" t="str">
        <f>IFERROR(__xludf.DUMMYFUNCTION("REGEXEXTRACT(FORMULATEXT(D134),""center=([-0-9.]+,[-0-9.]+)"")"),"19.299139500823262,97.96677603990722")</f>
        <v>19.299139500823262,97.96677603990722</v>
      </c>
    </row>
    <row r="135">
      <c r="A135" s="1" t="s">
        <v>134</v>
      </c>
      <c r="C135" s="2" t="str">
        <f>HYPERLINK("http://4sq.com/cT20LK","Crossroads (ครอสโรด) ")</f>
        <v>Crossroads (ครอสโรด) </v>
      </c>
      <c r="D135" s="3" t="str">
        <f>IMAGE("http://maps.google.com/maps/api/staticmap?center=19.30199455795958,97.96544566305008&amp;zoom=16&amp;size=420x260&amp;maptype=roadmap&amp;sensor=false&amp;markers=color:red%7C19.30199455795958,97.96544566305008",1)</f>
        <v/>
      </c>
      <c r="E135" t="str">
        <f>IFERROR(__xludf.DUMMYFUNCTION("REGEXEXTRACT(FORMULATEXT(D135),""center=([-0-9.]+,[-0-9.]+)"")"),"19.30199455795958,97.96544566305008")</f>
        <v>19.30199455795958,97.96544566305008</v>
      </c>
    </row>
    <row r="136">
      <c r="A136" s="1" t="s">
        <v>135</v>
      </c>
      <c r="C136" s="2" t="str">
        <f t="shared" ref="C136:C137" si="9">HYPERLINK("http://4sq.com/UcMBQW","Kiang Doi House ")</f>
        <v>Kiang Doi House </v>
      </c>
      <c r="D136" s="3" t="str">
        <f t="shared" ref="D136:D137" si="10">IMAGE("http://maps.google.com/maps/api/staticmap?center=19.300318,97.967501&amp;zoom=16&amp;size=420x260&amp;maptype=roadmap&amp;sensor=false&amp;markers=color:red%7C19.300318,97.967501",1)</f>
        <v/>
      </c>
      <c r="E136" t="str">
        <f>IFERROR(__xludf.DUMMYFUNCTION("REGEXEXTRACT(FORMULATEXT(D136),""center=([-0-9.]+,[-0-9.]+)"")"),"19.300318,97.967501")</f>
        <v>19.300318,97.967501</v>
      </c>
    </row>
    <row r="137">
      <c r="A137" s="1" t="s">
        <v>136</v>
      </c>
      <c r="C137" s="2" t="str">
        <f t="shared" si="9"/>
        <v>Kiang Doi House </v>
      </c>
      <c r="D137" s="3" t="str">
        <f t="shared" si="10"/>
        <v/>
      </c>
      <c r="E137" t="str">
        <f>IFERROR(__xludf.DUMMYFUNCTION("REGEXEXTRACT(FORMULATEXT(D137),""center=([-0-9.]+,[-0-9.]+)"")"),"19.300318,97.967501")</f>
        <v>19.300318,97.967501</v>
      </c>
    </row>
    <row r="138">
      <c r="A138" s="1" t="s">
        <v>137</v>
      </c>
      <c r="C138" s="2" t="str">
        <f>HYPERLINK("http://4sq.com/hLRA40","ร้านกาแฟจุดชมวิวเขื่อนผาบ่อง ")</f>
        <v>ร้านกาแฟจุดชมวิวเขื่อนผาบ่อง </v>
      </c>
      <c r="D138" s="3" t="str">
        <f>IMAGE("http://maps.google.com/maps/api/staticmap?center=19.171544909477234,97.989663&amp;zoom=16&amp;size=420x260&amp;maptype=roadmap&amp;sensor=false&amp;markers=color:red%7C19.171544909477234,97.989663",1)</f>
        <v/>
      </c>
      <c r="E138" t="str">
        <f>IFERROR(__xludf.DUMMYFUNCTION("REGEXEXTRACT(FORMULATEXT(D138),""center=([-0-9.]+,[-0-9.]+)"")"),"19.171544909477234,97.989663")</f>
        <v>19.171544909477234,97.989663</v>
      </c>
    </row>
    <row r="139">
      <c r="A139" s="1" t="s">
        <v>138</v>
      </c>
      <c r="C139" s="2" t="str">
        <f>HYPERLINK("http://4sq.com/pNl4US","PTT อ.ขุนยวม ")</f>
        <v>PTT อ.ขุนยวม </v>
      </c>
      <c r="D139" s="3" t="str">
        <f>IMAGE("http://maps.google.com/maps/api/staticmap?center=18.812402308524167,97.93379528618661&amp;zoom=16&amp;size=420x260&amp;maptype=roadmap&amp;sensor=false&amp;markers=color:red%7C18.812402308524167,97.93379528618661",1)</f>
        <v/>
      </c>
      <c r="E139" t="str">
        <f>IFERROR(__xludf.DUMMYFUNCTION("REGEXEXTRACT(FORMULATEXT(D139),""center=([-0-9.]+,[-0-9.]+)"")"),"18.812402308524167,97.93379528618661")</f>
        <v>18.812402308524167,97.93379528618661</v>
      </c>
    </row>
    <row r="140">
      <c r="A140" s="1" t="s">
        <v>139</v>
      </c>
      <c r="C140" s="2" t="str">
        <f>HYPERLINK("http://4sq.com/cCirdB","ทุ่งดอกบัวตอง ดอยแม่อูคอ ")</f>
        <v>ทุ่งดอกบัวตอง ดอยแม่อูคอ </v>
      </c>
      <c r="D140" s="3" t="str">
        <f>IMAGE("http://maps.google.com/maps/api/staticmap?center=18.894897685811355,98.08977155473238&amp;zoom=16&amp;size=420x260&amp;maptype=roadmap&amp;sensor=false&amp;markers=color:red%7C18.894897685811355,98.08977155473238",1)</f>
        <v/>
      </c>
      <c r="E140" t="str">
        <f>IFERROR(__xludf.DUMMYFUNCTION("REGEXEXTRACT(FORMULATEXT(D140),""center=([-0-9.]+,[-0-9.]+)"")"),"18.894897685811355,98.08977155473238")</f>
        <v>18.894897685811355,98.08977155473238</v>
      </c>
    </row>
    <row r="141">
      <c r="A141" s="1" t="s">
        <v>140</v>
      </c>
      <c r="C141" s="2" t="str">
        <f>HYPERLINK("http://4sq.com/GNS0LW","PARK HEADQUARTERS | ที่ทำการอุทยานแห่งชาติดอยอินทนนท์ ")</f>
        <v>PARK HEADQUARTERS | ที่ทำการอุทยานแห่งชาติดอยอินทนนท์ </v>
      </c>
      <c r="D141" s="3" t="str">
        <f>IMAGE("http://maps.google.com/maps/api/staticmap?center=18.535693071208055,98.52224967379406&amp;zoom=16&amp;size=420x260&amp;maptype=roadmap&amp;sensor=false&amp;markers=color:red%7C18.535693071208055,98.52224967379406",1)</f>
        <v/>
      </c>
      <c r="E141" t="str">
        <f>IFERROR(__xludf.DUMMYFUNCTION("REGEXEXTRACT(FORMULATEXT(D141),""center=([-0-9.]+,[-0-9.]+)"")"),"18.535693071208055,98.52224967379406")</f>
        <v>18.535693071208055,98.52224967379406</v>
      </c>
    </row>
    <row r="142">
      <c r="A142" s="1" t="s">
        <v>141</v>
      </c>
      <c r="C142" s="2" t="str">
        <f>HYPERLINK("http://4sq.com/8YhtW5","ECO HUT INTHANON ")</f>
        <v>ECO HUT INTHANON </v>
      </c>
      <c r="D142" s="3" t="str">
        <f>IMAGE("http://maps.google.com/maps/api/staticmap?center=18.537179,98.521242&amp;zoom=16&amp;size=420x260&amp;maptype=roadmap&amp;sensor=false&amp;markers=color:red%7C18.537179,98.521242",1)</f>
        <v/>
      </c>
      <c r="E142" t="str">
        <f>IFERROR(__xludf.DUMMYFUNCTION("REGEXEXTRACT(FORMULATEXT(D142),""center=([-0-9.]+,[-0-9.]+)"")"),"18.537179,98.521242")</f>
        <v>18.537179,98.521242</v>
      </c>
    </row>
    <row r="143">
      <c r="A143" s="1" t="s">
        <v>142</v>
      </c>
      <c r="C143" s="2" t="str">
        <f>HYPERLINK("http://4sq.com/UAG9Uc","กาแฟห้วยผึ้ง ")</f>
        <v>กาแฟห้วยผึ้ง </v>
      </c>
      <c r="D143" s="3" t="str">
        <f>IMAGE("http://maps.google.com/maps/api/staticmap?center=18.768499,98.868904&amp;zoom=16&amp;size=420x260&amp;maptype=roadmap&amp;sensor=false&amp;markers=color:red%7C18.768499,98.868904",1)</f>
        <v/>
      </c>
      <c r="E143" t="str">
        <f>IFERROR(__xludf.DUMMYFUNCTION("REGEXEXTRACT(FORMULATEXT(D143),""center=([-0-9.]+,[-0-9.]+)"")"),"18.768499,98.868904")</f>
        <v>18.768499,98.868904</v>
      </c>
    </row>
    <row r="144">
      <c r="A144" s="1" t="s">
        <v>143</v>
      </c>
      <c r="C144" s="2" t="str">
        <f>HYPERLINK("http://4sq.com/ddc64z","Bake &amp; Bite ")</f>
        <v>Bake &amp; Bite </v>
      </c>
      <c r="D144" s="3" t="str">
        <f>IMAGE("http://maps.google.com/maps/api/staticmap?center=18.79784593,98.965526&amp;zoom=16&amp;size=420x260&amp;maptype=roadmap&amp;sensor=false&amp;markers=color:red%7C18.79784593,98.965526",1)</f>
        <v/>
      </c>
      <c r="E144" t="str">
        <f>IFERROR(__xludf.DUMMYFUNCTION("REGEXEXTRACT(FORMULATEXT(D144),""center=([-0-9.]+,[-0-9.]+)"")"),"18.79784593,98.965526")</f>
        <v>18.79784593,98.965526</v>
      </c>
    </row>
    <row r="145">
      <c r="A145" s="1" t="s">
        <v>144</v>
      </c>
      <c r="C145" s="2" t="str">
        <f>HYPERLINK("http://4sq.com/HNbK2G","Mr.MECHANIC Motorbike &amp; Car Service. ")</f>
        <v>Mr.MECHANIC Motorbike &amp; Car Service. </v>
      </c>
      <c r="D145" s="3" t="str">
        <f>IMAGE("http://maps.google.com/maps/api/staticmap?center=18.79017142485292,98.99332112648723&amp;zoom=16&amp;size=420x260&amp;maptype=roadmap&amp;sensor=false&amp;markers=color:red%7C18.79017142485292,98.99332112648723",1)</f>
        <v/>
      </c>
      <c r="E145" t="str">
        <f>IFERROR(__xludf.DUMMYFUNCTION("REGEXEXTRACT(FORMULATEXT(D145),""center=([-0-9.]+,[-0-9.]+)"")"),"18.79017142485292,98.99332112648723")</f>
        <v>18.79017142485292,98.99332112648723</v>
      </c>
    </row>
    <row r="146">
      <c r="A146" s="1" t="s">
        <v>145</v>
      </c>
      <c r="C146" s="2" t="str">
        <f>HYPERLINK("http://4sq.com/RmSfiO","Viva Chiang Mai ")</f>
        <v>Viva Chiang Mai </v>
      </c>
      <c r="D146" s="3" t="str">
        <f>IMAGE("http://maps.google.com/maps/api/staticmap?center=18.776679618283232,98.94536111443757&amp;zoom=16&amp;size=420x260&amp;maptype=roadmap&amp;sensor=false&amp;markers=color:red%7C18.776679618283232,98.94536111443757",1)</f>
        <v/>
      </c>
      <c r="E146" t="str">
        <f>IFERROR(__xludf.DUMMYFUNCTION("REGEXEXTRACT(FORMULATEXT(D146),""center=([-0-9.]+,[-0-9.]+)"")"),"18.776679618283232,98.94536111443757")</f>
        <v>18.776679618283232,98.94536111443757</v>
      </c>
    </row>
    <row r="147">
      <c r="A147" s="1" t="s">
        <v>146</v>
      </c>
      <c r="C147" s="2" t="str">
        <f>HYPERLINK("http://4sq.com/gX9uNy","สวนป่าทุ่งเกวียน ")</f>
        <v>สวนป่าทุ่งเกวียน </v>
      </c>
      <c r="D147" s="3" t="str">
        <f>IMAGE("http://maps.google.com/maps/api/staticmap?center=18.336963564135534,99.25061373544493&amp;zoom=16&amp;size=420x260&amp;maptype=roadmap&amp;sensor=false&amp;markers=color:red%7C18.336963564135534,99.25061373544493",1)</f>
        <v/>
      </c>
      <c r="E147" t="str">
        <f>IFERROR(__xludf.DUMMYFUNCTION("REGEXEXTRACT(FORMULATEXT(D147),""center=([-0-9.]+,[-0-9.]+)"")"),"18.336963564135534,99.25061373544493")</f>
        <v>18.336963564135534,99.25061373544493</v>
      </c>
    </row>
    <row r="148">
      <c r="A148" s="1" t="s">
        <v>147</v>
      </c>
      <c r="C148" s="2" t="str">
        <f t="shared" ref="C148:C149" si="11">HYPERLINK("http://4sq.com/fG8sEn","กาดทุ่งเกวียน (Kad Tung Kwian) ")</f>
        <v>กาดทุ่งเกวียน (Kad Tung Kwian) </v>
      </c>
      <c r="D148" s="3" t="str">
        <f t="shared" ref="D148:D149" si="12">IMAGE("http://maps.google.com/maps/api/staticmap?center=18.327273619182417,99.28125858306885&amp;zoom=16&amp;size=420x260&amp;maptype=roadmap&amp;sensor=false&amp;markers=color:red%7C18.327273619182417,99.28125858306885",1)</f>
        <v/>
      </c>
      <c r="E148" t="str">
        <f>IFERROR(__xludf.DUMMYFUNCTION("REGEXEXTRACT(FORMULATEXT(D148),""center=([-0-9.]+,[-0-9.]+)"")"),"18.327273619182417,99.28125858306885")</f>
        <v>18.327273619182417,99.28125858306885</v>
      </c>
    </row>
    <row r="149">
      <c r="A149" s="1" t="s">
        <v>148</v>
      </c>
      <c r="C149" s="2" t="str">
        <f t="shared" si="11"/>
        <v>กาดทุ่งเกวียน (Kad Tung Kwian) </v>
      </c>
      <c r="D149" s="3" t="str">
        <f t="shared" si="12"/>
        <v/>
      </c>
      <c r="E149" t="str">
        <f>IFERROR(__xludf.DUMMYFUNCTION("REGEXEXTRACT(FORMULATEXT(D149),""center=([-0-9.]+,[-0-9.]+)"")"),"18.327273619182417,99.28125858306885")</f>
        <v>18.327273619182417,99.28125858306885</v>
      </c>
    </row>
    <row r="150">
      <c r="A150" s="1" t="s">
        <v>149</v>
      </c>
      <c r="C150" s="2" t="str">
        <f>HYPERLINK("http://4sq.com/gm1HIK","PTT อ.เถิน ")</f>
        <v>PTT อ.เถิน </v>
      </c>
      <c r="D150" s="3" t="str">
        <f>IMAGE("http://maps.google.com/maps/api/staticmap?center=17.618132669172578,99.23430919647217&amp;zoom=16&amp;size=420x260&amp;maptype=roadmap&amp;sensor=false&amp;markers=color:red%7C17.618132669172578,99.23430919647217",1)</f>
        <v/>
      </c>
      <c r="E150" t="str">
        <f>IFERROR(__xludf.DUMMYFUNCTION("REGEXEXTRACT(FORMULATEXT(D150),""center=([-0-9.]+,[-0-9.]+)"")"),"17.618132669172578,99.23430919647217")</f>
        <v>17.618132669172578,99.23430919647217</v>
      </c>
    </row>
    <row r="151">
      <c r="A151" s="1" t="s">
        <v>150</v>
      </c>
      <c r="C151" s="2" t="str">
        <f>HYPERLINK("http://4sq.com/kzulD0","Grand View Resort ")</f>
        <v>Grand View Resort </v>
      </c>
      <c r="D151" s="3" t="str">
        <f>IMAGE("http://maps.google.com/maps/api/staticmap?center=16.472775,99.521315&amp;zoom=16&amp;size=420x260&amp;maptype=roadmap&amp;sensor=false&amp;markers=color:red%7C16.472775,99.521315",1)</f>
        <v/>
      </c>
      <c r="E151" t="str">
        <f>IFERROR(__xludf.DUMMYFUNCTION("REGEXEXTRACT(FORMULATEXT(D151),""center=([-0-9.]+,[-0-9.]+)"")"),"16.472775,99.521315")</f>
        <v>16.472775,99.521315</v>
      </c>
    </row>
    <row r="152">
      <c r="A152" s="1" t="s">
        <v>151</v>
      </c>
      <c r="C152" s="2" t="str">
        <f>HYPERLINK("http://4sq.com/vT9TBf","ร้าน บ้านริมน้ำ ")</f>
        <v>ร้าน บ้านริมน้ำ </v>
      </c>
      <c r="D152" s="3" t="str">
        <f>IMAGE("http://maps.google.com/maps/api/staticmap?center=16.473523,99.521107&amp;zoom=16&amp;size=420x260&amp;maptype=roadmap&amp;sensor=false&amp;markers=color:red%7C16.473523,99.521107",1)</f>
        <v/>
      </c>
      <c r="E152" t="str">
        <f>IFERROR(__xludf.DUMMYFUNCTION("REGEXEXTRACT(FORMULATEXT(D152),""center=([-0-9.]+,[-0-9.]+)"")"),"16.473523,99.521107")</f>
        <v>16.473523,99.521107</v>
      </c>
    </row>
    <row r="153">
      <c r="A153" s="1" t="s">
        <v>152</v>
      </c>
      <c r="C153" s="2" t="str">
        <f>HYPERLINK("http://4sq.com/b5UyWa","โกตี๋ ข้าวมันไก่ ")</f>
        <v>โกตี๋ ข้าวมันไก่ </v>
      </c>
      <c r="D153" s="3" t="str">
        <f>IMAGE("http://maps.google.com/maps/api/staticmap?center=15.711574899999999,100.1350111&amp;zoom=16&amp;size=420x260&amp;maptype=roadmap&amp;sensor=false&amp;markers=color:red%7C15.711574899999999,100.1350111",1)</f>
        <v/>
      </c>
      <c r="E153" t="str">
        <f>IFERROR(__xludf.DUMMYFUNCTION("REGEXEXTRACT(FORMULATEXT(D153),""center=([-0-9.]+,[-0-9.]+)"")"),"15.711574899999999,100.1350111")</f>
        <v>15.711574899999999,100.1350111</v>
      </c>
    </row>
    <row r="154">
      <c r="A154" s="1" t="s">
        <v>153</v>
      </c>
      <c r="B154" s="1" t="s">
        <v>154</v>
      </c>
      <c r="C154" s="2" t="str">
        <f>HYPERLINK("http://4sq.com/rf8y6l","สวนสาธารณะ หน้าเทศบาล น.ว. ")</f>
        <v>สวนสาธารณะ หน้าเทศบาล น.ว. </v>
      </c>
      <c r="D154" s="3" t="str">
        <f>IMAGE("http://maps.google.com/maps/api/staticmap?center=15.712255756416244,100.13472308364064&amp;zoom=16&amp;size=420x260&amp;maptype=roadmap&amp;sensor=false&amp;markers=color:red%7C15.712255756416244,100.13472308364064",1)</f>
        <v/>
      </c>
      <c r="E154" t="str">
        <f>IFERROR(__xludf.DUMMYFUNCTION("REGEXEXTRACT(FORMULATEXT(D154),""center=([-0-9.]+,[-0-9.]+)"")"),"15.712255756416244,100.13472308364064")</f>
        <v>15.712255756416244,100.13472308364064</v>
      </c>
    </row>
    <row r="155">
      <c r="A155" s="1" t="s">
        <v>155</v>
      </c>
      <c r="C155" s="2" t="str">
        <f>HYPERLINK("http://4sq.com/mPF2qT","ปตท. (PTT Petrol Station) ")</f>
        <v>ปตท. (PTT Petrol Station) </v>
      </c>
      <c r="D155" s="3" t="str">
        <f>IMAGE("http://maps.google.com/maps/api/staticmap?center=14.424931842393642,100.56185919502825&amp;zoom=16&amp;size=420x260&amp;maptype=roadmap&amp;sensor=false&amp;markers=color:red%7C14.424931842393642,100.56185919502825",1)</f>
        <v/>
      </c>
      <c r="E155" t="str">
        <f>IFERROR(__xludf.DUMMYFUNCTION("REGEXEXTRACT(FORMULATEXT(D155),""center=([-0-9.]+,[-0-9.]+)"")"),"14.424931842393642,100.56185919502825")</f>
        <v>14.424931842393642,100.56185919502825</v>
      </c>
    </row>
    <row r="156">
      <c r="A156" s="1" t="s">
        <v>156</v>
      </c>
      <c r="C156" s="2" t="str">
        <f>HYPERLINK("http://4sq.com/UXFkqt","Praewa Hair Love U ")</f>
        <v>Praewa Hair Love U </v>
      </c>
      <c r="D156" s="3" t="str">
        <f>IMAGE("http://maps.google.com/maps/api/staticmap?center=13.819077754999697,100.59204339981079&amp;zoom=16&amp;size=420x260&amp;maptype=roadmap&amp;sensor=false&amp;markers=color:red%7C13.819077754999697,100.59204339981079",1)</f>
        <v/>
      </c>
      <c r="E156" t="str">
        <f>IFERROR(__xludf.DUMMYFUNCTION("REGEXEXTRACT(FORMULATEXT(D156),""center=([-0-9.]+,[-0-9.]+)"")"),"13.819077754999697,100.59204339981079")</f>
        <v>13.819077754999697,100.59204339981079</v>
      </c>
    </row>
    <row r="157">
      <c r="A157" s="1" t="s">
        <v>157</v>
      </c>
      <c r="C157" s="2" t="str">
        <f>HYPERLINK("http://4sq.com/cBNlEG","แสงทองบูรพา ")</f>
        <v>แสงทองบูรพา </v>
      </c>
      <c r="D157" s="3" t="str">
        <f>IMAGE("http://maps.google.com/maps/api/staticmap?center=13.81920277441941,100.59300899505615&amp;zoom=16&amp;size=420x260&amp;maptype=roadmap&amp;sensor=false&amp;markers=color:red%7C13.81920277441941,100.59300899505615",1)</f>
        <v/>
      </c>
      <c r="E157" t="str">
        <f>IFERROR(__xludf.DUMMYFUNCTION("REGEXEXTRACT(FORMULATEXT(D157),""center=([-0-9.]+,[-0-9.]+)"")"),"13.81920277441941,100.59300899505615")</f>
        <v>13.81920277441941,100.59300899505615</v>
      </c>
    </row>
    <row r="158">
      <c r="A158" s="1" t="s">
        <v>158</v>
      </c>
      <c r="C158" s="2" t="str">
        <f>HYPERLINK("http://4sq.com/pmzVNR","ผัดไทเอกมัย ")</f>
        <v>ผัดไทเอกมัย </v>
      </c>
      <c r="D158" s="3" t="str">
        <f>IMAGE("http://maps.google.com/maps/api/staticmap?center=13.735720629758625,100.58810741648875&amp;zoom=16&amp;size=420x260&amp;maptype=roadmap&amp;sensor=false&amp;markers=color:red%7C13.735720629758625,100.58810741648875",1)</f>
        <v/>
      </c>
      <c r="E158" t="str">
        <f>IFERROR(__xludf.DUMMYFUNCTION("REGEXEXTRACT(FORMULATEXT(D158),""center=([-0-9.]+,[-0-9.]+)"")"),"13.735720629758625,100.58810741648875")</f>
        <v>13.735720629758625,100.58810741648875</v>
      </c>
    </row>
    <row r="159">
      <c r="A159" s="1" t="s">
        <v>159</v>
      </c>
      <c r="C159" s="2" t="str">
        <f>HYPERLINK("http://4sq.com/cU7tIJ","Terminal 21 (เทอร์มินอล ทเวนตี้วัน) ")</f>
        <v>Terminal 21 (เทอร์มินอล ทเวนตี้วัน) </v>
      </c>
      <c r="D159" s="3" t="str">
        <f>IMAGE("http://maps.google.com/maps/api/staticmap?center=13.73727986477642,100.56050062179565&amp;zoom=16&amp;size=420x260&amp;maptype=roadmap&amp;sensor=false&amp;markers=color:red%7C13.73727986477642,100.56050062179565",1)</f>
        <v/>
      </c>
      <c r="E159" t="str">
        <f>IFERROR(__xludf.DUMMYFUNCTION("REGEXEXTRACT(FORMULATEXT(D159),""center=([-0-9.]+,[-0-9.]+)"")"),"13.73727986477642,100.56050062179565")</f>
        <v>13.73727986477642,100.56050062179565</v>
      </c>
    </row>
    <row r="160">
      <c r="A160" s="1" t="s">
        <v>160</v>
      </c>
      <c r="C160" s="2" t="str">
        <f>HYPERLINK("http://4sq.com/ynqN58","Burger Factory ")</f>
        <v>Burger Factory </v>
      </c>
      <c r="D160" s="3" t="str">
        <f>IMAGE("http://maps.google.com/maps/api/staticmap?center=13.729088979309983,100.58651340435772&amp;zoom=16&amp;size=420x260&amp;maptype=roadmap&amp;sensor=false&amp;markers=color:red%7C13.729088979309983,100.58651340435772",1)</f>
        <v/>
      </c>
      <c r="E160" t="str">
        <f>IFERROR(__xludf.DUMMYFUNCTION("REGEXEXTRACT(FORMULATEXT(D160),""center=([-0-9.]+,[-0-9.]+)"")"),"13.729088979309983,100.58651340435772")</f>
        <v>13.729088979309983,100.58651340435772</v>
      </c>
    </row>
    <row r="161">
      <c r="A161" s="1" t="s">
        <v>161</v>
      </c>
      <c r="C161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  <c r="D161" s="3" t="str">
        <f>IMAGE("http://maps.google.com/maps/api/staticmap?center=13.71908245892265,100.58520913124084&amp;zoom=16&amp;size=420x260&amp;maptype=roadmap&amp;sensor=false&amp;markers=color:red%7C13.71908245892265,100.58520913124084",1)</f>
        <v/>
      </c>
      <c r="E161" t="str">
        <f>IFERROR(__xludf.DUMMYFUNCTION("REGEXEXTRACT(FORMULATEXT(D161),""center=([-0-9.]+,[-0-9.]+)"")"),"13.71908245892265,100.58520913124084")</f>
        <v>13.71908245892265,100.58520913124084</v>
      </c>
    </row>
    <row r="162">
      <c r="A162" s="1" t="s">
        <v>162</v>
      </c>
      <c r="C162" s="2" t="str">
        <f>HYPERLINK("http://4sq.com/LNyf41","Nagiya(นากิยะ) なぎ屋 ")</f>
        <v>Nagiya(นากิยะ) なぎ屋 </v>
      </c>
      <c r="D162" s="3" t="str">
        <f>IMAGE("http://maps.google.com/maps/api/staticmap?center=13.719131066448838,100.58519973919377&amp;zoom=16&amp;size=420x260&amp;maptype=roadmap&amp;sensor=false&amp;markers=color:red%7C13.719131066448838,100.58519973919377",1)</f>
        <v/>
      </c>
      <c r="E162" t="str">
        <f>IFERROR(__xludf.DUMMYFUNCTION("REGEXEXTRACT(FORMULATEXT(D162),""center=([-0-9.]+,[-0-9.]+)"")"),"13.719131066448838,100.58519973919377")</f>
        <v>13.719131066448838,100.58519973919377</v>
      </c>
    </row>
    <row r="163">
      <c r="A163" s="1" t="s">
        <v>163</v>
      </c>
      <c r="C163" s="2" t="str">
        <f>HYPERLINK("http://4sq.com/dkZhz0","Al Ferdoss Restaurant ")</f>
        <v>Al Ferdoss Restaurant </v>
      </c>
      <c r="D163" s="3" t="str">
        <f>IMAGE("http://maps.google.com/maps/api/staticmap?center=13.742585655728494,100.55345211287619&amp;zoom=16&amp;size=420x260&amp;maptype=roadmap&amp;sensor=false&amp;markers=color:red%7C13.742585655728494,100.55345211287619",1)</f>
        <v/>
      </c>
      <c r="E163" t="str">
        <f>IFERROR(__xludf.DUMMYFUNCTION("REGEXEXTRACT(FORMULATEXT(D163),""center=([-0-9.]+,[-0-9.]+)"")"),"13.742585655728494,100.55345211287619")</f>
        <v>13.742585655728494,100.55345211287619</v>
      </c>
    </row>
    <row r="164">
      <c r="A164" s="1" t="s">
        <v>164</v>
      </c>
      <c r="C164" s="2" t="str">
        <f>HYPERLINK("http://4sq.com/5TNFC5","Bourbon St. ")</f>
        <v>Bourbon St. </v>
      </c>
      <c r="D164" s="3" t="str">
        <f>IMAGE("http://maps.google.com/maps/api/staticmap?center=13.722359443986457,100.58451817969932&amp;zoom=16&amp;size=420x260&amp;maptype=roadmap&amp;sensor=false&amp;markers=color:red%7C13.722359443986457,100.58451817969932",1)</f>
        <v/>
      </c>
      <c r="E164" t="str">
        <f>IFERROR(__xludf.DUMMYFUNCTION("REGEXEXTRACT(FORMULATEXT(D164),""center=([-0-9.]+,[-0-9.]+)"")"),"13.722359443986457,100.58451817969932")</f>
        <v>13.722359443986457,100.58451817969932</v>
      </c>
    </row>
    <row r="165">
      <c r="A165" s="1" t="s">
        <v>165</v>
      </c>
      <c r="C165" s="2" t="str">
        <f>HYPERLINK("http://4sq.com/9Olgvc","Kuppa (คัปป้า) ")</f>
        <v>Kuppa (คัปป้า) </v>
      </c>
      <c r="D165" s="3" t="str">
        <f>IMAGE("http://maps.google.com/maps/api/staticmap?center=13.730547197623432,100.56095123291016&amp;zoom=16&amp;size=420x260&amp;maptype=roadmap&amp;sensor=false&amp;markers=color:red%7C13.730547197623432,100.56095123291016",1)</f>
        <v/>
      </c>
      <c r="E165" t="str">
        <f>IFERROR(__xludf.DUMMYFUNCTION("REGEXEXTRACT(FORMULATEXT(D165),""center=([-0-9.]+,[-0-9.]+)"")"),"13.730547197623432,100.56095123291016")</f>
        <v>13.730547197623432,100.56095123291016</v>
      </c>
    </row>
    <row r="166">
      <c r="A166" s="1" t="s">
        <v>166</v>
      </c>
      <c r="C166" s="2" t="str">
        <f>HYPERLINK("http://4sq.com/bsJwZJ","55 โภชนา ")</f>
        <v>55 โภชนา </v>
      </c>
      <c r="D166" s="3" t="str">
        <f>IMAGE("http://maps.google.com/maps/api/staticmap?center=13.723501660925383,100.57970523834229&amp;zoom=16&amp;size=420x260&amp;maptype=roadmap&amp;sensor=false&amp;markers=color:red%7C13.723501660925383,100.57970523834229",1)</f>
        <v/>
      </c>
      <c r="E166" t="str">
        <f>IFERROR(__xludf.DUMMYFUNCTION("REGEXEXTRACT(FORMULATEXT(D166),""center=([-0-9.]+,[-0-9.]+)"")"),"13.723501660925383,100.57970523834229")</f>
        <v>13.723501660925383,100.57970523834229</v>
      </c>
    </row>
    <row r="167">
      <c r="A167" s="1" t="s">
        <v>167</v>
      </c>
      <c r="C167" s="2" t="str">
        <f>HYPERLINK("http://4sq.com/T8jQ9l","Pastel &amp; Monochrome ")</f>
        <v>Pastel &amp; Monochrome </v>
      </c>
      <c r="D167" s="3" t="str">
        <f>IMAGE("http://maps.google.com/maps/api/staticmap?center=13.7383663518721,100.58302865994291&amp;zoom=16&amp;size=420x260&amp;maptype=roadmap&amp;sensor=false&amp;markers=color:red%7C13.7383663518721,100.58302865994291",1)</f>
        <v/>
      </c>
      <c r="E167" t="str">
        <f>IFERROR(__xludf.DUMMYFUNCTION("REGEXEXTRACT(FORMULATEXT(D167),""center=([-0-9.]+,[-0-9.]+)"")"),"13.7383663518721,100.58302865994291")</f>
        <v>13.7383663518721,100.58302865994291</v>
      </c>
    </row>
    <row r="168">
      <c r="A168" s="1" t="s">
        <v>168</v>
      </c>
      <c r="C168" s="2" t="str">
        <f>HYPERLINK("http://4sq.com/bwtdbR","Durty Nelly's Irish Pub ")</f>
        <v>Durty Nelly's Irish Pub </v>
      </c>
      <c r="D168" s="3" t="str">
        <f>IMAGE("http://maps.google.com/maps/api/staticmap?center=13.72339743542138,100.58475852012634&amp;zoom=16&amp;size=420x260&amp;maptype=roadmap&amp;sensor=false&amp;markers=color:red%7C13.72339743542138,100.58475852012634",1)</f>
        <v/>
      </c>
      <c r="E168" t="str">
        <f>IFERROR(__xludf.DUMMYFUNCTION("REGEXEXTRACT(FORMULATEXT(D168),""center=([-0-9.]+,[-0-9.]+)"")"),"13.72339743542138,100.58475852012634")</f>
        <v>13.72339743542138,100.58475852012634</v>
      </c>
    </row>
    <row r="169">
      <c r="A169" s="1" t="s">
        <v>169</v>
      </c>
      <c r="C169" s="2" t="str">
        <f>HYPERLINK("http://4sq.com/fAWkjh","Chu Chocolate Bar &amp; Cafe ")</f>
        <v>Chu Chocolate Bar &amp; Cafe </v>
      </c>
      <c r="D169" s="3" t="str">
        <f>IMAGE("http://maps.google.com/maps/api/staticmap?center=13.735674881181941,100.56161642074585&amp;zoom=16&amp;size=420x260&amp;maptype=roadmap&amp;sensor=false&amp;markers=color:red%7C13.735674881181941,100.56161642074585",1)</f>
        <v/>
      </c>
      <c r="E169" t="str">
        <f>IFERROR(__xludf.DUMMYFUNCTION("REGEXEXTRACT(FORMULATEXT(D169),""center=([-0-9.]+,[-0-9.]+)"")"),"13.735674881181941,100.56161642074585")</f>
        <v>13.735674881181941,100.56161642074585</v>
      </c>
    </row>
    <row r="170">
      <c r="A170" s="1" t="s">
        <v>170</v>
      </c>
      <c r="C170" s="2" t="str">
        <f>HYPERLINK("http://4sq.com/hphxyG","Madrid Pizzeria &amp; Bar ")</f>
        <v>Madrid Pizzeria &amp; Bar </v>
      </c>
      <c r="D170" s="3" t="str">
        <f>IMAGE("http://maps.google.com/maps/api/staticmap?center=13.728199220910154,100.53213014536614&amp;zoom=16&amp;size=420x260&amp;maptype=roadmap&amp;sensor=false&amp;markers=color:red%7C13.728199220910154,100.53213014536614",1)</f>
        <v/>
      </c>
      <c r="E170" t="str">
        <f>IFERROR(__xludf.DUMMYFUNCTION("REGEXEXTRACT(FORMULATEXT(D170),""center=([-0-9.]+,[-0-9.]+)"")"),"13.728199220910154,100.53213014536614")</f>
        <v>13.728199220910154,100.53213014536614</v>
      </c>
    </row>
    <row r="171">
      <c r="A171" s="1" t="s">
        <v>171</v>
      </c>
      <c r="C171" s="2" t="str">
        <f>HYPERLINK("http://4sq.com/zNftp2","Honda Big Wing ")</f>
        <v>Honda Big Wing </v>
      </c>
      <c r="D171" s="3" t="str">
        <f>IMAGE("http://maps.google.com/maps/api/staticmap?center=13.805839279353712,100.61696379116981&amp;zoom=16&amp;size=420x260&amp;maptype=roadmap&amp;sensor=false&amp;markers=color:red%7C13.805839279353712,100.61696379116981",1)</f>
        <v/>
      </c>
      <c r="E171" t="str">
        <f>IFERROR(__xludf.DUMMYFUNCTION("REGEXEXTRACT(FORMULATEXT(D171),""center=([-0-9.]+,[-0-9.]+)"")"),"13.805839279353712,100.61696379116981")</f>
        <v>13.805839279353712,100.61696379116981</v>
      </c>
    </row>
    <row r="172">
      <c r="A172" s="1" t="s">
        <v>172</v>
      </c>
      <c r="C172" s="2" t="str">
        <f>HYPERLINK("http://4sq.com/bCCT2l","NYCC (เอ็นวายซีซี) ")</f>
        <v>NYCC (เอ็นวายซีซี) </v>
      </c>
      <c r="D172" s="3" t="str">
        <f>IMAGE("http://maps.google.com/maps/api/staticmap?center=13.804726121638092,100.61779260635376&amp;zoom=16&amp;size=420x260&amp;maptype=roadmap&amp;sensor=false&amp;markers=color:red%7C13.804726121638092,100.61779260635376",1)</f>
        <v/>
      </c>
      <c r="E172" t="str">
        <f>IFERROR(__xludf.DUMMYFUNCTION("REGEXEXTRACT(FORMULATEXT(D172),""center=([-0-9.]+,[-0-9.]+)"")"),"13.804726121638092,100.61779260635376")</f>
        <v>13.804726121638092,100.61779260635376</v>
      </c>
    </row>
    <row r="173">
      <c r="A173" s="1" t="s">
        <v>173</v>
      </c>
      <c r="C173" s="2" t="str">
        <f>HYPERLINK("http://4sq.com/aVRndd","Playtime ")</f>
        <v>Playtime </v>
      </c>
      <c r="D173" s="3" t="str">
        <f>IMAGE("http://maps.google.com/maps/api/staticmap?center=13.723230674518662,100.58410406112671&amp;zoom=16&amp;size=420x260&amp;maptype=roadmap&amp;sensor=false&amp;markers=color:red%7C13.723230674518662,100.58410406112671",1)</f>
        <v/>
      </c>
      <c r="E173" t="str">
        <f>IFERROR(__xludf.DUMMYFUNCTION("REGEXEXTRACT(FORMULATEXT(D173),""center=([-0-9.]+,[-0-9.]+)"")"),"13.723230674518662,100.58410406112671")</f>
        <v>13.723230674518662,100.58410406112671</v>
      </c>
    </row>
    <row r="174">
      <c r="A174" s="1" t="s">
        <v>174</v>
      </c>
      <c r="C174" s="2" t="str">
        <f>HYPERLINK("http://4sq.com/Za6aA0","ดนตรีในสวน ครั้งที่ ๒๐ (20th Concert in the Park) ")</f>
        <v>ดนตรีในสวน ครั้งที่ ๒๐ (20th Concert in the Park) </v>
      </c>
      <c r="D174" s="3" t="str">
        <f>IMAGE("http://maps.google.com/maps/api/staticmap?center=13.73151158125952,100.54146373442377&amp;zoom=16&amp;size=420x260&amp;maptype=roadmap&amp;sensor=false&amp;markers=color:red%7C13.73151158125952,100.54146373442377",1)</f>
        <v/>
      </c>
      <c r="E174" t="str">
        <f>IFERROR(__xludf.DUMMYFUNCTION("REGEXEXTRACT(FORMULATEXT(D174),""center=([-0-9.]+,[-0-9.]+)"")"),"13.73151158125952,100.54146373442377")</f>
        <v>13.73151158125952,100.54146373442377</v>
      </c>
    </row>
    <row r="175">
      <c r="A175" s="1" t="s">
        <v>174</v>
      </c>
      <c r="C175" s="2" t="str">
        <f>HYPERLINK("http://4sq.com/7mM5V0","สวนลุมพินี (Lumphini Park) ")</f>
        <v>สวนลุมพินี (Lumphini Park) </v>
      </c>
      <c r="D175" s="3" t="str">
        <f>IMAGE("http://maps.google.com/maps/api/staticmap?center=13.73111,100.541575&amp;zoom=16&amp;size=420x260&amp;maptype=roadmap&amp;sensor=false&amp;markers=color:red%7C13.73111,100.541575",1)</f>
        <v/>
      </c>
      <c r="E175" t="str">
        <f>IFERROR(__xludf.DUMMYFUNCTION("REGEXEXTRACT(FORMULATEXT(D175),""center=([-0-9.]+,[-0-9.]+)"")"),"13.73111,100.541575")</f>
        <v>13.73111,100.541575</v>
      </c>
    </row>
    <row r="176">
      <c r="A176" s="1" t="s">
        <v>175</v>
      </c>
      <c r="C176" s="2" t="str">
        <f>HYPERLINK("http://4sq.com/ynqN58","Burger Factory ")</f>
        <v>Burger Factory </v>
      </c>
      <c r="D176" s="3" t="str">
        <f>IMAGE("http://maps.google.com/maps/api/staticmap?center=13.729088979309983,100.58651340435772&amp;zoom=16&amp;size=420x260&amp;maptype=roadmap&amp;sensor=false&amp;markers=color:red%7C13.729088979309983,100.58651340435772",1)</f>
        <v/>
      </c>
      <c r="E176" t="str">
        <f>IFERROR(__xludf.DUMMYFUNCTION("REGEXEXTRACT(FORMULATEXT(D176),""center=([-0-9.]+,[-0-9.]+)"")"),"13.729088979309983,100.58651340435772")</f>
        <v>13.729088979309983,100.58651340435772</v>
      </c>
    </row>
    <row r="177">
      <c r="A177" s="1" t="s">
        <v>176</v>
      </c>
      <c r="C177" s="2" t="str">
        <f>HYPERLINK("http://4sq.com/6jd3M8","The Black Swan ")</f>
        <v>The Black Swan </v>
      </c>
      <c r="D177" s="3" t="str">
        <f>IMAGE("http://maps.google.com/maps/api/staticmap?center=13.736717079572433,100.56035041809082&amp;zoom=16&amp;size=420x260&amp;maptype=roadmap&amp;sensor=false&amp;markers=color:red%7C13.736717079572433,100.56035041809082",1)</f>
        <v/>
      </c>
      <c r="E177" t="str">
        <f>IFERROR(__xludf.DUMMYFUNCTION("REGEXEXTRACT(FORMULATEXT(D177),""center=([-0-9.]+,[-0-9.]+)"")"),"13.736717079572433,100.56035041809082")</f>
        <v>13.736717079572433,100.56035041809082</v>
      </c>
    </row>
    <row r="178">
      <c r="A178" s="1" t="s">
        <v>177</v>
      </c>
      <c r="C178" s="2" t="str">
        <f>HYPERLINK("http://4sq.com/bYsqsf","The Imperial Queen's Park Hotel ")</f>
        <v>The Imperial Queen's Park Hotel </v>
      </c>
      <c r="D178" s="3" t="str">
        <f>IMAGE("http://maps.google.com/maps/api/staticmap?center=13.730401286287764,100.56539297103882&amp;zoom=16&amp;size=420x260&amp;maptype=roadmap&amp;sensor=false&amp;markers=color:red%7C13.730401286287764,100.56539297103882",1)</f>
        <v/>
      </c>
      <c r="E178" t="str">
        <f>IFERROR(__xludf.DUMMYFUNCTION("REGEXEXTRACT(FORMULATEXT(D178),""center=([-0-9.]+,[-0-9.]+)"")"),"13.730401286287764,100.56539297103882")</f>
        <v>13.730401286287764,100.56539297103882</v>
      </c>
    </row>
    <row r="179">
      <c r="A179" s="1" t="s">
        <v>178</v>
      </c>
      <c r="C179" s="2" t="str">
        <f>HYPERLINK("http://4sq.com/75fe2q","The Neilson Hays Library ")</f>
        <v>The Neilson Hays Library </v>
      </c>
      <c r="D179" s="3" t="str">
        <f>IMAGE("http://maps.google.com/maps/api/staticmap?center=13.72722034035985,100.52309411396968&amp;zoom=16&amp;size=420x260&amp;maptype=roadmap&amp;sensor=false&amp;markers=color:red%7C13.72722034035985,100.52309411396968",1)</f>
        <v/>
      </c>
      <c r="E179" t="str">
        <f>IFERROR(__xludf.DUMMYFUNCTION("REGEXEXTRACT(FORMULATEXT(D179),""center=([-0-9.]+,[-0-9.]+)"")"),"13.72722034035985,100.52309411396968")</f>
        <v>13.72722034035985,100.52309411396968</v>
      </c>
    </row>
    <row r="180">
      <c r="A180" s="1" t="s">
        <v>179</v>
      </c>
      <c r="C180" s="2" t="str">
        <f>HYPERLINK("http://4sq.com/dkZhz0","Al Ferdoss Restaurant ")</f>
        <v>Al Ferdoss Restaurant </v>
      </c>
      <c r="D180" s="3" t="str">
        <f>IMAGE("http://maps.google.com/maps/api/staticmap?center=13.742585655728494,100.55345211287619&amp;zoom=16&amp;size=420x260&amp;maptype=roadmap&amp;sensor=false&amp;markers=color:red%7C13.742585655728494,100.55345211287619",1)</f>
        <v/>
      </c>
      <c r="E180" t="str">
        <f>IFERROR(__xludf.DUMMYFUNCTION("REGEXEXTRACT(FORMULATEXT(D180),""center=([-0-9.]+,[-0-9.]+)"")"),"13.742585655728494,100.55345211287619")</f>
        <v>13.742585655728494,100.55345211287619</v>
      </c>
    </row>
    <row r="181">
      <c r="A181" s="1" t="s">
        <v>180</v>
      </c>
      <c r="C181" s="2" t="str">
        <f>HYPERLINK("http://4sq.com/QSWLGc","Digital 3D Paragon Cineplex ")</f>
        <v>Digital 3D Paragon Cineplex </v>
      </c>
      <c r="D181" s="3" t="str">
        <f>IMAGE("http://maps.google.com/maps/api/staticmap?center=13.746230856791785,100.53642051196165&amp;zoom=16&amp;size=420x260&amp;maptype=roadmap&amp;sensor=false&amp;markers=color:red%7C13.746230856791785,100.53642051196165",1)</f>
        <v/>
      </c>
      <c r="E181" t="str">
        <f>IFERROR(__xludf.DUMMYFUNCTION("REGEXEXTRACT(FORMULATEXT(D181),""center=([-0-9.]+,[-0-9.]+)"")"),"13.746230856791785,100.53642051196165")</f>
        <v>13.746230856791785,100.53642051196165</v>
      </c>
    </row>
    <row r="182">
      <c r="A182" s="1" t="s">
        <v>181</v>
      </c>
      <c r="C182" s="2" t="str">
        <f>HYPERLINK("http://4sq.com/bwtdbR","Durty Nelly's Irish Pub ")</f>
        <v>Durty Nelly's Irish Pub </v>
      </c>
      <c r="D182" s="3" t="str">
        <f>IMAGE("http://maps.google.com/maps/api/staticmap?center=13.72339743542138,100.58475852012634&amp;zoom=16&amp;size=420x260&amp;maptype=roadmap&amp;sensor=false&amp;markers=color:red%7C13.72339743542138,100.58475852012634",1)</f>
        <v/>
      </c>
      <c r="E182" t="str">
        <f>IFERROR(__xludf.DUMMYFUNCTION("REGEXEXTRACT(FORMULATEXT(D182),""center=([-0-9.]+,[-0-9.]+)"")"),"13.72339743542138,100.58475852012634")</f>
        <v>13.72339743542138,100.58475852012634</v>
      </c>
    </row>
    <row r="183">
      <c r="A183" s="1" t="s">
        <v>182</v>
      </c>
      <c r="C183" s="2" t="str">
        <f>HYPERLINK("http://4sq.com/7mM5V0","สวนลุมพินี (Lumphini Park) ")</f>
        <v>สวนลุมพินี (Lumphini Park) </v>
      </c>
      <c r="D183" s="3" t="str">
        <f>IMAGE("http://maps.google.com/maps/api/staticmap?center=13.73111,100.541575&amp;zoom=16&amp;size=420x260&amp;maptype=roadmap&amp;sensor=false&amp;markers=color:red%7C13.73111,100.541575",1)</f>
        <v/>
      </c>
      <c r="E183" t="str">
        <f>IFERROR(__xludf.DUMMYFUNCTION("REGEXEXTRACT(FORMULATEXT(D183),""center=([-0-9.]+,[-0-9.]+)"")"),"13.73111,100.541575")</f>
        <v>13.73111,100.541575</v>
      </c>
    </row>
    <row r="184">
      <c r="A184" s="1" t="s">
        <v>183</v>
      </c>
      <c r="C184" s="2" t="str">
        <f>HYPERLINK("http://4sq.com/Za6aA0","ดนตรีในสวน ครั้งที่ ๒๐ (20th Concert in the Park) ")</f>
        <v>ดนตรีในสวน ครั้งที่ ๒๐ (20th Concert in the Park) </v>
      </c>
      <c r="D184" s="3" t="str">
        <f>IMAGE("http://maps.google.com/maps/api/staticmap?center=13.73151158125952,100.54146373442377&amp;zoom=16&amp;size=420x260&amp;maptype=roadmap&amp;sensor=false&amp;markers=color:red%7C13.73151158125952,100.54146373442377",1)</f>
        <v/>
      </c>
      <c r="E184" t="str">
        <f>IFERROR(__xludf.DUMMYFUNCTION("REGEXEXTRACT(FORMULATEXT(D184),""center=([-0-9.]+,[-0-9.]+)"")"),"13.73151158125952,100.54146373442377")</f>
        <v>13.73151158125952,100.54146373442377</v>
      </c>
    </row>
    <row r="185">
      <c r="A185" s="1" t="s">
        <v>184</v>
      </c>
      <c r="C185" s="2" t="str">
        <f>HYPERLINK("http://4sq.com/aWTiyh","Rembrandt Hotel ")</f>
        <v>Rembrandt Hotel </v>
      </c>
      <c r="D185" s="3" t="str">
        <f>IMAGE("http://maps.google.com/maps/api/staticmap?center=13.732410164732604,100.56286096572876&amp;zoom=16&amp;size=420x260&amp;maptype=roadmap&amp;sensor=false&amp;markers=color:red%7C13.732410164732604,100.56286096572876",1)</f>
        <v/>
      </c>
      <c r="E185" t="str">
        <f>IFERROR(__xludf.DUMMYFUNCTION("REGEXEXTRACT(FORMULATEXT(D185),""center=([-0-9.]+,[-0-9.]+)"")"),"13.732410164732604,100.56286096572876")</f>
        <v>13.732410164732604,100.56286096572876</v>
      </c>
    </row>
    <row r="186">
      <c r="A186" s="1" t="s">
        <v>185</v>
      </c>
      <c r="C186" s="2" t="str">
        <f>HYPERLINK("http://4sq.com/9AaIcE","ธนาคารกรุงเทพ (Bangkok Bank) ")</f>
        <v>ธนาคารกรุงเทพ (Bangkok Bank) </v>
      </c>
      <c r="D186" s="3" t="str">
        <f>IMAGE("http://maps.google.com/maps/api/staticmap?center=13.881129,100.564862&amp;zoom=16&amp;size=420x260&amp;maptype=roadmap&amp;sensor=false&amp;markers=color:red%7C13.881129,100.564862",1)</f>
        <v/>
      </c>
      <c r="E186" t="str">
        <f>IFERROR(__xludf.DUMMYFUNCTION("REGEXEXTRACT(FORMULATEXT(D186),""center=([-0-9.]+,[-0-9.]+)"")"),"13.881129,100.564862")</f>
        <v>13.881129,100.564862</v>
      </c>
    </row>
    <row r="187">
      <c r="A187" s="1" t="s">
        <v>186</v>
      </c>
      <c r="C187" s="2" t="str">
        <f>HYPERLINK("http://4sq.com/aAoZyf","กองบังคับการตรวจคนเข้าเมือง 1 (Immigration Division 1) ")</f>
        <v>กองบังคับการตรวจคนเข้าเมือง 1 (Immigration Division 1) </v>
      </c>
      <c r="D187" s="3" t="str">
        <f>IMAGE("http://maps.google.com/maps/api/staticmap?center=13.880920294041744,100.56492549847422&amp;zoom=16&amp;size=420x260&amp;maptype=roadmap&amp;sensor=false&amp;markers=color:red%7C13.880920294041744,100.56492549847422",1)</f>
        <v/>
      </c>
      <c r="E187" t="str">
        <f>IFERROR(__xludf.DUMMYFUNCTION("REGEXEXTRACT(FORMULATEXT(D187),""center=([-0-9.]+,[-0-9.]+)"")"),"13.880920294041744,100.56492549847422")</f>
        <v>13.880920294041744,100.56492549847422</v>
      </c>
    </row>
    <row r="188">
      <c r="A188" s="1" t="s">
        <v>187</v>
      </c>
      <c r="C188" s="2" t="str">
        <f>HYPERLINK("http://4sq.com/9lcPb2","Café Tartine (คาเฟ่ ทาร์ทีน) ")</f>
        <v>Café Tartine (คาเฟ่ ทาร์ทีน) </v>
      </c>
      <c r="D188" s="3" t="str">
        <f>IMAGE("http://maps.google.com/maps/api/staticmap?center=13.74187589335521,100.54960548877716&amp;zoom=16&amp;size=420x260&amp;maptype=roadmap&amp;sensor=false&amp;markers=color:red%7C13.74187589335521,100.54960548877716",1)</f>
        <v/>
      </c>
      <c r="E188" t="str">
        <f>IFERROR(__xludf.DUMMYFUNCTION("REGEXEXTRACT(FORMULATEXT(D188),""center=([-0-9.]+,[-0-9.]+)"")"),"13.74187589335521,100.54960548877716")</f>
        <v>13.74187589335521,100.54960548877716</v>
      </c>
    </row>
    <row r="189">
      <c r="A189" s="1" t="s">
        <v>188</v>
      </c>
      <c r="C189" s="2" t="str">
        <f>HYPERLINK("http://4sq.com/cy76g9","Ad Makers ")</f>
        <v>Ad Makers </v>
      </c>
      <c r="D189" s="3" t="str">
        <f>IMAGE("http://maps.google.com/maps/api/staticmap?center=13.742006164960285,100.54954648017883&amp;zoom=16&amp;size=420x260&amp;maptype=roadmap&amp;sensor=false&amp;markers=color:red%7C13.742006164960285,100.54954648017883",1)</f>
        <v/>
      </c>
      <c r="E189" t="str">
        <f>IFERROR(__xludf.DUMMYFUNCTION("REGEXEXTRACT(FORMULATEXT(D189),""center=([-0-9.]+,[-0-9.]+)"")"),"13.742006164960285,100.54954648017883")</f>
        <v>13.742006164960285,100.54954648017883</v>
      </c>
    </row>
    <row r="190">
      <c r="A190" s="1" t="s">
        <v>189</v>
      </c>
      <c r="C190" s="2" t="str">
        <f>HYPERLINK("http://4sq.com/Snd120","Spice Roads ")</f>
        <v>Spice Roads </v>
      </c>
      <c r="D190" s="3" t="str">
        <f>IMAGE("http://maps.google.com/maps/api/staticmap?center=13.726173,100.598397&amp;zoom=16&amp;size=420x260&amp;maptype=roadmap&amp;sensor=false&amp;markers=color:red%7C13.726173,100.598397",1)</f>
        <v/>
      </c>
      <c r="E190" t="str">
        <f>IFERROR(__xludf.DUMMYFUNCTION("REGEXEXTRACT(FORMULATEXT(D190),""center=([-0-9.]+,[-0-9.]+)"")"),"13.726173,100.598397")</f>
        <v>13.726173,100.598397</v>
      </c>
    </row>
    <row r="191">
      <c r="A191" s="1" t="s">
        <v>190</v>
      </c>
      <c r="C191" s="2" t="str">
        <f>HYPERLINK("http://4sq.com/nZ7dSE","เสนาแวร์เฮ้าส์ ")</f>
        <v>เสนาแวร์เฮ้าส์ </v>
      </c>
      <c r="D191" s="3" t="str">
        <f>IMAGE("http://maps.google.com/maps/api/staticmap?center=13.699925886431458,100.58854165215098&amp;zoom=16&amp;size=420x260&amp;maptype=roadmap&amp;sensor=false&amp;markers=color:red%7C13.699925886431458,100.58854165215098",1)</f>
        <v/>
      </c>
      <c r="E191" t="str">
        <f>IFERROR(__xludf.DUMMYFUNCTION("REGEXEXTRACT(FORMULATEXT(D191),""center=([-0-9.]+,[-0-9.]+)"")"),"13.699925886431458,100.58854165215098")</f>
        <v>13.699925886431458,100.58854165215098</v>
      </c>
    </row>
    <row r="192">
      <c r="A192" s="1" t="s">
        <v>191</v>
      </c>
      <c r="C192" s="2" t="str">
        <f>HYPERLINK("http://4sq.com/qL3pNr","Koh Sichang Pier ")</f>
        <v>Koh Sichang Pier </v>
      </c>
      <c r="D192" s="3" t="str">
        <f>IMAGE("http://maps.google.com/maps/api/staticmap?center=13.17500310345043,100.9196702211658&amp;zoom=16&amp;size=420x260&amp;maptype=roadmap&amp;sensor=false&amp;markers=color:red%7C13.17500310345043,100.9196702211658",1)</f>
        <v/>
      </c>
      <c r="E192" t="str">
        <f>IFERROR(__xludf.DUMMYFUNCTION("REGEXEXTRACT(FORMULATEXT(D192),""center=([-0-9.]+,[-0-9.]+)"")"),"13.17500310345043,100.9196702211658")</f>
        <v>13.17500310345043,100.9196702211658</v>
      </c>
    </row>
    <row r="193">
      <c r="A193" s="1" t="s">
        <v>192</v>
      </c>
      <c r="C193" s="2" t="str">
        <f>HYPERLINK("http://4sq.com/fCOdo8","เบ๊นซ์บังกาโล | BenzBungalow ")</f>
        <v>เบ๊นซ์บังกาโล | BenzBungalow </v>
      </c>
      <c r="D193" s="3" t="str">
        <f>IMAGE("http://maps.google.com/maps/api/staticmap?center=13.152874,100.814195&amp;zoom=16&amp;size=420x260&amp;maptype=roadmap&amp;sensor=false&amp;markers=color:red%7C13.152874,100.814195",1)</f>
        <v/>
      </c>
      <c r="E193" t="str">
        <f>IFERROR(__xludf.DUMMYFUNCTION("REGEXEXTRACT(FORMULATEXT(D193),""center=([-0-9.]+,[-0-9.]+)"")"),"13.152874,100.814195")</f>
        <v>13.152874,100.814195</v>
      </c>
    </row>
    <row r="194">
      <c r="A194" s="1" t="s">
        <v>193</v>
      </c>
      <c r="C194" s="2" t="str">
        <f>HYPERLINK("http://4sq.com/TUgrJ9","Paree Hut ห้องอาหาร ")</f>
        <v>Paree Hut ห้องอาหาร </v>
      </c>
      <c r="D194" s="3" t="str">
        <f>IMAGE("http://maps.google.com/maps/api/staticmap?center=13.135096,100.807068&amp;zoom=16&amp;size=420x260&amp;maptype=roadmap&amp;sensor=false&amp;markers=color:red%7C13.135096,100.807068",1)</f>
        <v/>
      </c>
      <c r="E194" t="str">
        <f>IFERROR(__xludf.DUMMYFUNCTION("REGEXEXTRACT(FORMULATEXT(D194),""center=([-0-9.]+,[-0-9.]+)"")"),"13.135096,100.807068")</f>
        <v>13.135096,100.807068</v>
      </c>
    </row>
    <row r="195">
      <c r="A195" s="1" t="s">
        <v>194</v>
      </c>
      <c r="C195" s="2" t="str">
        <f>HYPERLINK("http://4sq.com/rilqPX","ช่องอิศริยาภรณ์ (เขาขาด) @ เกาะสีชัง ")</f>
        <v>ช่องอิศริยาภรณ์ (เขาขาด) @ เกาะสีชัง </v>
      </c>
      <c r="D195" s="3" t="str">
        <f>IMAGE("http://maps.google.com/maps/api/staticmap?center=13.16288,100.80154&amp;zoom=16&amp;size=420x260&amp;maptype=roadmap&amp;sensor=false&amp;markers=color:red%7C13.16288,100.80154",1)</f>
        <v/>
      </c>
      <c r="E195" t="str">
        <f>IFERROR(__xludf.DUMMYFUNCTION("REGEXEXTRACT(FORMULATEXT(D195),""center=([-0-9.]+,[-0-9.]+)"")"),"13.16288,100.80154")</f>
        <v>13.16288,100.80154</v>
      </c>
    </row>
    <row r="196">
      <c r="A196" s="1" t="s">
        <v>195</v>
      </c>
      <c r="C196" s="2" t="str">
        <f>HYPERLINK("http://4sq.com/gWbUBa","หาดถ้ำพัง เกาะสีชัง ")</f>
        <v>หาดถ้ำพัง เกาะสีชัง </v>
      </c>
      <c r="D196" s="3" t="str">
        <f>IMAGE("http://maps.google.com/maps/api/staticmap?center=13.145801104462778,100.807024&amp;zoom=16&amp;size=420x260&amp;maptype=roadmap&amp;sensor=false&amp;markers=color:red%7C13.145801104462778,100.807024",1)</f>
        <v/>
      </c>
      <c r="E196" t="str">
        <f>IFERROR(__xludf.DUMMYFUNCTION("REGEXEXTRACT(FORMULATEXT(D196),""center=([-0-9.]+,[-0-9.]+)"")"),"13.145801104462778,100.807024")</f>
        <v>13.145801104462778,100.807024</v>
      </c>
    </row>
    <row r="197">
      <c r="A197" s="1" t="s">
        <v>196</v>
      </c>
      <c r="C197" s="2" t="str">
        <f>HYPERLINK("http://4sq.com/ikeAXb","Malee Blue • • มาลีบลู ")</f>
        <v>Malee Blue • • มาลีบลู </v>
      </c>
      <c r="D197" s="3" t="str">
        <f>IMAGE("http://maps.google.com/maps/api/staticmap?center=13.147489,100.813319&amp;zoom=16&amp;size=420x260&amp;maptype=roadmap&amp;sensor=false&amp;markers=color:red%7C13.147489,100.813319",1)</f>
        <v/>
      </c>
      <c r="E197" t="str">
        <f>IFERROR(__xludf.DUMMYFUNCTION("REGEXEXTRACT(FORMULATEXT(D197),""center=([-0-9.]+,[-0-9.]+)"")"),"13.147489,100.813319")</f>
        <v>13.147489,100.813319</v>
      </c>
    </row>
    <row r="198">
      <c r="A198" s="1" t="s">
        <v>197</v>
      </c>
      <c r="C198" s="2" t="str">
        <f>HYPERLINK("http://4sq.com/aej2KR","ท่าเรือเกาะสีชัง ")</f>
        <v>ท่าเรือเกาะสีชัง </v>
      </c>
      <c r="D198" s="3" t="str">
        <f>IMAGE("http://maps.google.com/maps/api/staticmap?center=13.161895395761515,100.81052541732788&amp;zoom=16&amp;size=420x260&amp;maptype=roadmap&amp;sensor=false&amp;markers=color:red%7C13.161895395761515,100.81052541732788",1)</f>
        <v/>
      </c>
      <c r="E198" t="str">
        <f>IFERROR(__xludf.DUMMYFUNCTION("REGEXEXTRACT(FORMULATEXT(D198),""center=([-0-9.]+,[-0-9.]+)"")"),"13.161895395761515,100.81052541732788")</f>
        <v>13.161895395761515,100.81052541732788</v>
      </c>
    </row>
    <row r="199">
      <c r="A199" s="1" t="s">
        <v>198</v>
      </c>
      <c r="C199" s="2" t="str">
        <f>HYPERLINK("http://4sq.com/hHqW3C","ปตท (PTT) ")</f>
        <v>ปตท (PTT) </v>
      </c>
      <c r="D199" s="3" t="str">
        <f>IMAGE("http://maps.google.com/maps/api/staticmap?center=13.34250214509666,100.99444845&amp;zoom=16&amp;size=420x260&amp;maptype=roadmap&amp;sensor=false&amp;markers=color:red%7C13.34250214509666,100.99444845",1)</f>
        <v/>
      </c>
      <c r="E199" t="str">
        <f>IFERROR(__xludf.DUMMYFUNCTION("REGEXEXTRACT(FORMULATEXT(D199),""center=([-0-9.]+,[-0-9.]+)"")"),"13.34250214509666,100.99444845")</f>
        <v>13.34250214509666,100.99444845</v>
      </c>
    </row>
    <row r="200">
      <c r="A200" s="1" t="s">
        <v>199</v>
      </c>
      <c r="C200" s="2" t="str">
        <f>HYPERLINK("http://4sq.com/glMZyL","The Clubhouse ")</f>
        <v>The Clubhouse </v>
      </c>
      <c r="D200" s="3" t="str">
        <f>IMAGE("http://maps.google.com/maps/api/staticmap?center=13.73843669678514,100.56293606758118&amp;zoom=16&amp;size=420x260&amp;maptype=roadmap&amp;sensor=false&amp;markers=color:red%7C13.73843669678514,100.56293606758118",1)</f>
        <v/>
      </c>
      <c r="E200" t="str">
        <f>IFERROR(__xludf.DUMMYFUNCTION("REGEXEXTRACT(FORMULATEXT(D200),""center=([-0-9.]+,[-0-9.]+)"")"),"13.73843669678514,100.56293606758118")</f>
        <v>13.73843669678514,100.56293606758118</v>
      </c>
    </row>
    <row r="201">
      <c r="A201" s="1" t="s">
        <v>200</v>
      </c>
      <c r="C201" s="2" t="str">
        <f>HYPERLINK("http://4sq.com/QsYXXs","Flow House Bangkok ")</f>
        <v>Flow House Bangkok </v>
      </c>
      <c r="D201" s="3" t="str">
        <f>IMAGE("http://maps.google.com/maps/api/staticmap?center=13.720462164000127,100.56734344416836&amp;zoom=16&amp;size=420x260&amp;maptype=roadmap&amp;sensor=false&amp;markers=color:red%7C13.720462164000127,100.56734344416836",1)</f>
        <v/>
      </c>
      <c r="E201" t="str">
        <f>IFERROR(__xludf.DUMMYFUNCTION("REGEXEXTRACT(FORMULATEXT(D201),""center=([-0-9.]+,[-0-9.]+)"")"),"13.720462164000127,100.56734344416836")</f>
        <v>13.720462164000127,100.56734344416836</v>
      </c>
    </row>
    <row r="202">
      <c r="A202" s="1" t="s">
        <v>201</v>
      </c>
      <c r="C202" s="2" t="str">
        <f>HYPERLINK("http://4sq.com/SaxnwB","Carl's Jr. (คาร์ลซ จูเนียร์) ")</f>
        <v>Carl's Jr. (คาร์ลซ จูเนียร์) </v>
      </c>
      <c r="D202" s="3" t="str">
        <f>IMAGE("http://maps.google.com/maps/api/staticmap?center=13.721427564689055,100.56609570980072&amp;zoom=16&amp;size=420x260&amp;maptype=roadmap&amp;sensor=false&amp;markers=color:red%7C13.721427564689055,100.56609570980072",1)</f>
        <v/>
      </c>
      <c r="E202" t="str">
        <f>IFERROR(__xludf.DUMMYFUNCTION("REGEXEXTRACT(FORMULATEXT(D202),""center=([-0-9.]+,[-0-9.]+)"")"),"13.721427564689055,100.56609570980072")</f>
        <v>13.721427564689055,100.56609570980072</v>
      </c>
    </row>
    <row r="203">
      <c r="A203" s="1" t="s">
        <v>202</v>
      </c>
      <c r="C203" s="2" t="str">
        <f t="shared" ref="C203:C204" si="13">HYPERLINK("http://4sq.com/vAItUo","No Idea ")</f>
        <v>No Idea </v>
      </c>
      <c r="D203" s="3" t="str">
        <f t="shared" ref="D203:D204" si="14">IMAGE("http://maps.google.com/maps/api/staticmap?center=13.732615720150378,100.565106842199&amp;zoom=16&amp;size=420x260&amp;maptype=roadmap&amp;sensor=false&amp;markers=color:red%7C13.732615720150378,100.565106842199",1)</f>
        <v/>
      </c>
      <c r="E203" t="str">
        <f>IFERROR(__xludf.DUMMYFUNCTION("REGEXEXTRACT(FORMULATEXT(D203),""center=([-0-9.]+,[-0-9.]+)"")"),"13.732615720150378,100.565106842199")</f>
        <v>13.732615720150378,100.565106842199</v>
      </c>
    </row>
    <row r="204">
      <c r="A204" s="1" t="s">
        <v>202</v>
      </c>
      <c r="C204" s="2" t="str">
        <f t="shared" si="13"/>
        <v>No Idea </v>
      </c>
      <c r="D204" s="3" t="str">
        <f t="shared" si="14"/>
        <v/>
      </c>
      <c r="E204" t="str">
        <f>IFERROR(__xludf.DUMMYFUNCTION("REGEXEXTRACT(FORMULATEXT(D204),""center=([-0-9.]+,[-0-9.]+)"")"),"13.732615720150378,100.565106842199")</f>
        <v>13.732615720150378,100.565106842199</v>
      </c>
    </row>
    <row r="205">
      <c r="A205" s="1" t="s">
        <v>203</v>
      </c>
      <c r="C205" s="2" t="str">
        <f>HYPERLINK("http://4sq.com/bwtdbR","Durty Nelly's Irish Pub ")</f>
        <v>Durty Nelly's Irish Pub </v>
      </c>
      <c r="D205" s="3" t="str">
        <f>IMAGE("http://maps.google.com/maps/api/staticmap?center=13.72339743542138,100.58475852012634&amp;zoom=16&amp;size=420x260&amp;maptype=roadmap&amp;sensor=false&amp;markers=color:red%7C13.72339743542138,100.58475852012634",1)</f>
        <v/>
      </c>
      <c r="E205" t="str">
        <f>IFERROR(__xludf.DUMMYFUNCTION("REGEXEXTRACT(FORMULATEXT(D205),""center=([-0-9.]+,[-0-9.]+)"")"),"13.72339743542138,100.58475852012634")</f>
        <v>13.72339743542138,100.58475852012634</v>
      </c>
    </row>
    <row r="206">
      <c r="A206" s="1" t="s">
        <v>204</v>
      </c>
      <c r="C206" s="2" t="str">
        <f>HYPERLINK("http://4sq.com/bxxPVU","Tesco Lotus (เทสโก้ โลตัส) ")</f>
        <v>Tesco Lotus (เทสโก้ โลตัส) </v>
      </c>
      <c r="D206" s="3" t="str">
        <f>IMAGE("http://maps.google.com/maps/api/staticmap?center=13.80161605048938,100.61391949653625&amp;zoom=16&amp;size=420x260&amp;maptype=roadmap&amp;sensor=false&amp;markers=color:red%7C13.80161605048938,100.61391949653625",1)</f>
        <v/>
      </c>
      <c r="E206" t="str">
        <f>IFERROR(__xludf.DUMMYFUNCTION("REGEXEXTRACT(FORMULATEXT(D206),""center=([-0-9.]+,[-0-9.]+)"")"),"13.80161605048938,100.61391949653625")</f>
        <v>13.80161605048938,100.61391949653625</v>
      </c>
    </row>
    <row r="207">
      <c r="A207" s="1" t="s">
        <v>205</v>
      </c>
      <c r="C207" s="2" t="str">
        <f>HYPERLINK("http://4sq.com/aA7Ffl","Swensen's (สเวนเซ่นส์) ")</f>
        <v>Swensen's (สเวนเซ่นส์) </v>
      </c>
      <c r="D207" s="3" t="str">
        <f>IMAGE("http://maps.google.com/maps/api/staticmap?center=13.721375451482183,100.58327794075012&amp;zoom=16&amp;size=420x260&amp;maptype=roadmap&amp;sensor=false&amp;markers=color:red%7C13.721375451482183,100.58327794075012",1)</f>
        <v/>
      </c>
      <c r="E207" t="str">
        <f>IFERROR(__xludf.DUMMYFUNCTION("REGEXEXTRACT(FORMULATEXT(D207),""center=([-0-9.]+,[-0-9.]+)"")"),"13.721375451482183,100.58327794075012")</f>
        <v>13.721375451482183,100.58327794075012</v>
      </c>
    </row>
    <row r="208">
      <c r="A208" s="1" t="s">
        <v>206</v>
      </c>
      <c r="C208" s="2" t="str">
        <f>HYPERLINK("http://4sq.com/zNftp2","Honda Big Wing ")</f>
        <v>Honda Big Wing </v>
      </c>
      <c r="D208" s="3" t="str">
        <f>IMAGE("http://maps.google.com/maps/api/staticmap?center=13.805839279353712,100.61696379116981&amp;zoom=16&amp;size=420x260&amp;maptype=roadmap&amp;sensor=false&amp;markers=color:red%7C13.805839279353712,100.61696379116981",1)</f>
        <v/>
      </c>
      <c r="E208" t="str">
        <f>IFERROR(__xludf.DUMMYFUNCTION("REGEXEXTRACT(FORMULATEXT(D208),""center=([-0-9.]+,[-0-9.]+)"")"),"13.805839279353712,100.61696379116981")</f>
        <v>13.805839279353712,100.61696379116981</v>
      </c>
    </row>
    <row r="209">
      <c r="A209" s="1" t="s">
        <v>207</v>
      </c>
      <c r="C209" s="2" t="str">
        <f>HYPERLINK("http://4sq.com/c1oAhw","ครัวแสงดาวเสือ ")</f>
        <v>ครัวแสงดาวเสือ </v>
      </c>
      <c r="D209" s="3" t="str">
        <f>IMAGE("http://maps.google.com/maps/api/staticmap?center=13.817693323377517,100.67553978632881&amp;zoom=16&amp;size=420x260&amp;maptype=roadmap&amp;sensor=false&amp;markers=color:red%7C13.817693323377517,100.67553978632881",1)</f>
        <v/>
      </c>
      <c r="E209" t="str">
        <f>IFERROR(__xludf.DUMMYFUNCTION("REGEXEXTRACT(FORMULATEXT(D209),""center=([-0-9.]+,[-0-9.]+)"")"),"13.817693323377517,100.67553978632881")</f>
        <v>13.817693323377517,100.67553978632881</v>
      </c>
    </row>
    <row r="210">
      <c r="A210" s="1" t="s">
        <v>208</v>
      </c>
      <c r="C210" s="2" t="str">
        <f>HYPERLINK("http://4sq.com/mXVBPd","FIREHOUSE Pub and Restaurant ")</f>
        <v>FIREHOUSE Pub and Restaurant </v>
      </c>
      <c r="D210" s="3" t="str">
        <f>IMAGE("http://maps.google.com/maps/api/staticmap?center=13.745006160534755,100.55638076737215&amp;zoom=16&amp;size=420x260&amp;maptype=roadmap&amp;sensor=false&amp;markers=color:red%7C13.745006160534755,100.55638076737215",1)</f>
        <v/>
      </c>
      <c r="E210" t="str">
        <f>IFERROR(__xludf.DUMMYFUNCTION("REGEXEXTRACT(FORMULATEXT(D210),""center=([-0-9.]+,[-0-9.]+)"")"),"13.745006160534755,100.55638076737215")</f>
        <v>13.745006160534755,100.55638076737215</v>
      </c>
    </row>
    <row r="211">
      <c r="A211" s="1" t="s">
        <v>209</v>
      </c>
      <c r="C211" s="2" t="str">
        <f>HYPERLINK("http://4sq.com/ltmzu6","ท่าเรือวัดบางนานอก (Bangna Nok Temple Pier) ")</f>
        <v>ท่าเรือวัดบางนานอก (Bangna Nok Temple Pier) </v>
      </c>
      <c r="D211" s="3" t="str">
        <f>IMAGE("http://maps.google.com/maps/api/staticmap?center=13.676592552307145,100.58755775402325&amp;zoom=16&amp;size=420x260&amp;maptype=roadmap&amp;sensor=false&amp;markers=color:red%7C13.676592552307145,100.58755775402325",1)</f>
        <v/>
      </c>
      <c r="E211" t="str">
        <f>IFERROR(__xludf.DUMMYFUNCTION("REGEXEXTRACT(FORMULATEXT(D211),""center=([-0-9.]+,[-0-9.]+)"")"),"13.676592552307145,100.58755775402325")</f>
        <v>13.676592552307145,100.58755775402325</v>
      </c>
    </row>
    <row r="212">
      <c r="A212" s="1" t="s">
        <v>210</v>
      </c>
      <c r="C212" s="2" t="str">
        <f>HYPERLINK("http://4sq.com/9re5J6","Night Food Stall Street ")</f>
        <v>Night Food Stall Street </v>
      </c>
      <c r="D212" s="3" t="str">
        <f>IMAGE("http://maps.google.com/maps/api/staticmap?center=13.723126448894282,100.57901859283447&amp;zoom=16&amp;size=420x260&amp;maptype=roadmap&amp;sensor=false&amp;markers=color:red%7C13.723126448894282,100.57901859283447",1)</f>
        <v/>
      </c>
      <c r="E212" t="str">
        <f>IFERROR(__xludf.DUMMYFUNCTION("REGEXEXTRACT(FORMULATEXT(D212),""center=([-0-9.]+,[-0-9.]+)"")"),"13.723126448894282,100.57901859283447")</f>
        <v>13.723126448894282,100.57901859283447</v>
      </c>
    </row>
    <row r="213">
      <c r="A213" s="1" t="s">
        <v>211</v>
      </c>
      <c r="C213" s="2" t="str">
        <f>HYPERLINK("http://4sq.com/aj7BWY","Ramada Hotel &amp; Suites ")</f>
        <v>Ramada Hotel &amp; Suites </v>
      </c>
      <c r="D213" s="3" t="str">
        <f>IMAGE("http://maps.google.com/maps/api/staticmap?center=13.734549301715504,100.55781841278076&amp;zoom=16&amp;size=420x260&amp;maptype=roadmap&amp;sensor=false&amp;markers=color:red%7C13.734549301715504,100.55781841278076",1)</f>
        <v/>
      </c>
      <c r="E213" t="str">
        <f>IFERROR(__xludf.DUMMYFUNCTION("REGEXEXTRACT(FORMULATEXT(D213),""center=([-0-9.]+,[-0-9.]+)"")"),"13.734549301715504,100.55781841278076")</f>
        <v>13.734549301715504,100.55781841278076</v>
      </c>
    </row>
    <row r="214">
      <c r="A214" s="1" t="s">
        <v>212</v>
      </c>
      <c r="C214" s="2" t="str">
        <f>HYPERLINK("http://4sq.com/cB0spg","Sizzler (ซิซซ์เลอร์) ")</f>
        <v>Sizzler (ซิซซ์เลอร์) </v>
      </c>
      <c r="D214" s="3" t="str">
        <f>IMAGE("http://maps.google.com/maps/api/staticmap?center=13.721365,100.583151&amp;zoom=16&amp;size=420x260&amp;maptype=roadmap&amp;sensor=false&amp;markers=color:red%7C13.721365,100.583151",1)</f>
        <v/>
      </c>
      <c r="E214" t="str">
        <f>IFERROR(__xludf.DUMMYFUNCTION("REGEXEXTRACT(FORMULATEXT(D214),""center=([-0-9.]+,[-0-9.]+)"")"),"13.721365,100.583151")</f>
        <v>13.721365,100.583151</v>
      </c>
    </row>
    <row r="215">
      <c r="A215" s="1" t="s">
        <v>213</v>
      </c>
      <c r="C215" s="2" t="str">
        <f>HYPERLINK("http://4sq.com/KXLUq7","Bagel Cafe ")</f>
        <v>Bagel Cafe </v>
      </c>
      <c r="D215" s="3" t="str">
        <f>IMAGE("http://maps.google.com/maps/api/staticmap?center=13.725227991141596,100.58497438428769&amp;zoom=16&amp;size=420x260&amp;maptype=roadmap&amp;sensor=false&amp;markers=color:red%7C13.725227991141596,100.58497438428769",1)</f>
        <v/>
      </c>
      <c r="E215" t="str">
        <f>IFERROR(__xludf.DUMMYFUNCTION("REGEXEXTRACT(FORMULATEXT(D215),""center=([-0-9.]+,[-0-9.]+)"")"),"13.725227991141596,100.58497438428769")</f>
        <v>13.725227991141596,100.58497438428769</v>
      </c>
    </row>
    <row r="216">
      <c r="A216" s="1" t="s">
        <v>214</v>
      </c>
      <c r="C216" s="2" t="str">
        <f>HYPERLINK("http://4sq.com/4SKUa9","Emporium (เอ็มโพเรียม) ")</f>
        <v>Emporium (เอ็มโพเรียม) </v>
      </c>
      <c r="D216" s="3" t="str">
        <f>IMAGE("http://maps.google.com/maps/api/staticmap?center=13.730415775878729,100.56865724131455&amp;zoom=16&amp;size=420x260&amp;maptype=roadmap&amp;sensor=false&amp;markers=color:red%7C13.730415775878729,100.56865724131455",1)</f>
        <v/>
      </c>
      <c r="E216" t="str">
        <f>IFERROR(__xludf.DUMMYFUNCTION("REGEXEXTRACT(FORMULATEXT(D216),""center=([-0-9.]+,[-0-9.]+)"")"),"13.730415775878729,100.56865724131455")</f>
        <v>13.730415775878729,100.56865724131455</v>
      </c>
    </row>
    <row r="217">
      <c r="A217" s="1" t="s">
        <v>215</v>
      </c>
      <c r="C217" s="2" t="str">
        <f>HYPERLINK("http://4sq.com/bYsqsf","The Imperial Queen's Park Hotel ")</f>
        <v>The Imperial Queen's Park Hotel </v>
      </c>
      <c r="D217" s="3" t="str">
        <f>IMAGE("http://maps.google.com/maps/api/staticmap?center=13.730401286287764,100.56539297103882&amp;zoom=16&amp;size=420x260&amp;maptype=roadmap&amp;sensor=false&amp;markers=color:red%7C13.730401286287764,100.56539297103882",1)</f>
        <v/>
      </c>
      <c r="E217" t="str">
        <f>IFERROR(__xludf.DUMMYFUNCTION("REGEXEXTRACT(FORMULATEXT(D217),""center=([-0-9.]+,[-0-9.]+)"")"),"13.730401286287764,100.56539297103882")</f>
        <v>13.730401286287764,100.56539297103882</v>
      </c>
    </row>
    <row r="218">
      <c r="A218" s="1" t="s">
        <v>216</v>
      </c>
      <c r="C218" s="2" t="str">
        <f>HYPERLINK("http://4sq.com/Qii9kZ","Starbucks (สตาร์บัคส์) ")</f>
        <v>Starbucks (สตาร์บัคส์) </v>
      </c>
      <c r="D218" s="3" t="str">
        <f>IMAGE("http://maps.google.com/maps/api/staticmap?center=13.569802318735078,100.28895378112793&amp;zoom=16&amp;size=420x260&amp;maptype=roadmap&amp;sensor=false&amp;markers=color:red%7C13.569802318735078,100.28895378112793",1)</f>
        <v/>
      </c>
      <c r="E218" t="str">
        <f>IFERROR(__xludf.DUMMYFUNCTION("REGEXEXTRACT(FORMULATEXT(D218),""center=([-0-9.]+,[-0-9.]+)"")"),"13.569802318735078,100.28895378112793")</f>
        <v>13.569802318735078,100.28895378112793</v>
      </c>
    </row>
    <row r="219">
      <c r="A219" s="1" t="s">
        <v>217</v>
      </c>
      <c r="C219" s="2" t="str">
        <f>HYPERLINK("http://4sq.com/zWGLTd","หลักสองออยล์ ")</f>
        <v>หลักสองออยล์ </v>
      </c>
      <c r="D219" s="3" t="str">
        <f>IMAGE("http://maps.google.com/maps/api/staticmap?center=13.601420200054463,100.14564003071665&amp;zoom=16&amp;size=420x260&amp;maptype=roadmap&amp;sensor=false&amp;markers=color:red%7C13.601420200054463,100.14564003071665",1)</f>
        <v/>
      </c>
      <c r="E219" t="str">
        <f>IFERROR(__xludf.DUMMYFUNCTION("REGEXEXTRACT(FORMULATEXT(D219),""center=([-0-9.]+,[-0-9.]+)"")"),"13.601420200054463,100.14564003071665")</f>
        <v>13.601420200054463,100.14564003071665</v>
      </c>
    </row>
    <row r="220">
      <c r="A220" s="1" t="s">
        <v>218</v>
      </c>
      <c r="C220" s="2" t="str">
        <f>HYPERLINK("http://4sq.com/93ZXkI","ตลาดน้ำบางน้ำผึ้ง (Bangnamphung Floating Market) ")</f>
        <v>ตลาดน้ำบางน้ำผึ้ง (Bangnamphung Floating Market) </v>
      </c>
      <c r="D220" s="3" t="str">
        <f>IMAGE("http://maps.google.com/maps/api/staticmap?center=13.680723628165806,100.57519912719727&amp;zoom=16&amp;size=420x260&amp;maptype=roadmap&amp;sensor=false&amp;markers=color:red%7C13.680723628165806,100.57519912719727",1)</f>
        <v/>
      </c>
      <c r="E220" t="str">
        <f>IFERROR(__xludf.DUMMYFUNCTION("REGEXEXTRACT(FORMULATEXT(D220),""center=([-0-9.]+,[-0-9.]+)"")"),"13.680723628165806,100.57519912719727")</f>
        <v>13.680723628165806,100.57519912719727</v>
      </c>
    </row>
    <row r="221">
      <c r="A221" s="1" t="s">
        <v>219</v>
      </c>
      <c r="C221" s="2" t="str">
        <f t="shared" ref="C221:C222" si="15">HYPERLINK("http://4sq.com/oY0pgU","Bangkok Tree House ")</f>
        <v>Bangkok Tree House </v>
      </c>
      <c r="D221" s="3" t="str">
        <f t="shared" ref="D221:D222" si="16">IMAGE("http://maps.google.com/maps/api/staticmap?center=13.680394273011679,100.58510629928787&amp;zoom=16&amp;size=420x260&amp;maptype=roadmap&amp;sensor=false&amp;markers=color:red%7C13.680394273011679,100.58510629928787",1)</f>
        <v/>
      </c>
      <c r="E221" t="str">
        <f>IFERROR(__xludf.DUMMYFUNCTION("REGEXEXTRACT(FORMULATEXT(D221),""center=([-0-9.]+,[-0-9.]+)"")"),"13.680394273011679,100.58510629928787")</f>
        <v>13.680394273011679,100.58510629928787</v>
      </c>
    </row>
    <row r="222">
      <c r="A222" s="1" t="s">
        <v>220</v>
      </c>
      <c r="C222" s="2" t="str">
        <f t="shared" si="15"/>
        <v>Bangkok Tree House </v>
      </c>
      <c r="D222" s="3" t="str">
        <f t="shared" si="16"/>
        <v/>
      </c>
      <c r="E222" t="str">
        <f>IFERROR(__xludf.DUMMYFUNCTION("REGEXEXTRACT(FORMULATEXT(D222),""center=([-0-9.]+,[-0-9.]+)"")"),"13.680394273011679,100.58510629928787")</f>
        <v>13.680394273011679,100.58510629928787</v>
      </c>
    </row>
    <row r="223">
      <c r="A223" s="1" t="s">
        <v>221</v>
      </c>
      <c r="C223" s="2" t="str">
        <f>HYPERLINK("http://4sq.com/9mhamj","ท่าเรือวัดบางน้ำผึ้งนอก ")</f>
        <v>ท่าเรือวัดบางน้ำผึ้งนอก </v>
      </c>
      <c r="D223" s="3" t="str">
        <f>IMAGE("http://maps.google.com/maps/api/staticmap?center=13.682913,100.58655&amp;zoom=16&amp;size=420x260&amp;maptype=roadmap&amp;sensor=false&amp;markers=color:red%7C13.682913,100.58655",1)</f>
        <v/>
      </c>
      <c r="E223" t="str">
        <f>IFERROR(__xludf.DUMMYFUNCTION("REGEXEXTRACT(FORMULATEXT(D223),""center=([-0-9.]+,[-0-9.]+)"")"),"13.682913,100.58655")</f>
        <v>13.682913,100.58655</v>
      </c>
    </row>
    <row r="224">
      <c r="A224" s="1" t="s">
        <v>222</v>
      </c>
      <c r="C224" s="2" t="str">
        <f>HYPERLINK("http://4sq.com/982T1S","Pro Wash Carcare ")</f>
        <v>Pro Wash Carcare </v>
      </c>
      <c r="D224" s="3" t="str">
        <f>IMAGE("http://maps.google.com/maps/api/staticmap?center=13.729853303665772,100.59409894963042&amp;zoom=16&amp;size=420x260&amp;maptype=roadmap&amp;sensor=false&amp;markers=color:red%7C13.729853303665772,100.59409894963042",1)</f>
        <v/>
      </c>
      <c r="E224" t="str">
        <f>IFERROR(__xludf.DUMMYFUNCTION("REGEXEXTRACT(FORMULATEXT(D224),""center=([-0-9.]+,[-0-9.]+)"")"),"13.729853303665772,100.59409894963042")</f>
        <v>13.729853303665772,100.59409894963042</v>
      </c>
    </row>
    <row r="225">
      <c r="A225" s="1" t="s">
        <v>223</v>
      </c>
      <c r="C225" s="2" t="str">
        <f>HYPERLINK("http://4sq.com/5gnRsF","MBK Center (เอ็ม บี เค เซ็นเตอร์) ")</f>
        <v>MBK Center (เอ็ม บี เค เซ็นเตอร์) </v>
      </c>
      <c r="D225" s="3" t="str">
        <f>IMAGE("http://maps.google.com/maps/api/staticmap?center=13.744595949434908,100.53022384643555&amp;zoom=16&amp;size=420x260&amp;maptype=roadmap&amp;sensor=false&amp;markers=color:red%7C13.744595949434908,100.53022384643555",1)</f>
        <v/>
      </c>
      <c r="E225" t="str">
        <f>IFERROR(__xludf.DUMMYFUNCTION("REGEXEXTRACT(FORMULATEXT(D225),""center=([-0-9.]+,[-0-9.]+)"")"),"13.744595949434908,100.53022384643555")</f>
        <v>13.744595949434908,100.53022384643555</v>
      </c>
    </row>
    <row r="226">
      <c r="A226" s="1" t="s">
        <v>224</v>
      </c>
      <c r="C226" s="2" t="str">
        <f>HYPERLINK("http://4sq.com/bwtdbR","Durty Nelly's Irish Pub ")</f>
        <v>Durty Nelly's Irish Pub </v>
      </c>
      <c r="D226" s="3" t="str">
        <f>IMAGE("http://maps.google.com/maps/api/staticmap?center=13.72339743542138,100.58475852012634&amp;zoom=16&amp;size=420x260&amp;maptype=roadmap&amp;sensor=false&amp;markers=color:red%7C13.72339743542138,100.58475852012634",1)</f>
        <v/>
      </c>
      <c r="E226" t="str">
        <f>IFERROR(__xludf.DUMMYFUNCTION("REGEXEXTRACT(FORMULATEXT(D226),""center=([-0-9.]+,[-0-9.]+)"")"),"13.72339743542138,100.58475852012634")</f>
        <v>13.72339743542138,100.58475852012634</v>
      </c>
    </row>
    <row r="227">
      <c r="A227" s="1" t="s">
        <v>225</v>
      </c>
      <c r="C227" s="2" t="str">
        <f>HYPERLINK("http://4sq.com/c6UufL","Siam Center (สยามเซ็นเตอร์) ")</f>
        <v>Siam Center (สยามเซ็นเตอร์) </v>
      </c>
      <c r="D227" s="3" t="str">
        <f>IMAGE("http://maps.google.com/maps/api/staticmap?center=13.745929911754796,100.5327558517456&amp;zoom=16&amp;size=420x260&amp;maptype=roadmap&amp;sensor=false&amp;markers=color:red%7C13.745929911754796,100.5327558517456",1)</f>
        <v/>
      </c>
      <c r="E227" t="str">
        <f>IFERROR(__xludf.DUMMYFUNCTION("REGEXEXTRACT(FORMULATEXT(D227),""center=([-0-9.]+,[-0-9.]+)"")"),"13.745929911754796,100.5327558517456")</f>
        <v>13.745929911754796,100.5327558517456</v>
      </c>
    </row>
    <row r="228">
      <c r="A228" s="1" t="s">
        <v>226</v>
      </c>
      <c r="C228" s="2" t="str">
        <f>HYPERLINK("http://4sq.com/MifImD","The Coffee Club ")</f>
        <v>The Coffee Club </v>
      </c>
      <c r="D228" s="3" t="str">
        <f>IMAGE("http://maps.google.com/maps/api/staticmap?center=13.720271691239132,100.5842928264579&amp;zoom=16&amp;size=420x260&amp;maptype=roadmap&amp;sensor=false&amp;markers=color:red%7C13.720271691239132,100.5842928264579",1)</f>
        <v/>
      </c>
      <c r="E228" t="str">
        <f>IFERROR(__xludf.DUMMYFUNCTION("REGEXEXTRACT(FORMULATEXT(D228),""center=([-0-9.]+,[-0-9.]+)"")"),"13.720271691239132,100.5842928264579")</f>
        <v>13.720271691239132,100.5842928264579</v>
      </c>
    </row>
    <row r="229">
      <c r="A229" s="1" t="s">
        <v>227</v>
      </c>
      <c r="C229" s="2" t="str">
        <f>HYPERLINK("http://4sq.com/eMpweY","บ้านใร่ใบกระเพรา (Banrie Bai Ka Prao) ")</f>
        <v>บ้านใร่ใบกระเพรา (Banrie Bai Ka Prao) </v>
      </c>
      <c r="D229" s="3" t="str">
        <f>IMAGE("http://maps.google.com/maps/api/staticmap?center=13.72030531018737,100.58457314398804&amp;zoom=16&amp;size=420x260&amp;maptype=roadmap&amp;sensor=false&amp;markers=color:red%7C13.72030531018737,100.58457314398804",1)</f>
        <v/>
      </c>
      <c r="E229" t="str">
        <f>IFERROR(__xludf.DUMMYFUNCTION("REGEXEXTRACT(FORMULATEXT(D229),""center=([-0-9.]+,[-0-9.]+)"")"),"13.72030531018737,100.58457314398804")</f>
        <v>13.72030531018737,100.58457314398804</v>
      </c>
    </row>
    <row r="230">
      <c r="A230" s="1" t="s">
        <v>228</v>
      </c>
      <c r="C230" s="2" t="str">
        <f>HYPERLINK("http://4sq.com/ew5vif","Ozono Plaza (โอโซโน่ พลาซ่า) ")</f>
        <v>Ozono Plaza (โอโซโน่ พลาซ่า) </v>
      </c>
      <c r="D230" s="3" t="str">
        <f>IMAGE("http://maps.google.com/maps/api/staticmap?center=13.74472348496564,100.57295991752278&amp;zoom=16&amp;size=420x260&amp;maptype=roadmap&amp;sensor=false&amp;markers=color:red%7C13.74472348496564,100.57295991752278",1)</f>
        <v/>
      </c>
      <c r="E230" t="str">
        <f>IFERROR(__xludf.DUMMYFUNCTION("REGEXEXTRACT(FORMULATEXT(D230),""center=([-0-9.]+,[-0-9.]+)"")"),"13.74472348496564,100.57295991752278")</f>
        <v>13.74472348496564,100.57295991752278</v>
      </c>
    </row>
    <row r="231">
      <c r="A231" s="1" t="s">
        <v>229</v>
      </c>
      <c r="C231" s="2" t="str">
        <f>HYPERLINK("http://4sq.com/aj7BWY","Ramada Hotel &amp; Suites ")</f>
        <v>Ramada Hotel &amp; Suites </v>
      </c>
      <c r="D231" s="3" t="str">
        <f>IMAGE("http://maps.google.com/maps/api/staticmap?center=13.734549301715504,100.55781841278076&amp;zoom=16&amp;size=420x260&amp;maptype=roadmap&amp;sensor=false&amp;markers=color:red%7C13.734549301715504,100.55781841278076",1)</f>
        <v/>
      </c>
      <c r="E231" t="str">
        <f>IFERROR(__xludf.DUMMYFUNCTION("REGEXEXTRACT(FORMULATEXT(D231),""center=([-0-9.]+,[-0-9.]+)"")"),"13.734549301715504,100.55781841278076")</f>
        <v>13.734549301715504,100.55781841278076</v>
      </c>
    </row>
    <row r="232">
      <c r="A232" s="1" t="s">
        <v>230</v>
      </c>
      <c r="C232" s="2" t="str">
        <f>HYPERLINK("http://4sq.com/bzeUlZ","Pantaree Restaurant ")</f>
        <v>Pantaree Restaurant </v>
      </c>
      <c r="D232" s="3" t="str">
        <f>IMAGE("http://maps.google.com/maps/api/staticmap?center=13.73826,100.558552&amp;zoom=16&amp;size=420x260&amp;maptype=roadmap&amp;sensor=false&amp;markers=color:red%7C13.73826,100.558552",1)</f>
        <v/>
      </c>
      <c r="E232" t="str">
        <f>IFERROR(__xludf.DUMMYFUNCTION("REGEXEXTRACT(FORMULATEXT(D232),""center=([-0-9.]+,[-0-9.]+)"")"),"13.73826,100.558552")</f>
        <v>13.73826,100.558552</v>
      </c>
    </row>
    <row r="233">
      <c r="A233" s="1" t="s">
        <v>231</v>
      </c>
      <c r="C233" s="2" t="str">
        <f>HYPERLINK("http://4sq.com/cB0spg","Sizzler (ซิซซ์เลอร์) ")</f>
        <v>Sizzler (ซิซซ์เลอร์) </v>
      </c>
      <c r="D233" s="3" t="str">
        <f>IMAGE("http://maps.google.com/maps/api/staticmap?center=13.721365,100.583151&amp;zoom=16&amp;size=420x260&amp;maptype=roadmap&amp;sensor=false&amp;markers=color:red%7C13.721365,100.583151",1)</f>
        <v/>
      </c>
      <c r="E233" t="str">
        <f>IFERROR(__xludf.DUMMYFUNCTION("REGEXEXTRACT(FORMULATEXT(D233),""center=([-0-9.]+,[-0-9.]+)"")"),"13.721365,100.583151")</f>
        <v>13.721365,100.583151</v>
      </c>
    </row>
    <row r="234">
      <c r="A234" s="1" t="s">
        <v>232</v>
      </c>
      <c r="C234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  <c r="D234" s="3" t="str">
        <f>IMAGE("http://maps.google.com/maps/api/staticmap?center=13.73450761348332,100.57661533355713&amp;zoom=16&amp;size=420x260&amp;maptype=roadmap&amp;sensor=false&amp;markers=color:red%7C13.73450761348332,100.57661533355713",1)</f>
        <v/>
      </c>
      <c r="E234" t="str">
        <f>IFERROR(__xludf.DUMMYFUNCTION("REGEXEXTRACT(FORMULATEXT(D234),""center=([-0-9.]+,[-0-9.]+)"")"),"13.73450761348332,100.57661533355713")</f>
        <v>13.73450761348332,100.57661533355713</v>
      </c>
    </row>
    <row r="235">
      <c r="A235" s="1" t="s">
        <v>233</v>
      </c>
      <c r="C235" s="2" t="str">
        <f>HYPERLINK("http://4sq.com/aAoZyf","กองบังคับการตรวจคนเข้าเมือง 1 (Immigration Division 1) ")</f>
        <v>กองบังคับการตรวจคนเข้าเมือง 1 (Immigration Division 1) </v>
      </c>
      <c r="D235" s="3" t="str">
        <f>IMAGE("http://maps.google.com/maps/api/staticmap?center=13.880920294041744,100.56492549847422&amp;zoom=16&amp;size=420x260&amp;maptype=roadmap&amp;sensor=false&amp;markers=color:red%7C13.880920294041744,100.56492549847422",1)</f>
        <v/>
      </c>
      <c r="E235" t="str">
        <f>IFERROR(__xludf.DUMMYFUNCTION("REGEXEXTRACT(FORMULATEXT(D235),""center=([-0-9.]+,[-0-9.]+)"")"),"13.880920294041744,100.56492549847422")</f>
        <v>13.880920294041744,100.56492549847422</v>
      </c>
    </row>
    <row r="236">
      <c r="A236" s="1" t="s">
        <v>234</v>
      </c>
      <c r="C236" s="2" t="str">
        <f>HYPERLINK("http://4sq.com/b5LzKo","โรงพยาบาลพญาไท 3 (Phyathai 3 Hospital) ")</f>
        <v>โรงพยาบาลพญาไท 3 (Phyathai 3 Hospital) </v>
      </c>
      <c r="D236" s="3" t="str">
        <f>IMAGE("http://maps.google.com/maps/api/staticmap?center=13.723109,100.463704&amp;zoom=16&amp;size=420x260&amp;maptype=roadmap&amp;sensor=false&amp;markers=color:red%7C13.723109,100.463704",1)</f>
        <v/>
      </c>
      <c r="E236" t="str">
        <f>IFERROR(__xludf.DUMMYFUNCTION("REGEXEXTRACT(FORMULATEXT(D236),""center=([-0-9.]+,[-0-9.]+)"")"),"13.723109,100.463704")</f>
        <v>13.723109,100.463704</v>
      </c>
    </row>
    <row r="237">
      <c r="A237" s="1" t="s">
        <v>235</v>
      </c>
      <c r="C237" s="2" t="str">
        <f>HYPERLINK("http://4sq.com/b0EgNb","Bua Restaurant ")</f>
        <v>Bua Restaurant </v>
      </c>
      <c r="D237" s="3" t="str">
        <f>IMAGE("http://maps.google.com/maps/api/staticmap?center=13.671640439043564,100.5438590874058&amp;zoom=16&amp;size=420x260&amp;maptype=roadmap&amp;sensor=false&amp;markers=color:red%7C13.671640439043564,100.5438590874058",1)</f>
        <v/>
      </c>
      <c r="E237" t="str">
        <f>IFERROR(__xludf.DUMMYFUNCTION("REGEXEXTRACT(FORMULATEXT(D237),""center=([-0-9.]+,[-0-9.]+)"")"),"13.671640439043564,100.5438590874058")</f>
        <v>13.671640439043564,100.5438590874058</v>
      </c>
    </row>
    <row r="238">
      <c r="A238" s="1" t="s">
        <v>236</v>
      </c>
      <c r="C238" s="2" t="str">
        <f>HYPERLINK("http://4sq.com/9xcRFs","The Dubliner Irish Pub ")</f>
        <v>The Dubliner Irish Pub </v>
      </c>
      <c r="D238" s="3" t="str">
        <f>IMAGE("http://maps.google.com/maps/api/staticmap?center=13.732131371995147,100.56835412979126&amp;zoom=16&amp;size=420x260&amp;maptype=roadmap&amp;sensor=false&amp;markers=color:red%7C13.732131371995147,100.56835412979126",1)</f>
        <v/>
      </c>
      <c r="E238" t="str">
        <f>IFERROR(__xludf.DUMMYFUNCTION("REGEXEXTRACT(FORMULATEXT(D238),""center=([-0-9.]+,[-0-9.]+)"")"),"13.732131371995147,100.56835412979126")</f>
        <v>13.732131371995147,100.56835412979126</v>
      </c>
    </row>
    <row r="239">
      <c r="A239" s="1" t="s">
        <v>237</v>
      </c>
      <c r="C239" s="2" t="str">
        <f>HYPERLINK("http://4sq.com/ri2r7x","Back Rooftop VIP at Qup ")</f>
        <v>Back Rooftop VIP at Qup </v>
      </c>
      <c r="D239" s="3" t="str">
        <f>IMAGE("http://maps.google.com/maps/api/staticmap?center=13.745233155592627,100.5561774618907&amp;zoom=16&amp;size=420x260&amp;maptype=roadmap&amp;sensor=false&amp;markers=color:red%7C13.745233155592627,100.5561774618907",1)</f>
        <v/>
      </c>
      <c r="E239" t="str">
        <f>IFERROR(__xludf.DUMMYFUNCTION("REGEXEXTRACT(FORMULATEXT(D239),""center=([-0-9.]+,[-0-9.]+)"")"),"13.745233155592627,100.5561774618907")</f>
        <v>13.745233155592627,100.5561774618907</v>
      </c>
    </row>
    <row r="240">
      <c r="A240" s="1" t="s">
        <v>238</v>
      </c>
      <c r="C240" s="2" t="str">
        <f>HYPERLINK("http://4sq.com/JtOEww","Levels Club &amp; Lounge ")</f>
        <v>Levels Club &amp; Lounge </v>
      </c>
      <c r="D240" s="3" t="str">
        <f>IMAGE("http://maps.google.com/maps/api/staticmap?center=13.744328555032142,100.5565840733029&amp;zoom=16&amp;size=420x260&amp;maptype=roadmap&amp;sensor=false&amp;markers=color:red%7C13.744328555032142,100.5565840733029",1)</f>
        <v/>
      </c>
      <c r="E240" t="str">
        <f>IFERROR(__xludf.DUMMYFUNCTION("REGEXEXTRACT(FORMULATEXT(D240),""center=([-0-9.]+,[-0-9.]+)"")"),"13.744328555032142,100.5565840733029")</f>
        <v>13.744328555032142,100.5565840733029</v>
      </c>
    </row>
    <row r="241">
      <c r="A241" s="1" t="s">
        <v>239</v>
      </c>
      <c r="C241" s="2" t="str">
        <f>HYPERLINK("http://4sq.com/aVRndd","Playtime ")</f>
        <v>Playtime </v>
      </c>
      <c r="D241" s="3" t="str">
        <f>IMAGE("http://maps.google.com/maps/api/staticmap?center=13.723230674518662,100.58410406112671&amp;zoom=16&amp;size=420x260&amp;maptype=roadmap&amp;sensor=false&amp;markers=color:red%7C13.723230674518662,100.58410406112671",1)</f>
        <v/>
      </c>
      <c r="E241" t="str">
        <f>IFERROR(__xludf.DUMMYFUNCTION("REGEXEXTRACT(FORMULATEXT(D241),""center=([-0-9.]+,[-0-9.]+)"")"),"13.723230674518662,100.58410406112671")</f>
        <v>13.723230674518662,100.58410406112671</v>
      </c>
    </row>
    <row r="242">
      <c r="A242" s="1" t="s">
        <v>240</v>
      </c>
      <c r="C242" s="2" t="str">
        <f>HYPERLINK("http://4sq.com/ppZDWG","IKEA Bangna (อิเกีย บางนา) ")</f>
        <v>IKEA Bangna (อิเกีย บางนา) </v>
      </c>
      <c r="D242" s="3" t="str">
        <f>IMAGE("http://maps.google.com/maps/api/staticmap?center=13.643766070257572,100.68077087402344&amp;zoom=16&amp;size=420x260&amp;maptype=roadmap&amp;sensor=false&amp;markers=color:red%7C13.643766070257572,100.68077087402344",1)</f>
        <v/>
      </c>
      <c r="E242" t="str">
        <f>IFERROR(__xludf.DUMMYFUNCTION("REGEXEXTRACT(FORMULATEXT(D242),""center=([-0-9.]+,[-0-9.]+)"")"),"13.643766070257572,100.68077087402344")</f>
        <v>13.643766070257572,100.68077087402344</v>
      </c>
    </row>
    <row r="243">
      <c r="A243" s="1" t="s">
        <v>241</v>
      </c>
      <c r="C243" s="2" t="str">
        <f>HYPERLINK("http://4sq.com/5TNFC5","Bourbon St. ")</f>
        <v>Bourbon St. </v>
      </c>
      <c r="D243" s="3" t="str">
        <f>IMAGE("http://maps.google.com/maps/api/staticmap?center=13.722359443986457,100.58451817969932&amp;zoom=16&amp;size=420x260&amp;maptype=roadmap&amp;sensor=false&amp;markers=color:red%7C13.722359443986457,100.58451817969932",1)</f>
        <v/>
      </c>
      <c r="E243" t="str">
        <f>IFERROR(__xludf.DUMMYFUNCTION("REGEXEXTRACT(FORMULATEXT(D243),""center=([-0-9.]+,[-0-9.]+)"")"),"13.722359443986457,100.58451817969932")</f>
        <v>13.722359443986457,100.58451817969932</v>
      </c>
    </row>
    <row r="244">
      <c r="A244" s="1" t="s">
        <v>242</v>
      </c>
      <c r="C244" s="2" t="str">
        <f>HYPERLINK("http://4sq.com/bwtdbR","Durty Nelly's Irish Pub ")</f>
        <v>Durty Nelly's Irish Pub </v>
      </c>
      <c r="D244" s="3" t="str">
        <f>IMAGE("http://maps.google.com/maps/api/staticmap?center=13.72339743542138,100.58475852012634&amp;zoom=16&amp;size=420x260&amp;maptype=roadmap&amp;sensor=false&amp;markers=color:red%7C13.72339743542138,100.58475852012634",1)</f>
        <v/>
      </c>
      <c r="E244" t="str">
        <f>IFERROR(__xludf.DUMMYFUNCTION("REGEXEXTRACT(FORMULATEXT(D244),""center=([-0-9.]+,[-0-9.]+)"")"),"13.72339743542138,100.58475852012634")</f>
        <v>13.72339743542138,100.58475852012634</v>
      </c>
    </row>
    <row r="245">
      <c r="A245" s="1" t="s">
        <v>243</v>
      </c>
      <c r="C245" s="2" t="str">
        <f>HYPERLINK("http://4sq.com/99TEId","Sunbelt Asia Co.,Ltd. ")</f>
        <v>Sunbelt Asia Co.,Ltd. </v>
      </c>
      <c r="D245" s="3" t="str">
        <f>IMAGE("http://maps.google.com/maps/api/staticmap?center=13.758595918640399,100.56566736142445&amp;zoom=16&amp;size=420x260&amp;maptype=roadmap&amp;sensor=false&amp;markers=color:red%7C13.758595918640399,100.56566736142445",1)</f>
        <v/>
      </c>
      <c r="E245" t="str">
        <f>IFERROR(__xludf.DUMMYFUNCTION("REGEXEXTRACT(FORMULATEXT(D245),""center=([-0-9.]+,[-0-9.]+)"")"),"13.758595918640399,100.56566736142445")</f>
        <v>13.758595918640399,100.56566736142445</v>
      </c>
    </row>
    <row r="246">
      <c r="A246" s="1" t="s">
        <v>244</v>
      </c>
      <c r="C246" s="2" t="str">
        <f>HYPERLINK("http://4sq.com/aVUyRr","Fortune Town (ฟอร์จูนทาวน์) ")</f>
        <v>Fortune Town (ฟอร์จูนทาวน์) </v>
      </c>
      <c r="D246" s="3" t="str">
        <f t="shared" ref="D246:D247" si="17">IMAGE("http://maps.google.com/maps/api/staticmap?center=13.758602174782041,100.56540369987488&amp;zoom=16&amp;size=420x260&amp;maptype=roadmap&amp;sensor=false&amp;markers=color:red%7C13.758602174782041,100.56540369987488",1)</f>
        <v/>
      </c>
      <c r="E246" t="str">
        <f>IFERROR(__xludf.DUMMYFUNCTION("REGEXEXTRACT(FORMULATEXT(D246),""center=([-0-9.]+,[-0-9.]+)"")"),"13.758602174782041,100.56540369987488")</f>
        <v>13.758602174782041,100.56540369987488</v>
      </c>
    </row>
    <row r="247">
      <c r="A247" s="1" t="s">
        <v>245</v>
      </c>
      <c r="C247" s="2" t="str">
        <f>HYPERLINK("http://foursquare.com/v/4b65398ff964a5208fe92ae3","Fortune Town (ฟอร์จูนทาวน์) ")</f>
        <v>Fortune Town (ฟอร์จูนทาวน์) </v>
      </c>
      <c r="D247" s="3" t="str">
        <f t="shared" si="17"/>
        <v/>
      </c>
      <c r="E247" t="str">
        <f>IFERROR(__xludf.DUMMYFUNCTION("REGEXEXTRACT(FORMULATEXT(D247),""center=([-0-9.]+,[-0-9.]+)"")"),"13.758602174782041,100.56540369987488")</f>
        <v>13.758602174782041,100.56540369987488</v>
      </c>
    </row>
    <row r="248">
      <c r="A248" s="1" t="s">
        <v>246</v>
      </c>
      <c r="C248" s="2" t="str">
        <f>HYPERLINK("http://foursquare.com/v/4b0587fdf964a52034ab22e3","Siam Paragon (สยามพารากอน) ")</f>
        <v>Siam Paragon (สยามพารากอน) </v>
      </c>
      <c r="D248" s="3" t="str">
        <f>IMAGE("http://maps.google.com/maps/api/staticmap?center=13.74602370569455,100.53459048271179&amp;zoom=16&amp;size=420x260&amp;maptype=roadmap&amp;sensor=false&amp;markers=color:red%7C13.74602370569455,100.53459048271179",1)</f>
        <v/>
      </c>
      <c r="E248" t="str">
        <f>IFERROR(__xludf.DUMMYFUNCTION("REGEXEXTRACT(FORMULATEXT(D248),""center=([-0-9.]+,[-0-9.]+)"")"),"13.74602370569455,100.53459048271179")</f>
        <v>13.74602370569455,100.53459048271179</v>
      </c>
    </row>
    <row r="249">
      <c r="A249" s="1" t="s">
        <v>247</v>
      </c>
      <c r="C249" s="2" t="str">
        <f>HYPERLINK("http://foursquare.com/v/4c24c39e905a0f47d1416060","BTS อุดมสุข (Udom Suk) E12 ")</f>
        <v>BTS อุดมสุข (Udom Suk) E12 </v>
      </c>
      <c r="D249" s="3" t="str">
        <f>IMAGE("http://maps.google.com/maps/api/staticmap?center=13.679816699657897,100.60945630073547&amp;zoom=16&amp;size=420x260&amp;maptype=roadmap&amp;sensor=false&amp;markers=color:red%7C13.679816699657897,100.60945630073547",1)</f>
        <v/>
      </c>
      <c r="E249" t="str">
        <f>IFERROR(__xludf.DUMMYFUNCTION("REGEXEXTRACT(FORMULATEXT(D249),""center=([-0-9.]+,[-0-9.]+)"")"),"13.679816699657897,100.60945630073547")</f>
        <v>13.679816699657897,100.60945630073547</v>
      </c>
    </row>
    <row r="250">
      <c r="A250" s="1" t="s">
        <v>248</v>
      </c>
      <c r="C250" s="2" t="str">
        <f>HYPERLINK("http://foursquare.com/v/5018c33ce4b05a786eee674f","The Coffee Club ")</f>
        <v>The Coffee Club </v>
      </c>
      <c r="D250" s="3" t="str">
        <f>IMAGE("http://maps.google.com/maps/api/staticmap?center=13.720271691239132,100.5842928264579&amp;zoom=16&amp;size=420x260&amp;maptype=roadmap&amp;sensor=false&amp;markers=color:red%7C13.720271691239132,100.5842928264579",1)</f>
        <v/>
      </c>
      <c r="E250" t="str">
        <f>IFERROR(__xludf.DUMMYFUNCTION("REGEXEXTRACT(FORMULATEXT(D250),""center=([-0-9.]+,[-0-9.]+)"")"),"13.720271691239132,100.5842928264579")</f>
        <v>13.720271691239132,100.5842928264579</v>
      </c>
    </row>
    <row r="251">
      <c r="A251" s="1" t="s">
        <v>249</v>
      </c>
      <c r="C251" s="2" t="str">
        <f>HYPERLINK("http://foursquare.com/v/4c04da72f423a5935418d216","Pro Wash Carcare ")</f>
        <v>Pro Wash Carcare </v>
      </c>
      <c r="D251" s="3" t="str">
        <f>IMAGE("http://maps.google.com/maps/api/staticmap?center=13.729853303665772,100.59409894963042&amp;zoom=16&amp;size=420x260&amp;maptype=roadmap&amp;sensor=false&amp;markers=color:red%7C13.729853303665772,100.59409894963042",1)</f>
        <v/>
      </c>
      <c r="E251" t="str">
        <f>IFERROR(__xludf.DUMMYFUNCTION("REGEXEXTRACT(FORMULATEXT(D251),""center=([-0-9.]+,[-0-9.]+)"")"),"13.729853303665772,100.59409894963042")</f>
        <v>13.729853303665772,100.59409894963042</v>
      </c>
    </row>
    <row r="252">
      <c r="A252" s="1" t="s">
        <v>250</v>
      </c>
      <c r="C252" s="2" t="str">
        <f>HYPERLINK("http://foursquare.com/v/4b0587fcf964a52002ab22e3","CentralWorld (เซ็นทรัลเวิลด์) ")</f>
        <v>CentralWorld (เซ็นทรัลเวิลด์) </v>
      </c>
      <c r="D252" s="3" t="str">
        <f>IMAGE("http://maps.google.com/maps/api/staticmap?center=13.745856960886787,100.53943991661072&amp;zoom=16&amp;size=420x260&amp;maptype=roadmap&amp;sensor=false&amp;markers=color:red%7C13.745856960886787,100.53943991661072",1)</f>
        <v/>
      </c>
      <c r="E252" t="str">
        <f>IFERROR(__xludf.DUMMYFUNCTION("REGEXEXTRACT(FORMULATEXT(D252),""center=([-0-9.]+,[-0-9.]+)"")"),"13.745856960886787,100.53943991661072")</f>
        <v>13.745856960886787,100.53943991661072</v>
      </c>
    </row>
    <row r="253">
      <c r="A253" s="1" t="s">
        <v>251</v>
      </c>
      <c r="C253" s="2" t="str">
        <f>HYPERLINK("http://foursquare.com/v/4cf9b82f34c1a09322053c0e","ร.พ.สัตว์ เจริญสุข ")</f>
        <v>ร.พ.สัตว์ เจริญสุข </v>
      </c>
      <c r="D253" s="3" t="str">
        <f>IMAGE("http://maps.google.com/maps/api/staticmap?center=13.731376,100.585293&amp;zoom=16&amp;size=420x260&amp;maptype=roadmap&amp;sensor=false&amp;markers=color:red%7C13.731376,100.585293",1)</f>
        <v/>
      </c>
      <c r="E253" t="str">
        <f>IFERROR(__xludf.DUMMYFUNCTION("REGEXEXTRACT(FORMULATEXT(D253),""center=([-0-9.]+,[-0-9.]+)"")"),"13.731376,100.585293")</f>
        <v>13.731376,100.585293</v>
      </c>
    </row>
    <row r="254">
      <c r="A254" s="1" t="s">
        <v>252</v>
      </c>
      <c r="C254" s="2" t="str">
        <f>HYPERLINK("http://foursquare.com/v/4b0d43fff964a520684523e3","โรงพยาบาลสมิติเวช สุขุมวิท (Samitivej Sukhumvit Hospital) ")</f>
        <v>โรงพยาบาลสมิติเวช สุขุมวิท (Samitivej Sukhumvit Hospital) </v>
      </c>
      <c r="D254" s="3" t="str">
        <f>IMAGE("http://maps.google.com/maps/api/staticmap?center=13.73450761348332,100.57661533355713&amp;zoom=16&amp;size=420x260&amp;maptype=roadmap&amp;sensor=false&amp;markers=color:red%7C13.73450761348332,100.57661533355713",1)</f>
        <v/>
      </c>
      <c r="E254" t="str">
        <f>IFERROR(__xludf.DUMMYFUNCTION("REGEXEXTRACT(FORMULATEXT(D254),""center=([-0-9.]+,[-0-9.]+)"")"),"13.73450761348332,100.57661533355713")</f>
        <v>13.73450761348332,100.57661533355713</v>
      </c>
    </row>
    <row r="255">
      <c r="A255" s="1" t="s">
        <v>253</v>
      </c>
      <c r="C255" s="2" t="str">
        <f>HYPERLINK("http://foursquare.com/v/4e046b301f6e97fbec325646","BREW Beers &amp; Ciders ")</f>
        <v>BREW Beers &amp; Ciders </v>
      </c>
      <c r="D255" s="3" t="str">
        <f>IMAGE("http://maps.google.com/maps/api/staticmap?center=13.733378435586939,100.58143473555103&amp;zoom=16&amp;size=420x260&amp;maptype=roadmap&amp;sensor=false&amp;markers=color:red%7C13.733378435586939,100.58143473555103",1)</f>
        <v/>
      </c>
      <c r="E255" t="str">
        <f>IFERROR(__xludf.DUMMYFUNCTION("REGEXEXTRACT(FORMULATEXT(D255),""center=([-0-9.]+,[-0-9.]+)"")"),"13.733378435586939,100.58143473555103")</f>
        <v>13.733378435586939,100.58143473555103</v>
      </c>
    </row>
    <row r="256">
      <c r="A256" s="1" t="s">
        <v>254</v>
      </c>
      <c r="C256" s="2" t="str">
        <f>HYPERLINK("http://foursquare.com/v/4c1dc2adb9f876b040337e46","Au Bon Pain (โอ บอง แปง) ")</f>
        <v>Au Bon Pain (โอ บอง แปง) </v>
      </c>
      <c r="D256" s="3" t="str">
        <f>IMAGE("http://maps.google.com/maps/api/staticmap?center=13.735019,100.576703&amp;zoom=16&amp;size=420x260&amp;maptype=roadmap&amp;sensor=false&amp;markers=color:red%7C13.735019,100.576703",1)</f>
        <v/>
      </c>
      <c r="E256" t="str">
        <f>IFERROR(__xludf.DUMMYFUNCTION("REGEXEXTRACT(FORMULATEXT(D256),""center=([-0-9.]+,[-0-9.]+)"")"),"13.735019,100.576703")</f>
        <v>13.735019,100.576703</v>
      </c>
    </row>
    <row r="257">
      <c r="A257" s="1" t="s">
        <v>255</v>
      </c>
      <c r="C257" s="2" t="str">
        <f>HYPERLINK("http://foursquare.com/v/4b0587fdf964a52034ab22e3","Siam Paragon (สยามพารากอน) ")</f>
        <v>Siam Paragon (สยามพารากอน) </v>
      </c>
      <c r="D257" s="3" t="str">
        <f>IMAGE("http://maps.google.com/maps/api/staticmap?center=13.74602370569455,100.53459048271179&amp;zoom=16&amp;size=420x260&amp;maptype=roadmap&amp;sensor=false&amp;markers=color:red%7C13.74602370569455,100.53459048271179",1)</f>
        <v/>
      </c>
      <c r="E257" t="str">
        <f>IFERROR(__xludf.DUMMYFUNCTION("REGEXEXTRACT(FORMULATEXT(D257),""center=([-0-9.]+,[-0-9.]+)"")"),"13.74602370569455,100.53459048271179")</f>
        <v>13.74602370569455,100.53459048271179</v>
      </c>
    </row>
    <row r="258">
      <c r="A258" s="1" t="s">
        <v>256</v>
      </c>
      <c r="C258" s="2" t="str">
        <f>HYPERLINK("http://foursquare.com/v/4c1dc2adb9f876b040337e46","Au Bon Pain (โอ บอง แปง) ")</f>
        <v>Au Bon Pain (โอ บอง แปง) </v>
      </c>
      <c r="D258" s="3" t="str">
        <f>IMAGE("http://maps.google.com/maps/api/staticmap?center=13.735019,100.576703&amp;zoom=16&amp;size=420x260&amp;maptype=roadmap&amp;sensor=false&amp;markers=color:red%7C13.735019,100.576703",1)</f>
        <v/>
      </c>
      <c r="E258" t="str">
        <f>IFERROR(__xludf.DUMMYFUNCTION("REGEXEXTRACT(FORMULATEXT(D258),""center=([-0-9.]+,[-0-9.]+)"")"),"13.735019,100.576703")</f>
        <v>13.735019,100.576703</v>
      </c>
    </row>
    <row r="259">
      <c r="A259" s="1" t="s">
        <v>257</v>
      </c>
      <c r="C259" s="2" t="str">
        <f>HYPERLINK("http://foursquare.com/v/4b0587f7f964a5206fa922e3","Bourbon St. ")</f>
        <v>Bourbon St. </v>
      </c>
      <c r="D259" s="3" t="str">
        <f>IMAGE("http://maps.google.com/maps/api/staticmap?center=13.722365634321932,100.58451817969932&amp;zoom=16&amp;size=420x260&amp;maptype=roadmap&amp;sensor=false&amp;markers=color:red%7C13.722365634321932,100.58451817969932",1)</f>
        <v/>
      </c>
      <c r="E259" t="str">
        <f>IFERROR(__xludf.DUMMYFUNCTION("REGEXEXTRACT(FORMULATEXT(D259),""center=([-0-9.]+,[-0-9.]+)"")"),"13.722365634321932,100.58451817969932")</f>
        <v>13.722365634321932,100.58451817969932</v>
      </c>
    </row>
    <row r="260">
      <c r="A260" s="1" t="s">
        <v>258</v>
      </c>
      <c r="C260" s="2" t="str">
        <f>HYPERLINK("http://foursquare.com/v/4b654c1bf964a52050ec2ae3","GPF Building ")</f>
        <v>GPF Building </v>
      </c>
      <c r="D260" s="3" t="str">
        <f>IMAGE("http://maps.google.com/maps/api/staticmap?center=13.737224443089424,100.54708412228355&amp;zoom=16&amp;size=420x260&amp;maptype=roadmap&amp;sensor=false&amp;markers=color:red%7C13.737224443089424,100.54708412228355",1)</f>
        <v/>
      </c>
      <c r="E260" t="str">
        <f>IFERROR(__xludf.DUMMYFUNCTION("REGEXEXTRACT(FORMULATEXT(D260),""center=([-0-9.]+,[-0-9.]+)"")"),"13.737224443089424,100.54708412228355")</f>
        <v>13.737224443089424,100.54708412228355</v>
      </c>
    </row>
    <row r="261">
      <c r="A261" s="1" t="s">
        <v>259</v>
      </c>
      <c r="C261" s="2" t="str">
        <f>HYPERLINK("http://foursquare.com/v/4e96dcd86c2553e4af763b24","Moom-Muum Park ")</f>
        <v>Moom-Muum Park </v>
      </c>
      <c r="D261" s="3" t="str">
        <f>IMAGE("http://maps.google.com/maps/api/staticmap?center=13.73723817702987,100.56051135063171&amp;zoom=16&amp;size=420x260&amp;maptype=roadmap&amp;sensor=false&amp;markers=color:red%7C13.73723817702987,100.56051135063171",1)</f>
        <v/>
      </c>
      <c r="E261" t="str">
        <f>IFERROR(__xludf.DUMMYFUNCTION("REGEXEXTRACT(FORMULATEXT(D261),""center=([-0-9.]+,[-0-9.]+)"")"),"13.73723817702987,100.56051135063171")</f>
        <v>13.73723817702987,100.56051135063171</v>
      </c>
    </row>
    <row r="262">
      <c r="A262" s="1" t="s">
        <v>260</v>
      </c>
      <c r="C262" s="2" t="str">
        <f>HYPERLINK("http://foursquare.com/v/4cbc54ec7a5d9eb0ea5b31e9","The Westin Grande Sukhumvit, Bangkok ")</f>
        <v>The Westin Grande Sukhumvit, Bangkok </v>
      </c>
      <c r="D262" s="3" t="str">
        <f>IMAGE("http://maps.google.com/maps/api/staticmap?center=13.737879505255496,100.55979856461454&amp;zoom=16&amp;size=420x260&amp;maptype=roadmap&amp;sensor=false&amp;markers=color:red%7C13.737879505255496,100.55979856461454",1)</f>
        <v/>
      </c>
      <c r="E262" t="str">
        <f>IFERROR(__xludf.DUMMYFUNCTION("REGEXEXTRACT(FORMULATEXT(D262),""center=([-0-9.]+,[-0-9.]+)"")"),"13.737879505255496,100.55979856461454")</f>
        <v>13.737879505255496,100.55979856461454</v>
      </c>
    </row>
    <row r="263">
      <c r="A263" s="1" t="s">
        <v>261</v>
      </c>
      <c r="C263" s="2" t="str">
        <f>HYPERLINK("http://foursquare.com/v/4bdd3897645e0f47da206b19","Sizzler (ซิซซ์เลอร์) ")</f>
        <v>Sizzler (ซิซซ์เลอร์) </v>
      </c>
      <c r="D263" s="3" t="str">
        <f>IMAGE("http://maps.google.com/maps/api/staticmap?center=13.721365,100.583151&amp;zoom=16&amp;size=420x260&amp;maptype=roadmap&amp;sensor=false&amp;markers=color:red%7C13.721365,100.583151",1)</f>
        <v/>
      </c>
      <c r="E263" t="str">
        <f>IFERROR(__xludf.DUMMYFUNCTION("REGEXEXTRACT(FORMULATEXT(D263),""center=([-0-9.]+,[-0-9.]+)"")"),"13.721365,100.583151")</f>
        <v>13.721365,100.583151</v>
      </c>
    </row>
    <row r="264">
      <c r="A264" s="1" t="s">
        <v>262</v>
      </c>
      <c r="C264" s="2" t="str">
        <f>HYPERLINK("http://foursquare.com/v/4b4ddbc3f964a52090d926e3","Plaza Lagoon ")</f>
        <v>Plaza Lagoon </v>
      </c>
      <c r="D264" s="3" t="str">
        <f>IMAGE("http://maps.google.com/maps/api/staticmap?center=13.81916110128696,100.59219360351562&amp;zoom=16&amp;size=420x260&amp;maptype=roadmap&amp;sensor=false&amp;markers=color:red%7C13.81916110128696,100.59219360351562",1)</f>
        <v/>
      </c>
      <c r="E264" t="str">
        <f>IFERROR(__xludf.DUMMYFUNCTION("REGEXEXTRACT(FORMULATEXT(D264),""center=([-0-9.]+,[-0-9.]+)"")"),"13.81916110128696,100.59219360351562")</f>
        <v>13.81916110128696,100.59219360351562</v>
      </c>
    </row>
    <row r="265">
      <c r="A265" s="1" t="s">
        <v>263</v>
      </c>
      <c r="C265" s="2" t="str">
        <f>HYPERLINK("http://foursquare.com/v/50cb32f1183f0fe460cd6547","Praewa Hair Love U ")</f>
        <v>Praewa Hair Love U </v>
      </c>
      <c r="D265" s="3" t="str">
        <f>IMAGE("http://maps.google.com/maps/api/staticmap?center=13.819077754999697,100.59204339981079&amp;zoom=16&amp;size=420x260&amp;maptype=roadmap&amp;sensor=false&amp;markers=color:red%7C13.819077754999697,100.59204339981079",1)</f>
        <v/>
      </c>
      <c r="E265" t="str">
        <f>IFERROR(__xludf.DUMMYFUNCTION("REGEXEXTRACT(FORMULATEXT(D265),""center=([-0-9.]+,[-0-9.]+)"")"),"13.819077754999697,100.59204339981079")</f>
        <v>13.819077754999697,100.59204339981079</v>
      </c>
    </row>
    <row r="266">
      <c r="A266" s="1" t="s">
        <v>264</v>
      </c>
      <c r="C266" s="2" t="str">
        <f>HYPERLINK("http://foursquare.com/v/4b602938f964a520f1d729e3","TrueCoffee (ทรูคอฟฟี่) ")</f>
        <v>TrueCoffee (ทรูคอฟฟี่) </v>
      </c>
      <c r="D266" s="3" t="str">
        <f>IMAGE("http://maps.google.com/maps/api/staticmap?center=13.745596421887042,100.53357124328613&amp;zoom=16&amp;size=420x260&amp;maptype=roadmap&amp;sensor=false&amp;markers=color:red%7C13.745596421887042,100.53357124328613",1)</f>
        <v/>
      </c>
      <c r="E266" t="str">
        <f>IFERROR(__xludf.DUMMYFUNCTION("REGEXEXTRACT(FORMULATEXT(D266),""center=([-0-9.]+,[-0-9.]+)"")"),"13.745596421887042,100.53357124328613")</f>
        <v>13.745596421887042,100.53357124328613</v>
      </c>
    </row>
    <row r="267">
      <c r="A267" s="1" t="s">
        <v>265</v>
      </c>
      <c r="C267" s="2" t="str">
        <f t="shared" ref="C267:C268" si="18">HYPERLINK("http://foursquare.com/v/4b0587f7f964a5206fa922e3","Bourbon St. ")</f>
        <v>Bourbon St. </v>
      </c>
      <c r="D267" s="3" t="str">
        <f t="shared" ref="D267:D268" si="19">IMAGE("http://maps.google.com/maps/api/staticmap?center=13.722365634321932,100.58451817969932&amp;zoom=16&amp;size=420x260&amp;maptype=roadmap&amp;sensor=false&amp;markers=color:red%7C13.722365634321932,100.58451817969932",1)</f>
        <v/>
      </c>
      <c r="E267" t="str">
        <f>IFERROR(__xludf.DUMMYFUNCTION("REGEXEXTRACT(FORMULATEXT(D267),""center=([-0-9.]+,[-0-9.]+)"")"),"13.722365634321932,100.58451817969932")</f>
        <v>13.722365634321932,100.58451817969932</v>
      </c>
    </row>
    <row r="268">
      <c r="A268" s="1" t="s">
        <v>266</v>
      </c>
      <c r="C268" s="2" t="str">
        <f t="shared" si="18"/>
        <v>Bourbon St. </v>
      </c>
      <c r="D268" s="3" t="str">
        <f t="shared" si="19"/>
        <v/>
      </c>
      <c r="E268" t="str">
        <f>IFERROR(__xludf.DUMMYFUNCTION("REGEXEXTRACT(FORMULATEXT(D268),""center=([-0-9.]+,[-0-9.]+)"")"),"13.722365634321932,100.58451817969932")</f>
        <v>13.722365634321932,100.58451817969932</v>
      </c>
    </row>
    <row r="269">
      <c r="A269" s="1" t="s">
        <v>267</v>
      </c>
      <c r="C269" s="2" t="str">
        <f>HYPERLINK("http://foursquare.com/v/5018c33ce4b05a786eee674f","The Coffee Club ")</f>
        <v>The Coffee Club </v>
      </c>
      <c r="D269" s="3" t="str">
        <f>IMAGE("http://maps.google.com/maps/api/staticmap?center=13.720271691239132,100.5842928264579&amp;zoom=16&amp;size=420x260&amp;maptype=roadmap&amp;sensor=false&amp;markers=color:red%7C13.720271691239132,100.5842928264579",1)</f>
        <v/>
      </c>
      <c r="E269" t="str">
        <f>IFERROR(__xludf.DUMMYFUNCTION("REGEXEXTRACT(FORMULATEXT(D269),""center=([-0-9.]+,[-0-9.]+)"")"),"13.720271691239132,100.5842928264579")</f>
        <v>13.720271691239132,100.5842928264579</v>
      </c>
    </row>
    <row r="270">
      <c r="A270" s="1" t="s">
        <v>268</v>
      </c>
      <c r="C270" s="2" t="str">
        <f>HYPERLINK("http://foursquare.com/v/5142f01fe4b0455b2c40afa6","Superbdog ")</f>
        <v>Superbdog </v>
      </c>
      <c r="D270" s="3" t="str">
        <f>IMAGE("http://maps.google.com/maps/api/staticmap?center=13.738981,100.554698&amp;zoom=16&amp;size=420x260&amp;maptype=roadmap&amp;sensor=false&amp;markers=color:red%7C13.738981,100.554698",1)</f>
        <v/>
      </c>
      <c r="E270" t="str">
        <f>IFERROR(__xludf.DUMMYFUNCTION("REGEXEXTRACT(FORMULATEXT(D270),""center=([-0-9.]+,[-0-9.]+)"")"),"13.738981,100.554698")</f>
        <v>13.738981,100.554698</v>
      </c>
    </row>
    <row r="271">
      <c r="A271" s="1" t="s">
        <v>269</v>
      </c>
      <c r="C271" s="2" t="str">
        <f>HYPERLINK("http://foursquare.com/v/511cc006e4b0962fa665d155","Gossip Thonglor ")</f>
        <v>Gossip Thonglor </v>
      </c>
      <c r="D271" s="3" t="str">
        <f>IMAGE("http://maps.google.com/maps/api/staticmap?center=13.734466340987705,100.58142374306465&amp;zoom=16&amp;size=420x260&amp;maptype=roadmap&amp;sensor=false&amp;markers=color:red%7C13.734466340987705,100.58142374306465",1)</f>
        <v/>
      </c>
      <c r="E271" t="str">
        <f>IFERROR(__xludf.DUMMYFUNCTION("REGEXEXTRACT(FORMULATEXT(D271),""center=([-0-9.]+,[-0-9.]+)"")"),"13.734466340987705,100.58142374306465")</f>
        <v>13.734466340987705,100.58142374306465</v>
      </c>
    </row>
    <row r="272">
      <c r="A272" s="1" t="s">
        <v>270</v>
      </c>
      <c r="C272" s="2" t="str">
        <f>HYPERLINK("http://foursquare.com/v/4b0587f7f964a52052a922e3","The Dubliner Irish Pub ")</f>
        <v>The Dubliner Irish Pub </v>
      </c>
      <c r="D272" s="3" t="str">
        <f>IMAGE("http://maps.google.com/maps/api/staticmap?center=13.732131371995147,100.56835412979126&amp;zoom=16&amp;size=420x260&amp;maptype=roadmap&amp;sensor=false&amp;markers=color:red%7C13.732131371995147,100.56835412979126",1)</f>
        <v/>
      </c>
      <c r="E272" t="str">
        <f>IFERROR(__xludf.DUMMYFUNCTION("REGEXEXTRACT(FORMULATEXT(D272),""center=([-0-9.]+,[-0-9.]+)"")"),"13.732131371995147,100.56835412979126")</f>
        <v>13.732131371995147,100.56835412979126</v>
      </c>
    </row>
    <row r="273">
      <c r="A273" s="1" t="s">
        <v>271</v>
      </c>
      <c r="C273" s="2" t="str">
        <f>HYPERLINK("http://foursquare.com/v/4c04da72f423a5935418d216","Pro Wash Carcare ")</f>
        <v>Pro Wash Carcare </v>
      </c>
      <c r="D273" s="3" t="str">
        <f>IMAGE("http://maps.google.com/maps/api/staticmap?center=13.729853303665772,100.59409894963042&amp;zoom=16&amp;size=420x260&amp;maptype=roadmap&amp;sensor=false&amp;markers=color:red%7C13.729853303665772,100.59409894963042",1)</f>
        <v/>
      </c>
      <c r="E273" t="str">
        <f>IFERROR(__xludf.DUMMYFUNCTION("REGEXEXTRACT(FORMULATEXT(D273),""center=([-0-9.]+,[-0-9.]+)"")"),"13.729853303665772,100.59409894963042")</f>
        <v>13.729853303665772,100.59409894963042</v>
      </c>
    </row>
    <row r="274">
      <c r="A274" s="1" t="s">
        <v>272</v>
      </c>
      <c r="C274" s="2" t="str">
        <f>HYPERLINK("http://foursquare.com/v/4b0587fcf964a52002ab22e3","CentralWorld (เซ็นทรัลเวิลด์) ")</f>
        <v>CentralWorld (เซ็นทรัลเวิลด์) </v>
      </c>
      <c r="D274" s="3" t="str">
        <f>IMAGE("http://maps.google.com/maps/api/staticmap?center=13.745856960886787,100.53943991661072&amp;zoom=16&amp;size=420x260&amp;maptype=roadmap&amp;sensor=false&amp;markers=color:red%7C13.745856960886787,100.53943991661072",1)</f>
        <v/>
      </c>
      <c r="E274" t="str">
        <f>IFERROR(__xludf.DUMMYFUNCTION("REGEXEXTRACT(FORMULATEXT(D274),""center=([-0-9.]+,[-0-9.]+)"")"),"13.745856960886787,100.53943991661072")</f>
        <v>13.745856960886787,100.53943991661072</v>
      </c>
    </row>
    <row r="275">
      <c r="A275" s="1" t="s">
        <v>273</v>
      </c>
      <c r="C275" s="2" t="str">
        <f>HYPERLINK("http://foursquare.com/v/4b506953f964a520832227e3","MBK Center (เอ็ม บี เค เซ็นเตอร์) ")</f>
        <v>MBK Center (เอ็ม บี เค เซ็นเตอร์) </v>
      </c>
      <c r="D275" s="3" t="str">
        <f>IMAGE("http://maps.google.com/maps/api/staticmap?center=13.744595949434908,100.53022384643555&amp;zoom=16&amp;size=420x260&amp;maptype=roadmap&amp;sensor=false&amp;markers=color:red%7C13.744595949434908,100.53022384643555",1)</f>
        <v/>
      </c>
      <c r="E275" t="str">
        <f>IFERROR(__xludf.DUMMYFUNCTION("REGEXEXTRACT(FORMULATEXT(D275),""center=([-0-9.]+,[-0-9.]+)"")"),"13.744595949434908,100.53022384643555")</f>
        <v>13.744595949434908,100.53022384643555</v>
      </c>
    </row>
    <row r="276">
      <c r="A276" s="1" t="s">
        <v>274</v>
      </c>
      <c r="C276" s="2" t="str">
        <f>HYPERLINK("http://foursquare.com/v/4bee9a61e8c3c928f0d89892","Scoozi Pizza (สกูซี่ พิซซ่า) ")</f>
        <v>Scoozi Pizza (สกูซี่ พิซซ่า) </v>
      </c>
      <c r="D276" s="3" t="str">
        <f>IMAGE("http://maps.google.com/maps/api/staticmap?center=13.721293,100.584517&amp;zoom=16&amp;size=420x260&amp;maptype=roadmap&amp;sensor=false&amp;markers=color:red%7C13.721293,100.584517",1)</f>
        <v/>
      </c>
      <c r="E276" t="str">
        <f>IFERROR(__xludf.DUMMYFUNCTION("REGEXEXTRACT(FORMULATEXT(D276),""center=([-0-9.]+,[-0-9.]+)"")"),"13.721293,100.584517")</f>
        <v>13.721293,100.584517</v>
      </c>
    </row>
    <row r="277">
      <c r="A277" s="1" t="s">
        <v>275</v>
      </c>
      <c r="C277" s="2" t="str">
        <f>HYPERLINK("http://foursquare.com/v/4b435244f964a5205ede25e3","The Crystal (เดอะ คริสตัล) ")</f>
        <v>The Crystal (เดอะ คริสตัล) </v>
      </c>
      <c r="D277" s="3" t="str">
        <f>IMAGE("http://maps.google.com/maps/api/staticmap?center=13.811259980052562,100.6191301692641&amp;zoom=16&amp;size=420x260&amp;maptype=roadmap&amp;sensor=false&amp;markers=color:red%7C13.811259980052562,100.6191301692641",1)</f>
        <v/>
      </c>
      <c r="E277" t="str">
        <f>IFERROR(__xludf.DUMMYFUNCTION("REGEXEXTRACT(FORMULATEXT(D277),""center=([-0-9.]+,[-0-9.]+)"")"),"13.811259980052562,100.6191301692641")</f>
        <v>13.811259980052562,100.6191301692641</v>
      </c>
    </row>
    <row r="278">
      <c r="A278" s="1" t="s">
        <v>276</v>
      </c>
      <c r="C278" s="2" t="str">
        <f>HYPERLINK("http://foursquare.com/v/4e06c54cd1640223a4991334","Cha Cha Cha ")</f>
        <v>Cha Cha Cha </v>
      </c>
      <c r="D278" s="3" t="str">
        <f>IMAGE("http://maps.google.com/maps/api/staticmap?center=13.734207139939475,100.58249551664971&amp;zoom=16&amp;size=420x260&amp;maptype=roadmap&amp;sensor=false&amp;markers=color:red%7C13.734207139939475,100.58249551664971",1)</f>
        <v/>
      </c>
      <c r="E278" t="str">
        <f>IFERROR(__xludf.DUMMYFUNCTION("REGEXEXTRACT(FORMULATEXT(D278),""center=([-0-9.]+,[-0-9.]+)"")"),"13.734207139939475,100.58249551664971")</f>
        <v>13.734207139939475,100.58249551664971</v>
      </c>
    </row>
    <row r="279">
      <c r="A279" s="1" t="s">
        <v>277</v>
      </c>
      <c r="C279" s="2" t="str">
        <f>HYPERLINK("http://foursquare.com/v/4bc3f0582a89ef3b0fc9f588","Mother Care ")</f>
        <v>Mother Care </v>
      </c>
      <c r="D279" s="3" t="str">
        <f>IMAGE("http://maps.google.com/maps/api/staticmap?center=13.734799430952899,100.58206558227539&amp;zoom=16&amp;size=420x260&amp;maptype=roadmap&amp;sensor=false&amp;markers=color:red%7C13.734799430952899,100.58206558227539",1)</f>
        <v/>
      </c>
      <c r="E279" t="str">
        <f>IFERROR(__xludf.DUMMYFUNCTION("REGEXEXTRACT(FORMULATEXT(D279),""center=([-0-9.]+,[-0-9.]+)"")"),"13.734799430952899,100.58206558227539")</f>
        <v>13.734799430952899,100.58206558227539</v>
      </c>
    </row>
    <row r="280">
      <c r="A280" s="1" t="s">
        <v>278</v>
      </c>
      <c r="C280" s="2" t="str">
        <f>HYPERLINK("http://foursquare.com/v/4c11f350d55995212b5818b9","Tesco Lotus (เทสโก้ โลตัส) ")</f>
        <v>Tesco Lotus (เทสโก้ โลตัส) </v>
      </c>
      <c r="D280" s="3" t="str">
        <f>IMAGE("http://maps.google.com/maps/api/staticmap?center=13.80161605048938,100.61391949653625&amp;zoom=16&amp;size=420x260&amp;maptype=roadmap&amp;sensor=false&amp;markers=color:red%7C13.80161605048938,100.61391949653625",1)</f>
        <v/>
      </c>
      <c r="E280" t="str">
        <f>IFERROR(__xludf.DUMMYFUNCTION("REGEXEXTRACT(FORMULATEXT(D280),""center=([-0-9.]+,[-0-9.]+)"")"),"13.80161605048938,100.61391949653625")</f>
        <v>13.80161605048938,100.61391949653625</v>
      </c>
    </row>
    <row r="281">
      <c r="A281" s="1" t="s">
        <v>279</v>
      </c>
      <c r="C281" s="2" t="str">
        <f>HYPERLINK("http://foursquare.com/v/4b506953f964a520832227e3","MBK Center (เอ็ม บี เค เซ็นเตอร์) ")</f>
        <v>MBK Center (เอ็ม บี เค เซ็นเตอร์) </v>
      </c>
      <c r="D281" s="3" t="str">
        <f>IMAGE("http://maps.google.com/maps/api/staticmap?center=13.744595949434908,100.53022384643555&amp;zoom=16&amp;size=420x260&amp;maptype=roadmap&amp;sensor=false&amp;markers=color:red%7C13.744595949434908,100.53022384643555",1)</f>
        <v/>
      </c>
      <c r="E281" t="str">
        <f>IFERROR(__xludf.DUMMYFUNCTION("REGEXEXTRACT(FORMULATEXT(D281),""center=([-0-9.]+,[-0-9.]+)"")"),"13.744595949434908,100.53022384643555")</f>
        <v>13.744595949434908,100.53022384643555</v>
      </c>
    </row>
    <row r="282">
      <c r="A282" s="1" t="s">
        <v>280</v>
      </c>
      <c r="C282" s="2" t="str">
        <f>HYPERLINK("http://foursquare.com/v/5017c8d8e4b033fdaf9937b6","Flow House Bangkok ")</f>
        <v>Flow House Bangkok </v>
      </c>
      <c r="D282" s="3" t="str">
        <f>IMAGE("http://maps.google.com/maps/api/staticmap?center=13.720462164000127,100.56734344416836&amp;zoom=16&amp;size=420x260&amp;maptype=roadmap&amp;sensor=false&amp;markers=color:red%7C13.720462164000127,100.56734344416836",1)</f>
        <v/>
      </c>
      <c r="E282" t="str">
        <f>IFERROR(__xludf.DUMMYFUNCTION("REGEXEXTRACT(FORMULATEXT(D282),""center=([-0-9.]+,[-0-9.]+)"")"),"13.720462164000127,100.56734344416836")</f>
        <v>13.720462164000127,100.56734344416836</v>
      </c>
    </row>
    <row r="283">
      <c r="A283" s="1" t="s">
        <v>281</v>
      </c>
      <c r="C283" s="2" t="str">
        <f>HYPERLINK("http://foursquare.com/v/4cd3a0c753665481594c28ed","V8 Diner ")</f>
        <v>V8 Diner </v>
      </c>
      <c r="D283" s="3" t="str">
        <f>IMAGE("http://maps.google.com/maps/api/staticmap?center=13.73800873959031,100.55848528023749&amp;zoom=16&amp;size=420x260&amp;maptype=roadmap&amp;sensor=false&amp;markers=color:red%7C13.73800873959031,100.55848528023749",1)</f>
        <v/>
      </c>
      <c r="E283" t="str">
        <f>IFERROR(__xludf.DUMMYFUNCTION("REGEXEXTRACT(FORMULATEXT(D283),""center=([-0-9.]+,[-0-9.]+)"")"),"13.73800873959031,100.55848528023749")</f>
        <v>13.73800873959031,100.55848528023749</v>
      </c>
    </row>
    <row r="284">
      <c r="A284" s="1" t="s">
        <v>282</v>
      </c>
      <c r="C284" s="2" t="str">
        <f>HYPERLINK("http://foursquare.com/v/4cbfe4f4985aa35df9bf4912","Pantaree Restaurant ")</f>
        <v>Pantaree Restaurant </v>
      </c>
      <c r="D284" s="3" t="str">
        <f>IMAGE("http://maps.google.com/maps/api/staticmap?center=13.73826,100.558552&amp;zoom=16&amp;size=420x260&amp;maptype=roadmap&amp;sensor=false&amp;markers=color:red%7C13.73826,100.558552",1)</f>
        <v/>
      </c>
      <c r="E284" t="str">
        <f>IFERROR(__xludf.DUMMYFUNCTION("REGEXEXTRACT(FORMULATEXT(D284),""center=([-0-9.]+,[-0-9.]+)"")"),"13.73826,100.558552")</f>
        <v>13.73826,100.558552</v>
      </c>
    </row>
    <row r="285">
      <c r="A285" s="1" t="s">
        <v>283</v>
      </c>
      <c r="C285" s="2" t="str">
        <f>HYPERLINK("http://foursquare.com/v/4cc402da38aaa093b8871062","CheeseCake House &amp; Restaurant ")</f>
        <v>CheeseCake House &amp; Restaurant </v>
      </c>
      <c r="D285" s="3" t="str">
        <f>IMAGE("http://maps.google.com/maps/api/staticmap?center=13.721309575613045,100.58314957946901&amp;zoom=16&amp;size=420x260&amp;maptype=roadmap&amp;sensor=false&amp;markers=color:red%7C13.721309575613045,100.58314957946901",1)</f>
        <v/>
      </c>
      <c r="E285" t="str">
        <f>IFERROR(__xludf.DUMMYFUNCTION("REGEXEXTRACT(FORMULATEXT(D285),""center=([-0-9.]+,[-0-9.]+)"")"),"13.721309575613045,100.58314957946901")</f>
        <v>13.721309575613045,100.58314957946901</v>
      </c>
    </row>
    <row r="286">
      <c r="A286" s="1" t="s">
        <v>284</v>
      </c>
      <c r="C286" s="2" t="str">
        <f>HYPERLINK("http://foursquare.com/v/4d02396918ff8cfa027dc357","บ้านใร่ใบกระเพรา (Banrie Bai Ka Prao) ")</f>
        <v>บ้านใร่ใบกระเพรา (Banrie Bai Ka Prao) </v>
      </c>
      <c r="D286" s="3" t="str">
        <f>IMAGE("http://maps.google.com/maps/api/staticmap?center=13.72030531018737,100.58457314398804&amp;zoom=16&amp;size=420x260&amp;maptype=roadmap&amp;sensor=false&amp;markers=color:red%7C13.72030531018737,100.58457314398804",1)</f>
        <v/>
      </c>
      <c r="E286" t="str">
        <f>IFERROR(__xludf.DUMMYFUNCTION("REGEXEXTRACT(FORMULATEXT(D286),""center=([-0-9.]+,[-0-9.]+)"")"),"13.72030531018737,100.58457314398804")</f>
        <v>13.72030531018737,100.58457314398804</v>
      </c>
    </row>
    <row r="287">
      <c r="A287" s="1" t="s">
        <v>285</v>
      </c>
      <c r="C287" s="2" t="str">
        <f>HYPERLINK("http://foursquare.com/v/4bb5795f6edc76b0afd22f1c","เจียง ลูกชิ้นปลา (Jiang Fish Ball) ")</f>
        <v>เจียง ลูกชิ้นปลา (Jiang Fish Ball) </v>
      </c>
      <c r="D287" s="3" t="str">
        <f>IMAGE("http://maps.google.com/maps/api/staticmap?center=13.726588248987794,100.59252682165837&amp;zoom=16&amp;size=420x260&amp;maptype=roadmap&amp;sensor=false&amp;markers=color:red%7C13.726588248987794,100.59252682165837",1)</f>
        <v/>
      </c>
      <c r="E287" t="str">
        <f>IFERROR(__xludf.DUMMYFUNCTION("REGEXEXTRACT(FORMULATEXT(D287),""center=([-0-9.]+,[-0-9.]+)"")"),"13.726588248987794,100.59252682165837")</f>
        <v>13.726588248987794,100.59252682165837</v>
      </c>
    </row>
    <row r="288">
      <c r="A288" s="1" t="s">
        <v>286</v>
      </c>
      <c r="C288" s="2" t="str">
        <f>HYPERLINK("http://foursquare.com/v/4af833a6f964a5205a0b22e3","Suvarnabhumi Airport (BKK) ท่าอากาศยานสุวรรณภูมิ ")</f>
        <v>Suvarnabhumi Airport (BKK) ท่าอากาศยานสุวรรณภูมิ </v>
      </c>
      <c r="D288" s="3" t="str">
        <f>IMAGE("http://maps.google.com/maps/api/staticmap?center=13.693774672020568,100.75115203857422&amp;zoom=16&amp;size=420x260&amp;maptype=roadmap&amp;sensor=false&amp;markers=color:red%7C13.693774672020568,100.75115203857422",1)</f>
        <v/>
      </c>
      <c r="E288" t="str">
        <f>IFERROR(__xludf.DUMMYFUNCTION("REGEXEXTRACT(FORMULATEXT(D288),""center=([-0-9.]+,[-0-9.]+)"")"),"13.693774672020568,100.75115203857422")</f>
        <v>13.693774672020568,100.75115203857422</v>
      </c>
    </row>
    <row r="289">
      <c r="A289" s="1" t="s">
        <v>287</v>
      </c>
      <c r="C289" s="2" t="str">
        <f>HYPERLINK("http://foursquare.com/v/4d02396918ff8cfa027dc357","บ้านใร่ใบกระเพรา (Banrie Bai Ka Prao) ")</f>
        <v>บ้านใร่ใบกระเพรา (Banrie Bai Ka Prao) </v>
      </c>
      <c r="D289" s="3" t="str">
        <f>IMAGE("http://maps.google.com/maps/api/staticmap?center=13.72030531018737,100.58457314398804&amp;zoom=16&amp;size=420x260&amp;maptype=roadmap&amp;sensor=false&amp;markers=color:red%7C13.72030531018737,100.58457314398804",1)</f>
        <v/>
      </c>
      <c r="E289" t="str">
        <f>IFERROR(__xludf.DUMMYFUNCTION("REGEXEXTRACT(FORMULATEXT(D289),""center=([-0-9.]+,[-0-9.]+)"")"),"13.72030531018737,100.58457314398804")</f>
        <v>13.72030531018737,100.58457314398804</v>
      </c>
    </row>
    <row r="290">
      <c r="A290" s="1" t="s">
        <v>288</v>
      </c>
      <c r="C290" s="2" t="str">
        <f>HYPERLINK("http://foursquare.com/v/4b0587f7f964a5206fa922e3","Bourbon St. ")</f>
        <v>Bourbon St. </v>
      </c>
      <c r="D290" s="3" t="str">
        <f>IMAGE("http://maps.google.com/maps/api/staticmap?center=13.722365634321932,100.58451817969932&amp;zoom=16&amp;size=420x260&amp;maptype=roadmap&amp;sensor=false&amp;markers=color:red%7C13.722365634321932,100.58451817969932",1)</f>
        <v/>
      </c>
      <c r="E290" t="str">
        <f>IFERROR(__xludf.DUMMYFUNCTION("REGEXEXTRACT(FORMULATEXT(D290),""center=([-0-9.]+,[-0-9.]+)"")"),"13.722365634321932,100.58451817969932")</f>
        <v>13.722365634321932,100.58451817969932</v>
      </c>
    </row>
    <row r="291">
      <c r="A291" s="1" t="s">
        <v>289</v>
      </c>
      <c r="C291" s="2" t="str">
        <f>HYPERLINK("http://foursquare.com/v/4bce929468f976b0e0566683","The Imperial Queen's Park Hotel ")</f>
        <v>The Imperial Queen's Park Hotel </v>
      </c>
      <c r="D291" s="3" t="str">
        <f>IMAGE("http://maps.google.com/maps/api/staticmap?center=13.730401286287764,100.56539297103882&amp;zoom=16&amp;size=420x260&amp;maptype=roadmap&amp;sensor=false&amp;markers=color:red%7C13.730401286287764,100.56539297103882",1)</f>
        <v/>
      </c>
      <c r="E291" t="str">
        <f>IFERROR(__xludf.DUMMYFUNCTION("REGEXEXTRACT(FORMULATEXT(D291),""center=([-0-9.]+,[-0-9.]+)"")"),"13.730401286287764,100.56539297103882")</f>
        <v>13.730401286287764,100.56539297103882</v>
      </c>
    </row>
    <row r="292">
      <c r="A292" s="1" t="s">
        <v>290</v>
      </c>
      <c r="C292" s="2" t="str">
        <f>HYPERLINK("http://foursquare.com/v/4b6cc613f964a52071532ce3","อุทยานเบญจสิริ (Benchasiri Park) ")</f>
        <v>อุทยานเบญจสิริ (Benchasiri Park) </v>
      </c>
      <c r="D292" s="3" t="str">
        <f>IMAGE("http://maps.google.com/maps/api/staticmap?center=13.730724375551842,100.5674421787262&amp;zoom=16&amp;size=420x260&amp;maptype=roadmap&amp;sensor=false&amp;markers=color:red%7C13.730724375551842,100.5674421787262",1)</f>
        <v/>
      </c>
      <c r="E292" t="str">
        <f>IFERROR(__xludf.DUMMYFUNCTION("REGEXEXTRACT(FORMULATEXT(D292),""center=([-0-9.]+,[-0-9.]+)"")"),"13.730724375551842,100.5674421787262")</f>
        <v>13.730724375551842,100.5674421787262</v>
      </c>
    </row>
    <row r="293">
      <c r="A293" s="1" t="s">
        <v>291</v>
      </c>
      <c r="C293" s="2" t="str">
        <f>HYPERLINK("http://foursquare.com/v/4dcbbc4852b17cba4faddb99","Saban-Nga Restaurant :: Maeklong Riverside ")</f>
        <v>Saban-Nga Restaurant :: Maeklong Riverside </v>
      </c>
      <c r="D293" s="3" t="str">
        <f>IMAGE("http://maps.google.com/maps/api/staticmap?center=13.409231,99.962531&amp;zoom=16&amp;size=420x260&amp;maptype=roadmap&amp;sensor=false&amp;markers=color:red%7C13.409231,99.962531",1)</f>
        <v/>
      </c>
      <c r="E293" t="str">
        <f>IFERROR(__xludf.DUMMYFUNCTION("REGEXEXTRACT(FORMULATEXT(D293),""center=([-0-9.]+,[-0-9.]+)"")"),"13.409231,99.962531")</f>
        <v>13.409231,99.962531</v>
      </c>
    </row>
    <row r="294">
      <c r="A294" s="1" t="s">
        <v>292</v>
      </c>
      <c r="C294" s="2" t="str">
        <f>HYPERLINK("http://foursquare.com/v/4d60a151ef378cfa9eb380a6","ศูนย์อนุรักษ์แมวไทยโบราณ ")</f>
        <v>ศูนย์อนุรักษ์แมวไทยโบราณ </v>
      </c>
      <c r="D294" s="3" t="str">
        <f>IMAGE("http://maps.google.com/maps/api/staticmap?center=13.43123974175571,99.94713253367117&amp;zoom=16&amp;size=420x260&amp;maptype=roadmap&amp;sensor=false&amp;markers=color:red%7C13.43123974175571,99.94713253367117",1)</f>
        <v/>
      </c>
      <c r="E294" t="str">
        <f>IFERROR(__xludf.DUMMYFUNCTION("REGEXEXTRACT(FORMULATEXT(D294),""center=([-0-9.]+,[-0-9.]+)"")"),"13.43123974175571,99.94713253367117")</f>
        <v>13.43123974175571,99.94713253367117</v>
      </c>
    </row>
    <row r="295">
      <c r="A295" s="1" t="s">
        <v>293</v>
      </c>
      <c r="C295" s="2" t="str">
        <f>HYPERLINK("http://foursquare.com/v/4b511ab8f964a520b04227e3","ตลาดน้ำอัมพวา (Amphawa Floating Market) ")</f>
        <v>ตลาดน้ำอัมพวา (Amphawa Floating Market) </v>
      </c>
      <c r="D295" s="3" t="str">
        <f>IMAGE("http://maps.google.com/maps/api/staticmap?center=13.425004,99.955016&amp;zoom=16&amp;size=420x260&amp;maptype=roadmap&amp;sensor=false&amp;markers=color:red%7C13.425004,99.955016",1)</f>
        <v/>
      </c>
      <c r="E295" t="str">
        <f>IFERROR(__xludf.DUMMYFUNCTION("REGEXEXTRACT(FORMULATEXT(D295),""center=([-0-9.]+,[-0-9.]+)"")"),"13.425004,99.955016")</f>
        <v>13.425004,99.955016</v>
      </c>
    </row>
    <row r="296">
      <c r="A296" s="1" t="s">
        <v>294</v>
      </c>
      <c r="C296" s="2" t="str">
        <f>HYPERLINK("http://foursquare.com/v/4bc537e4ccbcef3b0056e6d2","ตลาดน้ำท่าคา (Tha Kha Floating Market) ")</f>
        <v>ตลาดน้ำท่าคา (Tha Kha Floating Market) </v>
      </c>
      <c r="D296" s="3" t="str">
        <f>IMAGE("http://maps.google.com/maps/api/staticmap?center=13.47176973382187,99.99501205533909&amp;zoom=16&amp;size=420x260&amp;maptype=roadmap&amp;sensor=false&amp;markers=color:red%7C13.47176973382187,99.99501205533909",1)</f>
        <v/>
      </c>
      <c r="E296" t="str">
        <f>IFERROR(__xludf.DUMMYFUNCTION("REGEXEXTRACT(FORMULATEXT(D296),""center=([-0-9.]+,[-0-9.]+)"")"),"13.47176973382187,99.99501205533909")</f>
        <v>13.47176973382187,99.99501205533909</v>
      </c>
    </row>
    <row r="297">
      <c r="A297" s="1" t="s">
        <v>295</v>
      </c>
      <c r="C297" s="2" t="str">
        <f>HYPERLINK("http://foursquare.com/v/4b2df07cf964a5201bdc24e3","Don Mueang International Airport (DMK) ท่าอากาศยานดอนเมือง ")</f>
        <v>Don Mueang International Airport (DMK) ท่าอากาศยานดอนเมือง </v>
      </c>
      <c r="D297" s="3" t="str">
        <f>IMAGE("http://maps.google.com/maps/api/staticmap?center=13.91865524536978,100.60245037078857&amp;zoom=16&amp;size=420x260&amp;maptype=roadmap&amp;sensor=false&amp;markers=color:red%7C13.91865524536978,100.60245037078857",1)</f>
        <v/>
      </c>
      <c r="E297" t="str">
        <f>IFERROR(__xludf.DUMMYFUNCTION("REGEXEXTRACT(FORMULATEXT(D297),""center=([-0-9.]+,[-0-9.]+)"")"),"13.91865524536978,100.60245037078857")</f>
        <v>13.91865524536978,100.60245037078857</v>
      </c>
    </row>
    <row r="298">
      <c r="A298" s="1" t="s">
        <v>296</v>
      </c>
      <c r="C298" s="2" t="str">
        <f>HYPERLINK("http://foursquare.com/v/4b8e687ff964a520422133e3","Chiang Mai International Airport (CNX) ท่าอากาศยานเชียงใหม่ ")</f>
        <v>Chiang Mai International Airport (CNX) ท่าอากาศยานเชียงใหม่ </v>
      </c>
      <c r="D298" s="3" t="str">
        <f>IMAGE("http://maps.google.com/maps/api/staticmap?center=18.76962491266598,98.96835898117426&amp;zoom=16&amp;size=420x260&amp;maptype=roadmap&amp;sensor=false&amp;markers=color:red%7C18.76962491266598,98.96835898117426",1)</f>
        <v/>
      </c>
      <c r="E298" t="str">
        <f>IFERROR(__xludf.DUMMYFUNCTION("REGEXEXTRACT(FORMULATEXT(D298),""center=([-0-9.]+,[-0-9.]+)"")"),"18.76962491266598,98.96835898117426")</f>
        <v>18.76962491266598,98.96835898117426</v>
      </c>
    </row>
    <row r="299">
      <c r="A299" s="1" t="s">
        <v>297</v>
      </c>
      <c r="C299" s="2" t="str">
        <f>HYPERLINK("http://foursquare.com/v/50475eafe4b0d15eda5c580f","De Naga Chiang Mai ")</f>
        <v>De Naga Chiang Mai </v>
      </c>
      <c r="D299" s="3" t="str">
        <f>IMAGE("http://maps.google.com/maps/api/staticmap?center=18.786327710113717,98.99222062583844&amp;zoom=16&amp;size=420x260&amp;maptype=roadmap&amp;sensor=false&amp;markers=color:red%7C18.786327710113717,98.99222062583844",1)</f>
        <v/>
      </c>
      <c r="E299" t="str">
        <f>IFERROR(__xludf.DUMMYFUNCTION("REGEXEXTRACT(FORMULATEXT(D299),""center=([-0-9.]+,[-0-9.]+)"")"),"18.786327710113717,98.99222062583844")</f>
        <v>18.786327710113717,98.99222062583844</v>
      </c>
    </row>
    <row r="300">
      <c r="A300" s="1" t="s">
        <v>298</v>
      </c>
      <c r="C300" s="2" t="str">
        <f>HYPERLINK("http://foursquare.com/v/4d300891789a8cfa95fd2ac6","Chiang Mai Night Safari (เชียงใหม่ไนท์ซาฟารี) ")</f>
        <v>Chiang Mai Night Safari (เชียงใหม่ไนท์ซาฟารี) </v>
      </c>
      <c r="D300" s="3" t="str">
        <f>IMAGE("http://maps.google.com/maps/api/staticmap?center=18.741968358044073,98.91770828982072&amp;zoom=16&amp;size=420x260&amp;maptype=roadmap&amp;sensor=false&amp;markers=color:red%7C18.741968358044073,98.91770828982072",1)</f>
        <v/>
      </c>
      <c r="E300" t="str">
        <f>IFERROR(__xludf.DUMMYFUNCTION("REGEXEXTRACT(FORMULATEXT(D300),""center=([-0-9.]+,[-0-9.]+)"")"),"18.741968358044073,98.91770828982072")</f>
        <v>18.741968358044073,98.91770828982072</v>
      </c>
    </row>
    <row r="301">
      <c r="A301" s="1" t="s">
        <v>299</v>
      </c>
      <c r="C301" s="2" t="str">
        <f t="shared" ref="C301:C302" si="20">HYPERLINK("http://foursquare.com/v/4b89157af964a520dc1b32e3","John's Place ")</f>
        <v>John's Place </v>
      </c>
      <c r="D301" s="3" t="str">
        <f t="shared" ref="D301:D302" si="21">IMAGE("http://maps.google.com/maps/api/staticmap?center=18.78606213696332,98.99302442136982&amp;zoom=16&amp;size=420x260&amp;maptype=roadmap&amp;sensor=false&amp;markers=color:red%7C18.78606213696332,98.99302442136982",1)</f>
        <v/>
      </c>
      <c r="E301" t="str">
        <f>IFERROR(__xludf.DUMMYFUNCTION("REGEXEXTRACT(FORMULATEXT(D301),""center=([-0-9.]+,[-0-9.]+)"")"),"18.78606213696332,98.99302442136982")</f>
        <v>18.78606213696332,98.99302442136982</v>
      </c>
    </row>
    <row r="302">
      <c r="A302" s="1" t="s">
        <v>300</v>
      </c>
      <c r="C302" s="2" t="str">
        <f t="shared" si="20"/>
        <v>John's Place </v>
      </c>
      <c r="D302" s="3" t="str">
        <f t="shared" si="21"/>
        <v/>
      </c>
      <c r="E302" t="str">
        <f>IFERROR(__xludf.DUMMYFUNCTION("REGEXEXTRACT(FORMULATEXT(D302),""center=([-0-9.]+,[-0-9.]+)"")"),"18.78606213696332,98.99302442136982")</f>
        <v>18.78606213696332,98.99302442136982</v>
      </c>
    </row>
    <row r="303">
      <c r="A303" s="1" t="s">
        <v>301</v>
      </c>
      <c r="C303" s="2" t="str">
        <f>HYPERLINK("http://foursquare.com/v/506fbedbe4b0bda407098a0e","Queen Sirikit Botanic Garden ")</f>
        <v>Queen Sirikit Botanic Garden </v>
      </c>
      <c r="D303" s="3" t="str">
        <f>IMAGE("http://maps.google.com/maps/api/staticmap?center=18.886667789480736,98.86257195108396&amp;zoom=16&amp;size=420x260&amp;maptype=roadmap&amp;sensor=false&amp;markers=color:red%7C18.886667789480736,98.86257195108396",1)</f>
        <v/>
      </c>
      <c r="E303" t="str">
        <f>IFERROR(__xludf.DUMMYFUNCTION("REGEXEXTRACT(FORMULATEXT(D303),""center=([-0-9.]+,[-0-9.]+)"")"),"18.886667789480736,98.86257195108396")</f>
        <v>18.886667789480736,98.86257195108396</v>
      </c>
    </row>
    <row r="304">
      <c r="A304" s="1" t="s">
        <v>302</v>
      </c>
      <c r="C304" s="2" t="str">
        <f>HYPERLINK("http://foursquare.com/v/4d5a21407e223704948bb973","Monkey Centre ")</f>
        <v>Monkey Centre </v>
      </c>
      <c r="D304" s="3" t="str">
        <f>IMAGE("http://maps.google.com/maps/api/staticmap?center=18.918978,98.915555&amp;zoom=16&amp;size=420x260&amp;maptype=roadmap&amp;sensor=false&amp;markers=color:red%7C18.918978,98.915555",1)</f>
        <v/>
      </c>
      <c r="E304" t="str">
        <f>IFERROR(__xludf.DUMMYFUNCTION("REGEXEXTRACT(FORMULATEXT(D304),""center=([-0-9.]+,[-0-9.]+)"")"),"18.918978,98.915555")</f>
        <v>18.918978,98.915555</v>
      </c>
    </row>
    <row r="305">
      <c r="A305" s="1" t="s">
        <v>303</v>
      </c>
      <c r="C305" s="2" t="str">
        <f>HYPERLINK("http://foursquare.com/v/4e86cba5f5b9f37844a5ff90","Mickey Cafe ")</f>
        <v>Mickey Cafe </v>
      </c>
      <c r="D305" s="3" t="str">
        <f>IMAGE("http://maps.google.com/maps/api/staticmap?center=18.784034,98.990473&amp;zoom=16&amp;size=420x260&amp;maptype=roadmap&amp;sensor=false&amp;markers=color:red%7C18.784034,98.990473",1)</f>
        <v/>
      </c>
      <c r="E305" t="str">
        <f>IFERROR(__xludf.DUMMYFUNCTION("REGEXEXTRACT(FORMULATEXT(D305),""center=([-0-9.]+,[-0-9.]+)"")"),"18.784034,98.990473")</f>
        <v>18.784034,98.990473</v>
      </c>
    </row>
    <row r="306">
      <c r="A306" s="1" t="s">
        <v>304</v>
      </c>
      <c r="C306" s="2" t="str">
        <f>HYPERLINK("http://foursquare.com/v/4cef9cff7b9437046fcd3353","คุณเชิญ (Khun Churn) ")</f>
        <v>คุณเชิญ (Khun Churn) </v>
      </c>
      <c r="D306" s="3" t="str">
        <f>IMAGE("http://maps.google.com/maps/api/staticmap?center=18.7955513740576,98.96670842162025&amp;zoom=16&amp;size=420x260&amp;maptype=roadmap&amp;sensor=false&amp;markers=color:red%7C18.7955513740576,98.96670842162025",1)</f>
        <v/>
      </c>
      <c r="E306" t="str">
        <f>IFERROR(__xludf.DUMMYFUNCTION("REGEXEXTRACT(FORMULATEXT(D306),""center=([-0-9.]+,[-0-9.]+)"")"),"18.7955513740576,98.96670842162025")</f>
        <v>18.7955513740576,98.96670842162025</v>
      </c>
    </row>
    <row r="307">
      <c r="A307" s="1" t="s">
        <v>305</v>
      </c>
      <c r="C307" s="2" t="str">
        <f>HYPERLINK("http://foursquare.com/v/4eca24b661af9e1432d2ce78","Terrace Bar And Cuisine at Parasol Inn ")</f>
        <v>Terrace Bar And Cuisine at Parasol Inn </v>
      </c>
      <c r="D307" s="3" t="str">
        <f>IMAGE("http://maps.google.com/maps/api/staticmap?center=18.788078,98.987868&amp;zoom=16&amp;size=420x260&amp;maptype=roadmap&amp;sensor=false&amp;markers=color:red%7C18.788078,98.987868",1)</f>
        <v/>
      </c>
      <c r="E307" t="str">
        <f>IFERROR(__xludf.DUMMYFUNCTION("REGEXEXTRACT(FORMULATEXT(D307),""center=([-0-9.]+,[-0-9.]+)"")"),"18.788078,98.987868")</f>
        <v>18.788078,98.987868</v>
      </c>
    </row>
    <row r="308">
      <c r="A308" s="1" t="s">
        <v>306</v>
      </c>
      <c r="C308" s="2" t="str">
        <f>HYPERLINK("http://foursquare.com/v/50475eafe4b0d15eda5c580f","De Naga Chiang Mai ")</f>
        <v>De Naga Chiang Mai </v>
      </c>
      <c r="D308" s="3" t="str">
        <f>IMAGE("http://maps.google.com/maps/api/staticmap?center=18.786327710113717,98.99222062583844&amp;zoom=16&amp;size=420x260&amp;maptype=roadmap&amp;sensor=false&amp;markers=color:red%7C18.786327710113717,98.99222062583844",1)</f>
        <v/>
      </c>
      <c r="E308" t="str">
        <f>IFERROR(__xludf.DUMMYFUNCTION("REGEXEXTRACT(FORMULATEXT(D308),""center=([-0-9.]+,[-0-9.]+)"")"),"18.786327710113717,98.99222062583844")</f>
        <v>18.786327710113717,98.99222062583844</v>
      </c>
    </row>
    <row r="309">
      <c r="A309" s="1" t="s">
        <v>307</v>
      </c>
      <c r="C309" s="2" t="str">
        <f>HYPERLINK("http://foursquare.com/v/4bd0f81f20cd996038972e9e","Fondcome Village Resort Chiang Mai ")</f>
        <v>Fondcome Village Resort Chiang Mai </v>
      </c>
      <c r="D309" s="3" t="str">
        <f>IMAGE("http://maps.google.com/maps/api/staticmap?center=18.73828,98.898582&amp;zoom=16&amp;size=420x260&amp;maptype=roadmap&amp;sensor=false&amp;markers=color:red%7C18.73828,98.898582",1)</f>
        <v/>
      </c>
      <c r="E309" t="str">
        <f>IFERROR(__xludf.DUMMYFUNCTION("REGEXEXTRACT(FORMULATEXT(D309),""center=([-0-9.]+,[-0-9.]+)"")"),"18.73828,98.898582")</f>
        <v>18.73828,98.898582</v>
      </c>
    </row>
    <row r="310">
      <c r="A310" s="1" t="s">
        <v>308</v>
      </c>
      <c r="C310" s="2" t="str">
        <f>HYPERLINK("http://foursquare.com/v/4d0df3d395c1a1cdf42105ff","Mae Rim Lagoon ")</f>
        <v>Mae Rim Lagoon </v>
      </c>
      <c r="D310" s="3" t="str">
        <f>IMAGE("http://maps.google.com/maps/api/staticmap?center=18.912104007990077,98.92918868870761&amp;zoom=16&amp;size=420x260&amp;maptype=roadmap&amp;sensor=false&amp;markers=color:red%7C18.912104007990077,98.92918868870761",1)</f>
        <v/>
      </c>
      <c r="E310" t="str">
        <f>IFERROR(__xludf.DUMMYFUNCTION("REGEXEXTRACT(FORMULATEXT(D310),""center=([-0-9.]+,[-0-9.]+)"")"),"18.912104007990077,98.92918868870761")</f>
        <v>18.912104007990077,98.92918868870761</v>
      </c>
    </row>
    <row r="311">
      <c r="A311" s="1" t="s">
        <v>309</v>
      </c>
      <c r="C311" s="2" t="str">
        <f>HYPERLINK("http://foursquare.com/v/4dbe36984b222080d3bbb1c9","Sala Café (ศาลากาแฟ) ")</f>
        <v>Sala Café (ศาลากาแฟ) </v>
      </c>
      <c r="D311" s="3" t="str">
        <f>IMAGE("http://maps.google.com/maps/api/staticmap?center=18.904466954063285,98.92150256430044&amp;zoom=16&amp;size=420x260&amp;maptype=roadmap&amp;sensor=false&amp;markers=color:red%7C18.904466954063285,98.92150256430044",1)</f>
        <v/>
      </c>
      <c r="E311" t="str">
        <f>IFERROR(__xludf.DUMMYFUNCTION("REGEXEXTRACT(FORMULATEXT(D311),""center=([-0-9.]+,[-0-9.]+)"")"),"18.904466954063285,98.92150256430044")</f>
        <v>18.904466954063285,98.92150256430044</v>
      </c>
    </row>
    <row r="312">
      <c r="A312" s="1" t="s">
        <v>310</v>
      </c>
      <c r="C312" s="2" t="str">
        <f>HYPERLINK("http://foursquare.com/v/4ed72a4b0e6145a3908486f9","ดอยสุเทพ (Doi Suthep) ")</f>
        <v>ดอยสุเทพ (Doi Suthep) </v>
      </c>
      <c r="D312" s="3" t="str">
        <f>IMAGE("http://maps.google.com/maps/api/staticmap?center=18.804423647780613,98.92006891059133&amp;zoom=16&amp;size=420x260&amp;maptype=roadmap&amp;sensor=false&amp;markers=color:red%7C18.804423647780613,98.92006891059133",1)</f>
        <v/>
      </c>
      <c r="E312" t="str">
        <f>IFERROR(__xludf.DUMMYFUNCTION("REGEXEXTRACT(FORMULATEXT(D312),""center=([-0-9.]+,[-0-9.]+)"")"),"18.804423647780613,98.92006891059133")</f>
        <v>18.804423647780613,98.92006891059133</v>
      </c>
    </row>
    <row r="313">
      <c r="A313" s="1" t="s">
        <v>311</v>
      </c>
      <c r="C313" s="2" t="str">
        <f>HYPERLINK("http://foursquare.com/v/4b5803f9f964a520a84828e3","CentralPlaza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D313" s="3" t="str">
        <f>IMAGE("http://maps.google.com/maps/api/staticmap?center=18.76904277955509,98.97467136383057&amp;zoom=16&amp;size=420x260&amp;maptype=roadmap&amp;sensor=false&amp;markers=color:red%7C18.76904277955509,98.97467136383057",1)</f>
        <v/>
      </c>
      <c r="E313" t="str">
        <f>IFERROR(__xludf.DUMMYFUNCTION("REGEXEXTRACT(FORMULATEXT(D313),""center=([-0-9.]+,[-0-9.]+)"")"),"18.76904277955509,98.97467136383057")</f>
        <v>18.76904277955509,98.97467136383057</v>
      </c>
    </row>
    <row r="314">
      <c r="A314" s="1" t="s">
        <v>312</v>
      </c>
      <c r="C314" s="2" t="str">
        <f>HYPERLINK("http://foursquare.com/v/4cb15155ef1b370489c74200","Fuji (ฟูจิ) ")</f>
        <v>Fuji (ฟูจิ) </v>
      </c>
      <c r="D314" s="3" t="str">
        <f>IMAGE("http://maps.google.com/maps/api/staticmap?center=18.769550694358067,98.97496104240417&amp;zoom=16&amp;size=420x260&amp;maptype=roadmap&amp;sensor=false&amp;markers=color:red%7C18.769550694358067,98.97496104240417",1)</f>
        <v/>
      </c>
      <c r="E314" t="str">
        <f>IFERROR(__xludf.DUMMYFUNCTION("REGEXEXTRACT(FORMULATEXT(D314),""center=([-0-9.]+,[-0-9.]+)"")"),"18.769550694358067,98.97496104240417")</f>
        <v>18.769550694358067,98.97496104240417</v>
      </c>
    </row>
    <row r="315">
      <c r="A315" s="1" t="s">
        <v>313</v>
      </c>
      <c r="C315" s="2" t="str">
        <f>HYPERLINK("http://foursquare.com/v/4e1d6ff3d1640dd25205b95a","Smiling Albino ")</f>
        <v>Smiling Albino </v>
      </c>
      <c r="D315" s="3" t="str">
        <f>IMAGE("http://maps.google.com/maps/api/staticmap?center=13.754102,100.629897&amp;zoom=16&amp;size=420x260&amp;maptype=roadmap&amp;sensor=false&amp;markers=color:red%7C13.754102,100.629897",1)</f>
        <v/>
      </c>
      <c r="E315" t="str">
        <f>IFERROR(__xludf.DUMMYFUNCTION("REGEXEXTRACT(FORMULATEXT(D315),""center=([-0-9.]+,[-0-9.]+)"")"),"13.754102,100.629897")</f>
        <v>13.754102,100.629897</v>
      </c>
    </row>
    <row r="316">
      <c r="A316" s="1" t="s">
        <v>314</v>
      </c>
      <c r="C316" s="2" t="str">
        <f>HYPERLINK("http://foursquare.com/v/4b506953f964a520832227e3","MBK Center (เอ็ม บี เค เซ็นเตอร์) ")</f>
        <v>MBK Center (เอ็ม บี เค เซ็นเตอร์) </v>
      </c>
      <c r="D316" s="3" t="str">
        <f>IMAGE("http://maps.google.com/maps/api/staticmap?center=13.744595949434908,100.53022384643555&amp;zoom=16&amp;size=420x260&amp;maptype=roadmap&amp;sensor=false&amp;markers=color:red%7C13.744595949434908,100.53022384643555",1)</f>
        <v/>
      </c>
      <c r="E316" t="str">
        <f>IFERROR(__xludf.DUMMYFUNCTION("REGEXEXTRACT(FORMULATEXT(D316),""center=([-0-9.]+,[-0-9.]+)"")"),"13.744595949434908,100.53022384643555")</f>
        <v>13.744595949434908,100.53022384643555</v>
      </c>
    </row>
    <row r="317">
      <c r="A317" s="1" t="s">
        <v>315</v>
      </c>
      <c r="C317" s="2" t="str">
        <f>HYPERLINK("http://foursquare.com/v/4d8b5bb84757721e3911ca69","Roast (โรสท์) ")</f>
        <v>Roast (โรสท์) </v>
      </c>
      <c r="D317" s="3" t="str">
        <f>IMAGE("http://maps.google.com/maps/api/staticmap?center=13.733599507306769,100.58155565298767&amp;zoom=16&amp;size=420x260&amp;maptype=roadmap&amp;sensor=false&amp;markers=color:red%7C13.733599507306769,100.58155565298767",1)</f>
        <v/>
      </c>
      <c r="E317" t="str">
        <f>IFERROR(__xludf.DUMMYFUNCTION("REGEXEXTRACT(FORMULATEXT(D317),""center=([-0-9.]+,[-0-9.]+)"")"),"13.733599507306769,100.58155565298767")</f>
        <v>13.733599507306769,100.58155565298767</v>
      </c>
    </row>
    <row r="318">
      <c r="A318" s="1" t="s">
        <v>316</v>
      </c>
      <c r="C318" s="2" t="str">
        <f>HYPERLINK("http://foursquare.com/v/4c2ad1448abca593b450ff1f","Terminal 21 (เทอร์มินอล ทเวนตี้วัน) ")</f>
        <v>Terminal 21 (เทอร์มินอล ทเวนตี้วัน) </v>
      </c>
      <c r="D318" s="3" t="str">
        <f>IMAGE("http://maps.google.com/maps/api/staticmap?center=13.73727986477642,100.56050062179565&amp;zoom=16&amp;size=420x260&amp;maptype=roadmap&amp;sensor=false&amp;markers=color:red%7C13.73727986477642,100.56050062179565",1)</f>
        <v/>
      </c>
      <c r="E318" t="str">
        <f>IFERROR(__xludf.DUMMYFUNCTION("REGEXEXTRACT(FORMULATEXT(D318),""center=([-0-9.]+,[-0-9.]+)"")"),"13.73727986477642,100.56050062179565")</f>
        <v>13.73727986477642,100.56050062179565</v>
      </c>
    </row>
    <row r="319">
      <c r="A319" s="1" t="s">
        <v>317</v>
      </c>
      <c r="C319" s="2" t="str">
        <f>HYPERLINK("http://foursquare.com/v/4e96dcd86c2553e4af763b24","Moom-Muum Park ")</f>
        <v>Moom-Muum Park </v>
      </c>
      <c r="D319" s="3" t="str">
        <f>IMAGE("http://maps.google.com/maps/api/staticmap?center=13.73723817702987,100.56051135063171&amp;zoom=16&amp;size=420x260&amp;maptype=roadmap&amp;sensor=false&amp;markers=color:red%7C13.73723817702987,100.56051135063171",1)</f>
        <v/>
      </c>
      <c r="E319" t="str">
        <f>IFERROR(__xludf.DUMMYFUNCTION("REGEXEXTRACT(FORMULATEXT(D319),""center=([-0-9.]+,[-0-9.]+)"")"),"13.73723817702987,100.56051135063171")</f>
        <v>13.73723817702987,100.56051135063171</v>
      </c>
    </row>
    <row r="320">
      <c r="A320" s="1" t="s">
        <v>318</v>
      </c>
      <c r="C320" s="2" t="str">
        <f>HYPERLINK("http://foursquare.com/v/4edae064775bcc53fb308e3d","ตลาดนัดสวนรถไฟ (Rot Fai Park Flea Market) ")</f>
        <v>ตลาดนัดสวนรถไฟ (Rot Fai Park Flea Market) </v>
      </c>
      <c r="D320" s="3" t="str">
        <f>IMAGE("http://maps.google.com/maps/api/staticmap?center=13.816629444507182,100.55308699607849&amp;zoom=16&amp;size=420x260&amp;maptype=roadmap&amp;sensor=false&amp;markers=color:red%7C13.816629444507182,100.55308699607849",1)</f>
        <v/>
      </c>
      <c r="E320" t="str">
        <f>IFERROR(__xludf.DUMMYFUNCTION("REGEXEXTRACT(FORMULATEXT(D320),""center=([-0-9.]+,[-0-9.]+)"")"),"13.816629444507182,100.55308699607849")</f>
        <v>13.816629444507182,100.55308699607849</v>
      </c>
    </row>
    <row r="321">
      <c r="A321" s="1" t="s">
        <v>319</v>
      </c>
      <c r="C321" s="2" t="str">
        <f>HYPERLINK("http://foursquare.com/v/50c2faaee4b0e77d298a568c","Hello Mango 2012 ")</f>
        <v>Hello Mango 2012 </v>
      </c>
      <c r="D321" s="3" t="str">
        <f>IMAGE("http://maps.google.com/maps/api/staticmap?center=13.798819,100.548943&amp;zoom=16&amp;size=420x260&amp;maptype=roadmap&amp;sensor=false&amp;markers=color:red%7C13.798819,100.548943",1)</f>
        <v/>
      </c>
      <c r="E321" t="str">
        <f>IFERROR(__xludf.DUMMYFUNCTION("REGEXEXTRACT(FORMULATEXT(D321),""center=([-0-9.]+,[-0-9.]+)"")"),"13.798819,100.548943")</f>
        <v>13.798819,100.548943</v>
      </c>
    </row>
    <row r="322">
      <c r="A322" s="1" t="s">
        <v>320</v>
      </c>
      <c r="C322" s="2" t="str">
        <f>HYPERLINK("http://foursquare.com/v/4d02396918ff8cfa027dc357","บ้านใร่ใบกระเพรา (Banrie Bai Ka Prao) ")</f>
        <v>บ้านใร่ใบกระเพรา (Banrie Bai Ka Prao) </v>
      </c>
      <c r="D322" s="3" t="str">
        <f>IMAGE("http://maps.google.com/maps/api/staticmap?center=13.72030531018737,100.58457314398804&amp;zoom=16&amp;size=420x260&amp;maptype=roadmap&amp;sensor=false&amp;markers=color:red%7C13.72030531018737,100.58457314398804",1)</f>
        <v/>
      </c>
      <c r="E322" t="str">
        <f>IFERROR(__xludf.DUMMYFUNCTION("REGEXEXTRACT(FORMULATEXT(D322),""center=([-0-9.]+,[-0-9.]+)"")"),"13.72030531018737,100.58457314398804")</f>
        <v>13.72030531018737,100.58457314398804</v>
      </c>
    </row>
    <row r="323">
      <c r="A323" s="1" t="s">
        <v>321</v>
      </c>
      <c r="C323" s="2" t="str">
        <f>HYPERLINK("http://foursquare.com/v/50ea773ae4b06559dfd608a4","DoubleTree by Hilton Sukhumvit ")</f>
        <v>DoubleTree by Hilton Sukhumvit </v>
      </c>
      <c r="D323" s="3" t="str">
        <f>IMAGE("http://maps.google.com/maps/api/staticmap?center=13.728254294709563,100.57032823562622&amp;zoom=16&amp;size=420x260&amp;maptype=roadmap&amp;sensor=false&amp;markers=color:red%7C13.728254294709563,100.57032823562622",1)</f>
        <v/>
      </c>
      <c r="E323" t="str">
        <f>IFERROR(__xludf.DUMMYFUNCTION("REGEXEXTRACT(FORMULATEXT(D323),""center=([-0-9.]+,[-0-9.]+)"")"),"13.728254294709563,100.57032823562622")</f>
        <v>13.728254294709563,100.57032823562622</v>
      </c>
    </row>
    <row r="324">
      <c r="A324" s="1" t="s">
        <v>322</v>
      </c>
      <c r="C324" s="2" t="str">
        <f>HYPERLINK("http://foursquare.com/v/4bdd3897645e0f47da206b19","Sizzler (ซิซซ์เลอร์) ")</f>
        <v>Sizzler (ซิซซ์เลอร์) </v>
      </c>
      <c r="D324" s="3" t="str">
        <f>IMAGE("http://maps.google.com/maps/api/staticmap?center=13.721365,100.583151&amp;zoom=16&amp;size=420x260&amp;maptype=roadmap&amp;sensor=false&amp;markers=color:red%7C13.721365,100.583151",1)</f>
        <v/>
      </c>
      <c r="E324" t="str">
        <f>IFERROR(__xludf.DUMMYFUNCTION("REGEXEXTRACT(FORMULATEXT(D324),""center=([-0-9.]+,[-0-9.]+)"")"),"13.721365,100.583151")</f>
        <v>13.721365,100.583151</v>
      </c>
    </row>
    <row r="325">
      <c r="A325" s="1" t="s">
        <v>323</v>
      </c>
      <c r="C325" s="2" t="str">
        <f>HYPERLINK("http://foursquare.com/v/4b506953f964a520832227e3","MBK Center (เอ็ม บี เค เซ็นเตอร์) ")</f>
        <v>MBK Center (เอ็ม บี เค เซ็นเตอร์) </v>
      </c>
      <c r="D325" s="3" t="str">
        <f>IMAGE("http://maps.google.com/maps/api/staticmap?center=13.744595949434908,100.53022384643555&amp;zoom=16&amp;size=420x260&amp;maptype=roadmap&amp;sensor=false&amp;markers=color:red%7C13.744595949434908,100.53022384643555",1)</f>
        <v/>
      </c>
      <c r="E325" t="str">
        <f>IFERROR(__xludf.DUMMYFUNCTION("REGEXEXTRACT(FORMULATEXT(D325),""center=([-0-9.]+,[-0-9.]+)"")"),"13.744595949434908,100.53022384643555")</f>
        <v>13.744595949434908,100.53022384643555</v>
      </c>
    </row>
    <row r="326">
      <c r="A326" s="1" t="s">
        <v>324</v>
      </c>
      <c r="C326" s="2" t="str">
        <f>HYPERLINK("http://foursquare.com/v/4b5c325bf964a520162729e3","Sizzler (ซิซซ์เลอร์) ")</f>
        <v>Sizzler (ซิซซ์เลอร์) </v>
      </c>
      <c r="D326" s="3" t="str">
        <f>IMAGE("http://maps.google.com/maps/api/staticmap?center=13.74372,100.529672&amp;zoom=16&amp;size=420x260&amp;maptype=roadmap&amp;sensor=false&amp;markers=color:red%7C13.74372,100.529672",1)</f>
        <v/>
      </c>
      <c r="E326" t="str">
        <f>IFERROR(__xludf.DUMMYFUNCTION("REGEXEXTRACT(FORMULATEXT(D326),""center=([-0-9.]+,[-0-9.]+)"")"),"13.74372,100.529672")</f>
        <v>13.74372,100.529672</v>
      </c>
    </row>
    <row r="327">
      <c r="A327" s="1" t="s">
        <v>325</v>
      </c>
      <c r="C327" s="2" t="str">
        <f>HYPERLINK("http://foursquare.com/v/4c10c06ff1b6a593a7517c27","Doi Chaang Coffe ")</f>
        <v>Doi Chaang Coffe </v>
      </c>
      <c r="D327" s="3" t="str">
        <f>IMAGE("http://maps.google.com/maps/api/staticmap?center=13.729765528694138,100.58590650558472&amp;zoom=16&amp;size=420x260&amp;maptype=roadmap&amp;sensor=false&amp;markers=color:red%7C13.729765528694138,100.58590650558472",1)</f>
        <v/>
      </c>
      <c r="E327" t="str">
        <f>IFERROR(__xludf.DUMMYFUNCTION("REGEXEXTRACT(FORMULATEXT(D327),""center=([-0-9.]+,[-0-9.]+)"")"),"13.729765528694138,100.58590650558472")</f>
        <v>13.729765528694138,100.58590650558472</v>
      </c>
    </row>
    <row r="328">
      <c r="A328" s="1" t="s">
        <v>326</v>
      </c>
      <c r="C328" s="2" t="str">
        <f>HYPERLINK("http://foursquare.com/v/4d2cdd271bdd8eecb9a2081a","Kuppadeli ")</f>
        <v>Kuppadeli </v>
      </c>
      <c r="D328" s="3" t="str">
        <f>IMAGE("http://maps.google.com/maps/api/staticmap?center=13.745322855625389,100.56248545646667&amp;zoom=16&amp;size=710x440&amp;maptype=roadmap&amp;sensor=false&amp;markers=color:red%7C13.745322855625389,100.56248545646667",1)</f>
        <v/>
      </c>
      <c r="E328" t="str">
        <f>IFERROR(__xludf.DUMMYFUNCTION("REGEXEXTRACT(FORMULATEXT(D328),""center=([-0-9.]+,[-0-9.]+)"")"),"13.745322855625389,100.56248545646667")</f>
        <v>13.745322855625389,100.56248545646667</v>
      </c>
    </row>
    <row r="329">
      <c r="A329" s="1" t="s">
        <v>327</v>
      </c>
      <c r="C329" s="2" t="str">
        <f>HYPERLINK("http://foursquare.com/v/508d08dae4b09f7bb9e4bcfe","Kidzoona ")</f>
        <v>Kidzoona </v>
      </c>
      <c r="D329" s="3" t="str">
        <f>IMAGE("http://maps.google.com/maps/api/staticmap?center=13.717760308502914,100.58549105244897&amp;zoom=16&amp;size=710x440&amp;maptype=roadmap&amp;sensor=false&amp;markers=color:red%7C13.717760308502914,100.58549105244897",1)</f>
        <v/>
      </c>
      <c r="E329" t="str">
        <f>IFERROR(__xludf.DUMMYFUNCTION("REGEXEXTRACT(FORMULATEXT(D329),""center=([-0-9.]+,[-0-9.]+)"")"),"13.717760308502914,100.58549105244897")</f>
        <v>13.717760308502914,100.58549105244897</v>
      </c>
    </row>
    <row r="330">
      <c r="A330" s="1" t="s">
        <v>328</v>
      </c>
      <c r="C330" s="2" t="str">
        <f>HYPERLINK("http://foursquare.com/v/50740544e4b009deef45a3b4","Kobashi (香ばしい) ")</f>
        <v>Kobashi (香ばしい) </v>
      </c>
      <c r="D330" s="3" t="str">
        <f>IMAGE("http://maps.google.com/maps/api/staticmap?center=13.718922667233223,100.58495789492592&amp;zoom=16&amp;size=710x440&amp;maptype=roadmap&amp;sensor=false&amp;markers=color:red%7C13.718922667233223,100.58495789492592",1)</f>
        <v/>
      </c>
      <c r="E330" t="str">
        <f>IFERROR(__xludf.DUMMYFUNCTION("REGEXEXTRACT(FORMULATEXT(D330),""center=([-0-9.]+,[-0-9.]+)"")"),"13.718922667233223,100.58495789492592")</f>
        <v>13.718922667233223,100.58495789492592</v>
      </c>
    </row>
    <row r="331">
      <c r="A331" s="1" t="s">
        <v>329</v>
      </c>
      <c r="C331" s="2" t="str">
        <f>HYPERLINK("http://foursquare.com/v/4b0587f7f964a5206fa922e3","Bourbon St. ")</f>
        <v>Bourbon St. </v>
      </c>
      <c r="D331" s="3" t="str">
        <f>IMAGE("http://maps.google.com/maps/api/staticmap?center=13.722365634321932,100.58451817969932&amp;zoom=16&amp;size=710x440&amp;maptype=roadmap&amp;sensor=false&amp;markers=color:red%7C13.722365634321932,100.58451817969932",1)</f>
        <v/>
      </c>
      <c r="E331" t="str">
        <f>IFERROR(__xludf.DUMMYFUNCTION("REGEXEXTRACT(FORMULATEXT(D331),""center=([-0-9.]+,[-0-9.]+)"")"),"13.722365634321932,100.58451817969932")</f>
        <v>13.722365634321932,100.58451817969932</v>
      </c>
    </row>
    <row r="332">
      <c r="A332" s="1" t="s">
        <v>330</v>
      </c>
      <c r="C332" s="2" t="str">
        <f>HYPERLINK("http://foursquare.com/v/4b506953f964a520832227e3","MBK Center (เอ็ม บี เค เซ็นเตอร์) ")</f>
        <v>MBK Center (เอ็ม บี เค เซ็นเตอร์) </v>
      </c>
      <c r="D332" s="3" t="str">
        <f>IMAGE("http://maps.google.com/maps/api/staticmap?center=13.744595949434908,100.53022384643555&amp;zoom=16&amp;size=710x440&amp;maptype=roadmap&amp;sensor=false&amp;markers=color:red%7C13.744595949434908,100.53022384643555",1)</f>
        <v/>
      </c>
      <c r="E332" t="str">
        <f>IFERROR(__xludf.DUMMYFUNCTION("REGEXEXTRACT(FORMULATEXT(D332),""center=([-0-9.]+,[-0-9.]+)"")"),"13.744595949434908,100.53022384643555")</f>
        <v>13.744595949434908,100.53022384643555</v>
      </c>
    </row>
    <row r="333">
      <c r="A333" s="1" t="s">
        <v>331</v>
      </c>
      <c r="C333" s="2" t="str">
        <f>HYPERLINK("http://foursquare.com/v/4d7f59a4b25d6dcbdbf2ca42","Tenderloins Sports Bar &amp; Steak house ")</f>
        <v>Tenderloins Sports Bar &amp; Steak house </v>
      </c>
      <c r="D333" s="3" t="str">
        <f>IMAGE("http://maps.google.com/maps/api/staticmap?center=13.733725876585657,100.56743686607125&amp;zoom=16&amp;size=710x440&amp;maptype=roadmap&amp;sensor=false&amp;markers=color:red%7C13.733725876585657,100.56743686607125",1)</f>
        <v/>
      </c>
      <c r="E333" t="str">
        <f>IFERROR(__xludf.DUMMYFUNCTION("REGEXEXTRACT(FORMULATEXT(D333),""center=([-0-9.]+,[-0-9.]+)"")"),"13.733725876585657,100.56743686607125")</f>
        <v>13.733725876585657,100.56743686607125</v>
      </c>
    </row>
    <row r="334">
      <c r="A334" s="1" t="s">
        <v>332</v>
      </c>
      <c r="C334" s="2" t="str">
        <f>HYPERLINK("http://foursquare.com/v/4c3823bb3849c928450fbfb1","Fun-arium ")</f>
        <v>Fun-arium </v>
      </c>
      <c r="D334" s="3" t="str">
        <f>IMAGE("http://maps.google.com/maps/api/staticmap?center=13.720041349445834,100.57017803192139&amp;zoom=16&amp;size=710x440&amp;maptype=roadmap&amp;sensor=false&amp;markers=color:red%7C13.720041349445834,100.57017803192139",1)</f>
        <v/>
      </c>
      <c r="E334" t="str">
        <f>IFERROR(__xludf.DUMMYFUNCTION("REGEXEXTRACT(FORMULATEXT(D334),""center=([-0-9.]+,[-0-9.]+)"")"),"13.720041349445834,100.57017803192139")</f>
        <v>13.720041349445834,100.57017803192139</v>
      </c>
    </row>
    <row r="335">
      <c r="A335" s="1" t="s">
        <v>333</v>
      </c>
      <c r="C335" s="2" t="str">
        <f>HYPERLINK("http://foursquare.com/v/4be41036910020a1ce29d114","OOTOYA (โอโตยะ) ")</f>
        <v>OOTOYA (โอโตยะ) </v>
      </c>
      <c r="D335" s="3" t="str">
        <f>IMAGE("http://maps.google.com/maps/api/staticmap?center=13.720812628110508,100.56950211524963&amp;zoom=16&amp;size=710x440&amp;maptype=roadmap&amp;sensor=false&amp;markers=color:red%7C13.720812628110508,100.56950211524963",1)</f>
        <v/>
      </c>
      <c r="E335" t="str">
        <f>IFERROR(__xludf.DUMMYFUNCTION("REGEXEXTRACT(FORMULATEXT(D335),""center=([-0-9.]+,[-0-9.]+)"")"),"13.720812628110508,100.56950211524963")</f>
        <v>13.720812628110508,100.56950211524963</v>
      </c>
    </row>
    <row r="336">
      <c r="A336" s="1" t="s">
        <v>334</v>
      </c>
      <c r="C336" s="2" t="str">
        <f>HYPERLINK("http://foursquare.com/v/4c56ae42d12a20a1f6e464bd","Durty Nelly's Irish Pub ")</f>
        <v>Durty Nelly's Irish Pub </v>
      </c>
      <c r="D336" s="3" t="str">
        <f>IMAGE("http://maps.google.com/maps/api/staticmap?center=13.72339743542138,100.58475852012634&amp;zoom=16&amp;size=710x440&amp;maptype=roadmap&amp;sensor=false&amp;markers=color:red%7C13.72339743542138,100.58475852012634",1)</f>
        <v/>
      </c>
      <c r="E336" t="str">
        <f>IFERROR(__xludf.DUMMYFUNCTION("REGEXEXTRACT(FORMULATEXT(D336),""center=([-0-9.]+,[-0-9.]+)"")"),"13.72339743542138,100.58475852012634")</f>
        <v>13.72339743542138,100.58475852012634</v>
      </c>
    </row>
    <row r="337">
      <c r="A337" s="1" t="s">
        <v>335</v>
      </c>
      <c r="C337" s="2" t="str">
        <f>HYPERLINK("http://foursquare.com/v/4cef8a57b80da0933fd82c00","S&amp;P (เอสแอนด์พี) ")</f>
        <v>S&amp;P (เอสแอนด์พี) </v>
      </c>
      <c r="D337" s="3" t="str">
        <f>IMAGE("http://maps.google.com/maps/api/staticmap?center=13.727018661610785,100.58530417214176&amp;zoom=16&amp;size=710x440&amp;maptype=roadmap&amp;sensor=false&amp;markers=color:red%7C13.727018661610785,100.58530417214176",1)</f>
        <v/>
      </c>
      <c r="E337" t="str">
        <f>IFERROR(__xludf.DUMMYFUNCTION("REGEXEXTRACT(FORMULATEXT(D337),""center=([-0-9.]+,[-0-9.]+)"")"),"13.727018661610785,100.58530417214176")</f>
        <v>13.727018661610785,100.58530417214176</v>
      </c>
    </row>
    <row r="338">
      <c r="A338" s="1" t="s">
        <v>336</v>
      </c>
      <c r="C338" s="2" t="str">
        <f>HYPERLINK("http://foursquare.com/v/4cc402da38aaa093b8871062","CheeseCake House &amp; Restaurant ")</f>
        <v>CheeseCake House &amp; Restaurant </v>
      </c>
      <c r="D338" s="3" t="str">
        <f>IMAGE("http://maps.google.com/maps/api/staticmap?center=13.721309575613045,100.58314957946901&amp;zoom=16&amp;size=710x440&amp;maptype=roadmap&amp;sensor=false&amp;markers=color:red%7C13.721309575613045,100.58314957946901",1)</f>
        <v/>
      </c>
      <c r="E338" t="str">
        <f>IFERROR(__xludf.DUMMYFUNCTION("REGEXEXTRACT(FORMULATEXT(D338),""center=([-0-9.]+,[-0-9.]+)"")"),"13.721309575613045,100.58314957946901")</f>
        <v>13.721309575613045,100.58314957946901</v>
      </c>
    </row>
    <row r="339">
      <c r="A339" s="1" t="s">
        <v>337</v>
      </c>
      <c r="C339" s="2" t="str">
        <f>HYPERLINK("http://foursquare.com/v/4b0587f9f964a520e6a922e3","The Robin Hood ")</f>
        <v>The Robin Hood </v>
      </c>
      <c r="D339" s="3" t="str">
        <f>IMAGE("http://maps.google.com/maps/api/staticmap?center=13.731685824034894,100.568126142025&amp;zoom=16&amp;size=710x440&amp;maptype=roadmap&amp;sensor=false&amp;markers=color:red%7C13.731685824034894,100.568126142025",1)</f>
        <v/>
      </c>
      <c r="E339" t="str">
        <f>IFERROR(__xludf.DUMMYFUNCTION("REGEXEXTRACT(FORMULATEXT(D339),""center=([-0-9.]+,[-0-9.]+)"")"),"13.731685824034894,100.568126142025")</f>
        <v>13.731685824034894,100.568126142025</v>
      </c>
    </row>
    <row r="340">
      <c r="A340" s="1" t="s">
        <v>338</v>
      </c>
      <c r="C340" s="2" t="str">
        <f>HYPERLINK("http://foursquare.com/v/4dbd26b3815439392fab4d97","ตี๋หยก กาแฟ-ขนมปังปิ้ง@คลองถม ")</f>
        <v>ตี๋หยก กาแฟ-ขนมปังปิ้ง@คลองถม </v>
      </c>
      <c r="D340" s="3" t="str">
        <f>IMAGE("http://maps.google.com/maps/api/staticmap?center=13.744327520741587,100.50753445282623&amp;zoom=16&amp;size=710x440&amp;maptype=roadmap&amp;sensor=false&amp;markers=color:red%7C13.744327520741587,100.50753445282623",1)</f>
        <v/>
      </c>
      <c r="E340" t="str">
        <f>IFERROR(__xludf.DUMMYFUNCTION("REGEXEXTRACT(FORMULATEXT(D340),""center=([-0-9.]+,[-0-9.]+)"")"),"13.744327520741587,100.50753445282623")</f>
        <v>13.744327520741587,100.50753445282623</v>
      </c>
    </row>
    <row r="341">
      <c r="A341" s="1" t="s">
        <v>339</v>
      </c>
      <c r="C341" s="2" t="str">
        <f>HYPERLINK("http://foursquare.com/v/518a3f23498e5e929210a3de","Flann O'brien's ")</f>
        <v>Flann O'brien's </v>
      </c>
      <c r="D341" s="3" t="str">
        <f>IMAGE("http://maps.google.com/maps/api/staticmap?center=13.914497,100.548266&amp;zoom=16&amp;size=710x440&amp;maptype=roadmap&amp;sensor=false&amp;markers=color:red%7C13.914497,100.548266",1)</f>
        <v/>
      </c>
      <c r="E341" t="str">
        <f>IFERROR(__xludf.DUMMYFUNCTION("REGEXEXTRACT(FORMULATEXT(D341),""center=([-0-9.]+,[-0-9.]+)"")"),"13.914497,100.548266")</f>
        <v>13.914497,100.548266</v>
      </c>
    </row>
    <row r="342">
      <c r="A342" s="1" t="s">
        <v>340</v>
      </c>
      <c r="C342" s="2" t="str">
        <f>HYPERLINK("http://foursquare.com/v/4c849047d92ea093599a5e72","Playtime ")</f>
        <v>Playtime </v>
      </c>
      <c r="D342" s="3" t="str">
        <f>IMAGE("http://maps.google.com/maps/api/staticmap?center=13.72326830172233,100.58413892699959&amp;zoom=16&amp;size=710x440&amp;maptype=roadmap&amp;sensor=false&amp;markers=color:red%7C13.72326830172233,100.58413892699959",1)</f>
        <v/>
      </c>
      <c r="E342" t="str">
        <f>IFERROR(__xludf.DUMMYFUNCTION("REGEXEXTRACT(FORMULATEXT(D342),""center=([-0-9.]+,[-0-9.]+)"")"),"13.72326830172233,100.58413892699959")</f>
        <v>13.72326830172233,100.58413892699959</v>
      </c>
    </row>
    <row r="343">
      <c r="A343" s="1" t="s">
        <v>341</v>
      </c>
      <c r="C343" s="2" t="str">
        <f>HYPERLINK("http://foursquare.com/v/4b0587fcf964a52002ab22e3","CentralWorld (เซ็นทรัลเวิลด์) ")</f>
        <v>CentralWorld (เซ็นทรัลเวิลด์) </v>
      </c>
      <c r="D343" s="3" t="str">
        <f>IMAGE("http://maps.google.com/maps/api/staticmap?center=13.745856960886787,100.53943991661072&amp;zoom=16&amp;size=710x440&amp;maptype=roadmap&amp;sensor=false&amp;markers=color:red%7C13.745856960886787,100.53943991661072",1)</f>
        <v/>
      </c>
      <c r="E343" t="str">
        <f>IFERROR(__xludf.DUMMYFUNCTION("REGEXEXTRACT(FORMULATEXT(D343),""center=([-0-9.]+,[-0-9.]+)"")"),"13.745856960886787,100.53943991661072")</f>
        <v>13.745856960886787,100.53943991661072</v>
      </c>
    </row>
    <row r="344">
      <c r="A344" s="1" t="s">
        <v>342</v>
      </c>
      <c r="C344" s="2" t="str">
        <f>HYPERLINK("http://foursquare.com/v/4b972f4bf964a52064fb34e3","FoodLoft (ฟู้ดลอฟท์) ")</f>
        <v>FoodLoft (ฟู้ดลอฟท์) </v>
      </c>
      <c r="D344" s="3" t="str">
        <f>IMAGE("http://maps.google.com/maps/api/staticmap?center=13.744418781992813,100.54461658000946&amp;zoom=16&amp;size=710x440&amp;maptype=roadmap&amp;sensor=false&amp;markers=color:red%7C13.744418781992813,100.54461658000946",1)</f>
        <v/>
      </c>
      <c r="E344" t="str">
        <f>IFERROR(__xludf.DUMMYFUNCTION("REGEXEXTRACT(FORMULATEXT(D344),""center=([-0-9.]+,[-0-9.]+)"")"),"13.744418781992813,100.54461658000946")</f>
        <v>13.744418781992813,100.54461658000946</v>
      </c>
    </row>
    <row r="345">
      <c r="A345" s="1" t="s">
        <v>343</v>
      </c>
      <c r="C345" s="2" t="str">
        <f>HYPERLINK("http://foursquare.com/v/4fb601c7e4b0a804111ec5e7","HUBBA - Coworking Space ")</f>
        <v>HUBBA - Coworking Space </v>
      </c>
      <c r="D345" s="3" t="str">
        <f>IMAGE("http://maps.google.com/maps/api/staticmap?center=13.725283909878362,100.58769822120667&amp;zoom=16&amp;size=710x440&amp;maptype=roadmap&amp;sensor=false&amp;markers=color:red%7C13.725283909878362,100.58769822120667",1)</f>
        <v/>
      </c>
      <c r="E345" t="str">
        <f>IFERROR(__xludf.DUMMYFUNCTION("REGEXEXTRACT(FORMULATEXT(D345),""center=([-0-9.]+,[-0-9.]+)"")"),"13.725283909878362,100.58769822120667")</f>
        <v>13.725283909878362,100.58769822120667</v>
      </c>
    </row>
    <row r="346">
      <c r="A346" s="1" t="s">
        <v>344</v>
      </c>
      <c r="C346" s="2" t="str">
        <f>HYPERLINK("http://foursquare.com/v/4c56ae42d12a20a1f6e464bd","Durty Nelly's Irish Pub ")</f>
        <v>Durty Nelly's Irish Pub </v>
      </c>
      <c r="D346" s="3" t="str">
        <f>IMAGE("http://maps.google.com/maps/api/staticmap?center=13.72339743542138,100.58475852012634&amp;zoom=16&amp;size=710x440&amp;maptype=roadmap&amp;sensor=false&amp;markers=color:red%7C13.72339743542138,100.58475852012634",1)</f>
        <v/>
      </c>
      <c r="E346" t="str">
        <f>IFERROR(__xludf.DUMMYFUNCTION("REGEXEXTRACT(FORMULATEXT(D346),""center=([-0-9.]+,[-0-9.]+)"")"),"13.72339743542138,100.58475852012634")</f>
        <v>13.72339743542138,100.58475852012634</v>
      </c>
    </row>
    <row r="347">
      <c r="A347" s="1" t="s">
        <v>345</v>
      </c>
      <c r="C347" s="2" t="str">
        <f>HYPERLINK("http://foursquare.com/v/4c2ad1448abca593b450ff1f","Terminal 21 (เทอร์มินอล ทเวนตี้วัน) ")</f>
        <v>Terminal 21 (เทอร์มินอล ทเวนตี้วัน) </v>
      </c>
      <c r="D347" s="3" t="str">
        <f>IMAGE("http://maps.google.com/maps/api/staticmap?center=13.73727986477642,100.56050062179565&amp;zoom=16&amp;size=710x440&amp;maptype=roadmap&amp;sensor=false&amp;markers=color:red%7C13.73727986477642,100.56050062179565",1)</f>
        <v/>
      </c>
      <c r="E347" t="str">
        <f>IFERROR(__xludf.DUMMYFUNCTION("REGEXEXTRACT(FORMULATEXT(D347),""center=([-0-9.]+,[-0-9.]+)"")"),"13.73727986477642,100.56050062179565")</f>
        <v>13.73727986477642,100.56050062179565</v>
      </c>
    </row>
    <row r="348">
      <c r="A348" s="1" t="s">
        <v>346</v>
      </c>
      <c r="C348" s="2" t="str">
        <f>HYPERLINK("http://foursquare.com/v/4b85d922f964a520267631e3","Sheraton Grande Sukhumvit, Bangkok ")</f>
        <v>Sheraton Grande Sukhumvit, Bangkok </v>
      </c>
      <c r="D348" s="3" t="str">
        <f>IMAGE("http://maps.google.com/maps/api/staticmap?center=13.737613366481854,100.55902004241943&amp;zoom=16&amp;size=710x440&amp;maptype=roadmap&amp;sensor=false&amp;markers=color:red%7C13.737613366481854,100.55902004241943",1)</f>
        <v/>
      </c>
      <c r="E348" t="str">
        <f>IFERROR(__xludf.DUMMYFUNCTION("REGEXEXTRACT(FORMULATEXT(D348),""center=([-0-9.]+,[-0-9.]+)"")"),"13.737613366481854,100.55902004241943")</f>
        <v>13.737613366481854,100.55902004241943</v>
      </c>
    </row>
    <row r="349">
      <c r="A349" s="1" t="s">
        <v>347</v>
      </c>
      <c r="C349" s="2" t="str">
        <f>HYPERLINK("http://foursquare.com/v/4d7787cf396f37043377a938","Oskar ")</f>
        <v>Oskar </v>
      </c>
      <c r="D349" s="3" t="str">
        <f>IMAGE("http://maps.google.com/maps/api/staticmap?center=13.743053546032764,100.55670261383057&amp;zoom=16&amp;size=710x440&amp;maptype=roadmap&amp;sensor=false&amp;markers=color:red%7C13.743053546032764,100.55670261383057",1)</f>
        <v/>
      </c>
      <c r="E349" t="str">
        <f>IFERROR(__xludf.DUMMYFUNCTION("REGEXEXTRACT(FORMULATEXT(D349),""center=([-0-9.]+,[-0-9.]+)"")"),"13.743053546032764,100.55670261383057")</f>
        <v>13.743053546032764,100.55670261383057</v>
      </c>
    </row>
    <row r="350">
      <c r="A350" s="1" t="s">
        <v>348</v>
      </c>
      <c r="C350" s="2" t="str">
        <f>HYPERLINK("http://foursquare.com/v/4d8daff7d4ec8cfa82ba5f89","BELLE GRAND Phra Ram 9 ")</f>
        <v>BELLE GRAND Phra Ram 9 </v>
      </c>
      <c r="D350" s="3" t="str">
        <f>IMAGE("http://maps.google.com/maps/api/staticmap?center=13.759162661364185,100.56793145419482&amp;zoom=16&amp;size=710x440&amp;maptype=roadmap&amp;sensor=false&amp;markers=color:red%7C13.759162661364185,100.56793145419482",1)</f>
        <v/>
      </c>
      <c r="E350" t="str">
        <f>IFERROR(__xludf.DUMMYFUNCTION("REGEXEXTRACT(FORMULATEXT(D350),""center=([-0-9.]+,[-0-9.]+)"")"),"13.759162661364185,100.56793145419482")</f>
        <v>13.759162661364185,100.56793145419482</v>
      </c>
    </row>
    <row r="351">
      <c r="A351" s="1" t="s">
        <v>349</v>
      </c>
      <c r="C351" s="2" t="str">
        <f t="shared" ref="C351:C352" si="22">HYPERLINK("http://foursquare.com/v/4bd79276f645c9b68559a6e0","Bangkok University International College (BUIC) ")</f>
        <v>Bangkok University International College (BUIC) </v>
      </c>
      <c r="D351" s="3" t="str">
        <f t="shared" ref="D351:D352" si="23">IMAGE("http://maps.google.com/maps/api/staticmap?center=13.711598809174987,100.58204412460327&amp;zoom=16&amp;size=710x440&amp;maptype=roadmap&amp;sensor=false&amp;markers=color:red%7C13.711598809174987,100.58204412460327",1)</f>
        <v/>
      </c>
      <c r="E351" t="str">
        <f>IFERROR(__xludf.DUMMYFUNCTION("REGEXEXTRACT(FORMULATEXT(D351),""center=([-0-9.]+,[-0-9.]+)"")"),"13.711598809174987,100.58204412460327")</f>
        <v>13.711598809174987,100.58204412460327</v>
      </c>
    </row>
    <row r="352">
      <c r="A352" s="1" t="s">
        <v>350</v>
      </c>
      <c r="C352" s="2" t="str">
        <f t="shared" si="22"/>
        <v>Bangkok University International College (BUIC) </v>
      </c>
      <c r="D352" s="3" t="str">
        <f t="shared" si="23"/>
        <v/>
      </c>
      <c r="E352" t="str">
        <f>IFERROR(__xludf.DUMMYFUNCTION("REGEXEXTRACT(FORMULATEXT(D352),""center=([-0-9.]+,[-0-9.]+)"")"),"13.711598809174987,100.58204412460327")</f>
        <v>13.711598809174987,100.58204412460327</v>
      </c>
    </row>
    <row r="353">
      <c r="A353" s="1" t="s">
        <v>351</v>
      </c>
      <c r="C353" s="2" t="str">
        <f>HYPERLINK("http://foursquare.com/v/4c73a3c47121a1cd589265d1","Food Bazaar (ฟู้ด บาร์ซาร์) ")</f>
        <v>Food Bazaar (ฟู้ด บาร์ซาร์) </v>
      </c>
      <c r="D353" s="3" t="str">
        <f>IMAGE("http://maps.google.com/maps/api/staticmap?center=13.686541807454804,100.64698418532667&amp;zoom=16&amp;size=710x440&amp;maptype=roadmap&amp;sensor=false&amp;markers=color:red%7C13.686541807454804,100.64698418532667",1)</f>
        <v/>
      </c>
      <c r="E353" t="str">
        <f>IFERROR(__xludf.DUMMYFUNCTION("REGEXEXTRACT(FORMULATEXT(D353),""center=([-0-9.]+,[-0-9.]+)"")"),"13.686541807454804,100.64698418532667")</f>
        <v>13.686541807454804,100.64698418532667</v>
      </c>
    </row>
    <row r="354">
      <c r="A354" s="1" t="s">
        <v>352</v>
      </c>
      <c r="C354" s="2" t="str">
        <f>HYPERLINK("http://foursquare.com/v/4b0587f7f964a5206fa922e3","Bourbon St. ")</f>
        <v>Bourbon St. </v>
      </c>
      <c r="D354" s="3" t="str">
        <f>IMAGE("http://maps.google.com/maps/api/staticmap?center=13.722365634321932,100.58451817969932&amp;zoom=16&amp;size=710x440&amp;maptype=roadmap&amp;sensor=false&amp;markers=color:red%7C13.722365634321932,100.58451817969932",1)</f>
        <v/>
      </c>
      <c r="E354" t="str">
        <f>IFERROR(__xludf.DUMMYFUNCTION("REGEXEXTRACT(FORMULATEXT(D354),""center=([-0-9.]+,[-0-9.]+)"")"),"13.722365634321932,100.58451817969932")</f>
        <v>13.722365634321932,100.58451817969932</v>
      </c>
    </row>
    <row r="355">
      <c r="A355" s="1" t="s">
        <v>353</v>
      </c>
      <c r="C355" s="2" t="str">
        <f>HYPERLINK("http://foursquare.com/v/4b506953f964a520832227e3","MBK Center (เอ็ม บี เค เซ็นเตอร์) ")</f>
        <v>MBK Center (เอ็ม บี เค เซ็นเตอร์) </v>
      </c>
      <c r="D355" s="3" t="str">
        <f>IMAGE("http://maps.google.com/maps/api/staticmap?center=13.744595949434908,100.53022384643555&amp;zoom=16&amp;size=710x440&amp;maptype=roadmap&amp;sensor=false&amp;markers=color:red%7C13.744595949434908,100.53022384643555",1)</f>
        <v/>
      </c>
      <c r="E355" t="str">
        <f>IFERROR(__xludf.DUMMYFUNCTION("REGEXEXTRACT(FORMULATEXT(D355),""center=([-0-9.]+,[-0-9.]+)"")"),"13.744595949434908,100.53022384643555")</f>
        <v>13.744595949434908,100.53022384643555</v>
      </c>
    </row>
    <row r="356">
      <c r="A356" s="1" t="s">
        <v>354</v>
      </c>
      <c r="C356" s="2" t="str">
        <f>HYPERLINK("http://foursquare.com/v/4ec246ab0cd6d2a16f977d63","Rain Hill (เรนฮิลล์) ")</f>
        <v>Rain Hill (เรนฮิลล์) </v>
      </c>
      <c r="D356" s="3" t="str">
        <f>IMAGE("http://maps.google.com/maps/api/staticmap?center=13.727795711436695,100.57401895523071&amp;zoom=16&amp;size=710x440&amp;maptype=roadmap&amp;sensor=false&amp;markers=color:red%7C13.727795711436695,100.57401895523071",1)</f>
        <v/>
      </c>
      <c r="E356" t="str">
        <f>IFERROR(__xludf.DUMMYFUNCTION("REGEXEXTRACT(FORMULATEXT(D356),""center=([-0-9.]+,[-0-9.]+)"")"),"13.727795711436695,100.57401895523071")</f>
        <v>13.727795711436695,100.57401895523071</v>
      </c>
    </row>
    <row r="357">
      <c r="A357" s="1" t="s">
        <v>355</v>
      </c>
      <c r="C357" s="2" t="str">
        <f>HYPERLINK("http://foursquare.com/v/515a739de4b008c4df2b51b1","The Studio ")</f>
        <v>The Studio </v>
      </c>
      <c r="D357" s="3" t="str">
        <f>IMAGE("http://maps.google.com/maps/api/staticmap?center=13.727652139413033,100.57405907173808&amp;zoom=16&amp;size=710x440&amp;maptype=roadmap&amp;sensor=false&amp;markers=color:red%7C13.727652139413033,100.57405907173808",1)</f>
        <v/>
      </c>
      <c r="E357" t="str">
        <f>IFERROR(__xludf.DUMMYFUNCTION("REGEXEXTRACT(FORMULATEXT(D357),""center=([-0-9.]+,[-0-9.]+)"")"),"13.727652139413033,100.57405907173808")</f>
        <v>13.727652139413033,100.57405907173808</v>
      </c>
    </row>
    <row r="358">
      <c r="A358" s="1" t="s">
        <v>356</v>
      </c>
      <c r="C358" s="2" t="str">
        <f>HYPERLINK("http://foursquare.com/v/4f03eca8d3e35fb2b715f469","Au Bon Pain (โอ บอง แปง) ")</f>
        <v>Au Bon Pain (โอ บอง แปง) </v>
      </c>
      <c r="D358" s="3" t="str">
        <f>IMAGE("http://maps.google.com/maps/api/staticmap?center=13.727707121382908,100.57393312454224&amp;zoom=16&amp;size=710x440&amp;maptype=roadmap&amp;sensor=false&amp;markers=color:red%7C13.727707121382908,100.57393312454224",1)</f>
        <v/>
      </c>
      <c r="E358" t="str">
        <f>IFERROR(__xludf.DUMMYFUNCTION("REGEXEXTRACT(FORMULATEXT(D358),""center=([-0-9.]+,[-0-9.]+)"")"),"13.727707121382908,100.57393312454224")</f>
        <v>13.727707121382908,100.57393312454224</v>
      </c>
    </row>
    <row r="359">
      <c r="A359" s="1" t="s">
        <v>357</v>
      </c>
      <c r="C359" s="2" t="str">
        <f>HYPERLINK("http://foursquare.com/v/4f7da39be4b0d0d3d05fd9e7","SMITH ")</f>
        <v>SMITH </v>
      </c>
      <c r="D359" s="3" t="str">
        <f>IMAGE("http://maps.google.com/maps/api/staticmap?center=13.727207,100.575366&amp;zoom=16&amp;size=710x440&amp;maptype=roadmap&amp;sensor=false&amp;markers=color:red%7C13.727207,100.575366",1)</f>
        <v/>
      </c>
      <c r="E359" t="str">
        <f>IFERROR(__xludf.DUMMYFUNCTION("REGEXEXTRACT(FORMULATEXT(D359),""center=([-0-9.]+,[-0-9.]+)"")"),"13.727207,100.575366")</f>
        <v>13.727207,100.575366</v>
      </c>
    </row>
    <row r="360">
      <c r="A360" s="1" t="s">
        <v>358</v>
      </c>
      <c r="C360" s="2" t="str">
        <f>HYPERLINK("http://foursquare.com/v/4bdd3897645e0f47da206b19","Sizzler (ซิซซ์เลอร์) ")</f>
        <v>Sizzler (ซิซซ์เลอร์) </v>
      </c>
      <c r="D360" s="3" t="str">
        <f>IMAGE("http://maps.google.com/maps/api/staticmap?center=13.721365,100.583151&amp;zoom=16&amp;size=710x440&amp;maptype=roadmap&amp;sensor=false&amp;markers=color:red%7C13.721365,100.583151",1)</f>
        <v/>
      </c>
      <c r="E360" t="str">
        <f>IFERROR(__xludf.DUMMYFUNCTION("REGEXEXTRACT(FORMULATEXT(D360),""center=([-0-9.]+,[-0-9.]+)"")"),"13.721365,100.583151")</f>
        <v>13.721365,100.583151</v>
      </c>
    </row>
    <row r="361">
      <c r="A361" s="1" t="s">
        <v>359</v>
      </c>
      <c r="C361" s="2" t="str">
        <f>HYPERLINK("http://foursquare.com/v/4c38cc9d0a71c9b6ec5941c9","State Tower (สเตททาวเวอร์ กรุงเทพ) ")</f>
        <v>State Tower (สเตททาวเวอร์ กรุงเทพ) </v>
      </c>
      <c r="D361" s="3" t="str">
        <f>IMAGE("http://maps.google.com/maps/api/staticmap?center=13.72159953818962,100.5168879032135&amp;zoom=16&amp;size=710x440&amp;maptype=roadmap&amp;sensor=false&amp;markers=color:red%7C13.72159953818962,100.5168879032135",1)</f>
        <v/>
      </c>
      <c r="E361" t="str">
        <f>IFERROR(__xludf.DUMMYFUNCTION("REGEXEXTRACT(FORMULATEXT(D361),""center=([-0-9.]+,[-0-9.]+)"")"),"13.72159953818962,100.5168879032135")</f>
        <v>13.72159953818962,100.5168879032135</v>
      </c>
    </row>
    <row r="362">
      <c r="A362" s="1" t="s">
        <v>360</v>
      </c>
      <c r="C362" s="2" t="str">
        <f>HYPERLINK("http://foursquare.com/v/4b50566af964a520d22027e3","BTS ราชดำริ (Ratchadamri) S1 ")</f>
        <v>BTS ราชดำริ (Ratchadamri) S1 </v>
      </c>
      <c r="D362" s="3" t="str">
        <f>IMAGE("http://maps.google.com/maps/api/staticmap?center=13.739385086334346,100.53940773010254&amp;zoom=16&amp;size=710x440&amp;maptype=roadmap&amp;sensor=false&amp;markers=color:red%7C13.739385086334346,100.53940773010254",1)</f>
        <v/>
      </c>
      <c r="E362" t="str">
        <f>IFERROR(__xludf.DUMMYFUNCTION("REGEXEXTRACT(FORMULATEXT(D362),""center=([-0-9.]+,[-0-9.]+)"")"),"13.739385086334346,100.53940773010254")</f>
        <v>13.739385086334346,100.53940773010254</v>
      </c>
    </row>
    <row r="363">
      <c r="A363" s="1" t="s">
        <v>361</v>
      </c>
      <c r="C363" s="2" t="str">
        <f>HYPERLINK("http://foursquare.com/v/5142f01fe4b0455b2c40afa6","Superbdog ")</f>
        <v>Superbdog </v>
      </c>
      <c r="D363" s="3" t="str">
        <f>IMAGE("http://maps.google.com/maps/api/staticmap?center=13.738981,100.554698&amp;zoom=16&amp;size=710x440&amp;maptype=roadmap&amp;sensor=false&amp;markers=color:red%7C13.738981,100.554698",1)</f>
        <v/>
      </c>
      <c r="E363" t="str">
        <f>IFERROR(__xludf.DUMMYFUNCTION("REGEXEXTRACT(FORMULATEXT(D363),""center=([-0-9.]+,[-0-9.]+)"")"),"13.738981,100.554698")</f>
        <v>13.738981,100.554698</v>
      </c>
    </row>
    <row r="364">
      <c r="A364" s="1" t="s">
        <v>362</v>
      </c>
      <c r="C364" s="2" t="str">
        <f>HYPERLINK("http://foursquare.com/v/4db1a5444b22ba776d874993","Opposite ")</f>
        <v>Opposite </v>
      </c>
      <c r="D364" s="3" t="str">
        <f>IMAGE("http://maps.google.com/maps/api/staticmap?center=13.726512279310418,100.57653221664977&amp;zoom=16&amp;size=710x440&amp;maptype=roadmap&amp;sensor=false&amp;markers=color:red%7C13.726512279310418,100.57653221664977",1)</f>
        <v/>
      </c>
      <c r="E364" t="str">
        <f>IFERROR(__xludf.DUMMYFUNCTION("REGEXEXTRACT(FORMULATEXT(D364),""center=([-0-9.]+,[-0-9.]+)"")"),"13.726512279310418,100.57653221664977")</f>
        <v>13.726512279310418,100.57653221664977</v>
      </c>
    </row>
    <row r="365">
      <c r="A365" s="1" t="s">
        <v>363</v>
      </c>
      <c r="C365" s="2" t="str">
        <f>HYPERLINK("http://foursquare.com/v/4e22969652b1f82ffbaab382","El Diablo's Burritos ")</f>
        <v>El Diablo's Burritos </v>
      </c>
      <c r="D365" s="3" t="str">
        <f>IMAGE("http://maps.google.com/maps/api/staticmap?center=13.72148059738242,100.56500792739575&amp;zoom=16&amp;size=710x440&amp;maptype=roadmap&amp;sensor=false&amp;markers=color:red%7C13.72148059738242,100.56500792739575",1)</f>
        <v/>
      </c>
      <c r="E365" t="str">
        <f>IFERROR(__xludf.DUMMYFUNCTION("REGEXEXTRACT(FORMULATEXT(D365),""center=([-0-9.]+,[-0-9.]+)"")"),"13.72148059738242,100.56500792739575")</f>
        <v>13.72148059738242,100.56500792739575</v>
      </c>
    </row>
    <row r="366">
      <c r="A366" s="1" t="s">
        <v>364</v>
      </c>
      <c r="C366" s="2" t="str">
        <f>HYPERLINK("http://foursquare.com/v/4be27a90f07b0f47c692f543","Park Lane (ปาร์คเลน) ")</f>
        <v>Park Lane (ปาร์คเลน) </v>
      </c>
      <c r="D366" s="3" t="str">
        <f>IMAGE("http://maps.google.com/maps/api/staticmap?center=13.723222857598445,100.58448225259781&amp;zoom=16&amp;size=710x440&amp;maptype=roadmap&amp;sensor=false&amp;markers=color:red%7C13.723222857598445,100.58448225259781",1)</f>
        <v/>
      </c>
      <c r="E366" t="str">
        <f>IFERROR(__xludf.DUMMYFUNCTION("REGEXEXTRACT(FORMULATEXT(D366),""center=([-0-9.]+,[-0-9.]+)"")"),"13.723222857598445,100.58448225259781")</f>
        <v>13.723222857598445,100.58448225259781</v>
      </c>
    </row>
    <row r="367">
      <c r="A367" s="1" t="s">
        <v>365</v>
      </c>
      <c r="C367" s="2" t="str">
        <f>HYPERLINK("http://foursquare.com/v/4d285315915fa0939abcfb09","Omu (โอมุ) おむ ")</f>
        <v>Omu (โอมุ) おむ </v>
      </c>
      <c r="D367" s="3" t="str">
        <f>IMAGE("http://maps.google.com/maps/api/staticmap?center=13.723001378083904,100.58403968811035&amp;zoom=16&amp;size=710x440&amp;maptype=roadmap&amp;sensor=false&amp;markers=color:red%7C13.723001378083904,100.58403968811035",1)</f>
        <v/>
      </c>
      <c r="E367" t="str">
        <f>IFERROR(__xludf.DUMMYFUNCTION("REGEXEXTRACT(FORMULATEXT(D367),""center=([-0-9.]+,[-0-9.]+)"")"),"13.723001378083904,100.58403968811035")</f>
        <v>13.723001378083904,100.58403968811035</v>
      </c>
    </row>
    <row r="368">
      <c r="A368" s="1" t="s">
        <v>366</v>
      </c>
      <c r="C368" s="2" t="str">
        <f>HYPERLINK("http://foursquare.com/v/50ea773ae4b06559dfd608a4","DoubleTree by Hilton Sukhumvit Bangkok ")</f>
        <v>DoubleTree by Hilton Sukhumvit Bangkok </v>
      </c>
      <c r="D368" s="3" t="str">
        <f>IMAGE("http://maps.google.com/maps/api/staticmap?center=13.728254294709563,100.57032823562622&amp;zoom=16&amp;size=710x440&amp;maptype=roadmap&amp;sensor=false&amp;markers=color:red%7C13.728254294709563,100.57032823562622",1)</f>
        <v/>
      </c>
      <c r="E368" t="str">
        <f>IFERROR(__xludf.DUMMYFUNCTION("REGEXEXTRACT(FORMULATEXT(D368),""center=([-0-9.]+,[-0-9.]+)"")"),"13.728254294709563,100.57032823562622")</f>
        <v>13.728254294709563,100.57032823562622</v>
      </c>
    </row>
    <row r="369">
      <c r="A369" s="1" t="s">
        <v>367</v>
      </c>
      <c r="C369" s="2" t="str">
        <f>HYPERLINK("http://foursquare.com/v/4d8daff7d4ec8cfa82ba5f89","BELLE GRAND Phra Ram 9 ")</f>
        <v>BELLE GRAND Phra Ram 9 </v>
      </c>
      <c r="D369" s="3" t="str">
        <f>IMAGE("http://maps.google.com/maps/api/staticmap?center=13.759571092397131,100.56793145419482&amp;zoom=16&amp;size=710x440&amp;maptype=roadmap&amp;sensor=false&amp;markers=color:red%7C13.759571092397131,100.56793145419482",1)</f>
        <v/>
      </c>
      <c r="E369" t="str">
        <f>IFERROR(__xludf.DUMMYFUNCTION("REGEXEXTRACT(FORMULATEXT(D369),""center=([-0-9.]+,[-0-9.]+)"")"),"13.759571092397131,100.56793145419482")</f>
        <v>13.759571092397131,100.56793145419482</v>
      </c>
    </row>
    <row r="370">
      <c r="A370" s="1" t="s">
        <v>368</v>
      </c>
      <c r="C370" s="2" t="str">
        <f>HYPERLINK("http://foursquare.com/v/4cd50bb194848cfaa7e1e3b1","SB Design Square (เอสบี ดีไซน์สแควร์) ")</f>
        <v>SB Design Square (เอสบี ดีไซน์สแควร์) </v>
      </c>
      <c r="D370" s="3" t="str">
        <f>IMAGE("http://maps.google.com/maps/api/staticmap?center=13.770857227572362,100.57173437603092&amp;zoom=16&amp;size=710x440&amp;maptype=roadmap&amp;sensor=false&amp;markers=color:red%7C13.770857227572362,100.57173437603092",1)</f>
        <v/>
      </c>
      <c r="E370" t="str">
        <f>IFERROR(__xludf.DUMMYFUNCTION("REGEXEXTRACT(FORMULATEXT(D370),""center=([-0-9.]+,[-0-9.]+)"")"),"13.770857227572362,100.57173437603092")</f>
        <v>13.770857227572362,100.57173437603092</v>
      </c>
    </row>
    <row r="371">
      <c r="A371" s="1" t="s">
        <v>369</v>
      </c>
      <c r="C371" s="2" t="str">
        <f>HYPERLINK("http://foursquare.com/v/4c56ae42d12a20a1f6e464bd","Durty Nelly's Irish Pub ")</f>
        <v>Durty Nelly's Irish Pub </v>
      </c>
      <c r="D371" s="3" t="str">
        <f>IMAGE("http://maps.google.com/maps/api/staticmap?center=13.72339743542138,100.58475852012634&amp;zoom=16&amp;size=710x440&amp;maptype=roadmap&amp;sensor=false&amp;markers=color:red%7C13.72339743542138,100.58475852012634",1)</f>
        <v/>
      </c>
      <c r="E371" t="str">
        <f>IFERROR(__xludf.DUMMYFUNCTION("REGEXEXTRACT(FORMULATEXT(D371),""center=([-0-9.]+,[-0-9.]+)"")"),"13.72339743542138,100.58475852012634")</f>
        <v>13.72339743542138,100.58475852012634</v>
      </c>
    </row>
    <row r="372">
      <c r="A372" s="1" t="s">
        <v>370</v>
      </c>
      <c r="C372" s="2" t="str">
        <f>HYPERLINK("http://foursquare.com/v/4d7787cf396f37043377a938","Oskar ")</f>
        <v>Oskar </v>
      </c>
      <c r="D372" s="3" t="str">
        <f>IMAGE("http://maps.google.com/maps/api/staticmap?center=13.743053546032764,100.55670261383057&amp;zoom=16&amp;size=710x440&amp;maptype=roadmap&amp;sensor=false&amp;markers=color:red%7C13.743053546032764,100.55670261383057",1)</f>
        <v/>
      </c>
      <c r="E372" t="str">
        <f>IFERROR(__xludf.DUMMYFUNCTION("REGEXEXTRACT(FORMULATEXT(D372),""center=([-0-9.]+,[-0-9.]+)"")"),"13.743053546032764,100.55670261383057")</f>
        <v>13.743053546032764,100.55670261383057</v>
      </c>
    </row>
    <row r="373">
      <c r="A373" s="1" t="s">
        <v>371</v>
      </c>
      <c r="C373" s="2" t="str">
        <f>HYPERLINK("http://foursquare.com/v/4b0587fdf964a52057ab22e3","The British Club Bangkok ")</f>
        <v>The British Club Bangkok </v>
      </c>
      <c r="D373" s="3" t="str">
        <f>IMAGE("http://maps.google.com/maps/api/staticmap?center=13.726585811268281,100.52370381209069&amp;zoom=16&amp;size=710x440&amp;maptype=roadmap&amp;sensor=false&amp;markers=color:red%7C13.726585811268281,100.52370381209069",1)</f>
        <v/>
      </c>
      <c r="E373" t="str">
        <f>IFERROR(__xludf.DUMMYFUNCTION("REGEXEXTRACT(FORMULATEXT(D373),""center=([-0-9.]+,[-0-9.]+)"")"),"13.726585811268281,100.52370381209069")</f>
        <v>13.726585811268281,100.52370381209069</v>
      </c>
    </row>
    <row r="374">
      <c r="A374" s="1" t="s">
        <v>372</v>
      </c>
      <c r="C374" s="2" t="str">
        <f>HYPERLINK("http://foursquare.com/v/4b0587f9f964a520e3a922e3","Ricky's Coffee Shop ")</f>
        <v>Ricky's Coffee Shop </v>
      </c>
      <c r="D374" s="3" t="str">
        <f>IMAGE("http://maps.google.com/maps/api/staticmap?center=13.76197944475096,100.4932128949372&amp;zoom=16&amp;size=710x440&amp;maptype=roadmap&amp;sensor=false&amp;markers=color:red%7C13.76197944475096,100.4932128949372",1)</f>
        <v/>
      </c>
      <c r="E374" t="str">
        <f>IFERROR(__xludf.DUMMYFUNCTION("REGEXEXTRACT(FORMULATEXT(D374),""center=([-0-9.]+,[-0-9.]+)"")"),"13.76197944475096,100.4932128949372")</f>
        <v>13.76197944475096,100.4932128949372</v>
      </c>
    </row>
    <row r="375">
      <c r="A375" s="1" t="s">
        <v>373</v>
      </c>
      <c r="C375" s="2" t="str">
        <f>HYPERLINK("http://foursquare.com/v/507cfd3be4b06535f6651c00","Kidzooona ")</f>
        <v>Kidzooona </v>
      </c>
      <c r="D375" s="3" t="str">
        <f>IMAGE("http://maps.google.com/maps/api/staticmap?center=13.718758649736044,100.58540310872786&amp;zoom=16&amp;size=710x440&amp;maptype=roadmap&amp;sensor=false&amp;markers=color:red%7C13.718758649736044,100.58540310872786",1)</f>
        <v/>
      </c>
      <c r="E375" t="str">
        <f>IFERROR(__xludf.DUMMYFUNCTION("REGEXEXTRACT(FORMULATEXT(D375),""center=([-0-9.]+,[-0-9.]+)"")"),"13.718758649736044,100.58540310872786")</f>
        <v>13.718758649736044,100.58540310872786</v>
      </c>
    </row>
    <row r="376">
      <c r="A376" s="1" t="s">
        <v>374</v>
      </c>
      <c r="C376" s="2" t="str">
        <f>HYPERLINK("http://foursquare.com/v/4b0587f7f964a5206fa922e3","Bourbon St. ")</f>
        <v>Bourbon St. </v>
      </c>
      <c r="D376" s="3" t="str">
        <f>IMAGE("http://maps.google.com/maps/api/staticmap?center=13.722365634321932,100.58451817969932&amp;zoom=16&amp;size=710x440&amp;maptype=roadmap&amp;sensor=false&amp;markers=color:red%7C13.722365634321932,100.58451817969932",1)</f>
        <v/>
      </c>
      <c r="E376" t="str">
        <f>IFERROR(__xludf.DUMMYFUNCTION("REGEXEXTRACT(FORMULATEXT(D376),""center=([-0-9.]+,[-0-9.]+)"")"),"13.722365634321932,100.58451817969932")</f>
        <v>13.722365634321932,100.58451817969932</v>
      </c>
    </row>
    <row r="377">
      <c r="A377" s="1" t="s">
        <v>375</v>
      </c>
      <c r="C377" s="2" t="str">
        <f>HYPERLINK("http://foursquare.com/v/4c458b8edd1f2d7fbe4e81f9","Bangjak Gas Station ")</f>
        <v>Bangjak Gas Station </v>
      </c>
      <c r="D377" s="3" t="str">
        <f>IMAGE("http://maps.google.com/maps/api/staticmap?center=13.692601,100.607775&amp;zoom=16&amp;size=710x440&amp;maptype=roadmap&amp;sensor=false&amp;markers=color:red%7C13.692601,100.607775",1)</f>
        <v/>
      </c>
      <c r="E377" t="str">
        <f>IFERROR(__xludf.DUMMYFUNCTION("REGEXEXTRACT(FORMULATEXT(D377),""center=([-0-9.]+,[-0-9.]+)"")"),"13.692601,100.607775")</f>
        <v>13.692601,100.607775</v>
      </c>
    </row>
    <row r="378">
      <c r="A378" s="1" t="s">
        <v>376</v>
      </c>
      <c r="C378" s="2" t="str">
        <f>HYPERLINK("http://foursquare.com/v/4ee7faf000397d4697a9bf8b","Robinson (โรบินสัน) ")</f>
        <v>Robinson (โรบินสัน) </v>
      </c>
      <c r="D378" s="3" t="str">
        <f>IMAGE("http://maps.google.com/maps/api/staticmap?center=13.759144065470581,100.56601524353027&amp;zoom=16&amp;size=710x440&amp;maptype=roadmap&amp;sensor=false&amp;markers=color:red%7C13.759144065470581,100.56601524353027",1)</f>
        <v/>
      </c>
      <c r="E378" t="str">
        <f>IFERROR(__xludf.DUMMYFUNCTION("REGEXEXTRACT(FORMULATEXT(D378),""center=([-0-9.]+,[-0-9.]+)"")"),"13.759144065470581,100.56601524353027")</f>
        <v>13.759144065470581,100.56601524353027</v>
      </c>
    </row>
    <row r="379">
      <c r="A379" s="1" t="s">
        <v>377</v>
      </c>
      <c r="C379" s="2" t="str">
        <f>HYPERLINK("http://foursquare.com/v/5139b2dee4b0257b5f4cbcd7","OCTAVE Rooftop Lounge &amp; Bar ")</f>
        <v>OCTAVE Rooftop Lounge &amp; Bar </v>
      </c>
      <c r="D379" s="3" t="str">
        <f>IMAGE("http://maps.google.com/maps/api/staticmap?center=13.723162927868085,100.5803382396698&amp;zoom=16&amp;size=710x440&amp;maptype=roadmap&amp;sensor=false&amp;markers=color:red%7C13.723162927868085,100.5803382396698",1)</f>
        <v/>
      </c>
      <c r="E379" t="str">
        <f>IFERROR(__xludf.DUMMYFUNCTION("REGEXEXTRACT(FORMULATEXT(D379),""center=([-0-9.]+,[-0-9.]+)"")"),"13.723162927868085,100.5803382396698")</f>
        <v>13.723162927868085,100.5803382396698</v>
      </c>
    </row>
    <row r="380">
      <c r="A380" s="1" t="s">
        <v>378</v>
      </c>
      <c r="C380" s="2" t="str">
        <f>HYPERLINK("http://foursquare.com/v/4cdc0fb4fc97370451f0d205","Centurion park condo ")</f>
        <v>Centurion park condo </v>
      </c>
      <c r="D380" s="3" t="str">
        <f>IMAGE("http://maps.google.com/maps/api/staticmap?center=13.782623269084974,100.54168348897583&amp;zoom=16&amp;size=710x440&amp;maptype=roadmap&amp;sensor=false&amp;markers=color:red%7C13.782623269084974,100.54168348897583",1)</f>
        <v/>
      </c>
      <c r="E380" t="str">
        <f>IFERROR(__xludf.DUMMYFUNCTION("REGEXEXTRACT(FORMULATEXT(D380),""center=([-0-9.]+,[-0-9.]+)"")"),"13.782623269084974,100.54168348897583")</f>
        <v>13.782623269084974,100.54168348897583</v>
      </c>
    </row>
    <row r="381">
      <c r="A381" s="1" t="s">
        <v>379</v>
      </c>
      <c r="C381" s="2" t="str">
        <f>HYPERLINK("http://foursquare.com/v/4d87419ed5fab60c5faf1a9c","PTT Gas Station(Bang Phai) | สถานีน้ำมัน ปตท. สาขาบางไผ่ ")</f>
        <v>PTT Gas Station(Bang Phai) | สถานีน้ำมัน ปตท. สาขาบางไผ่ </v>
      </c>
      <c r="D381" s="3" t="str">
        <f>IMAGE("http://maps.google.com/maps/api/staticmap?center=13.661096185455508,101.11862808465958&amp;zoom=16&amp;size=710x440&amp;maptype=roadmap&amp;sensor=false&amp;markers=color:red%7C13.661096185455508,101.11862808465958",1)</f>
        <v/>
      </c>
      <c r="E381" t="str">
        <f>IFERROR(__xludf.DUMMYFUNCTION("REGEXEXTRACT(FORMULATEXT(D381),""center=([-0-9.]+,[-0-9.]+)"")"),"13.661096185455508,101.11862808465958")</f>
        <v>13.661096185455508,101.11862808465958</v>
      </c>
    </row>
    <row r="382">
      <c r="A382" s="1" t="s">
        <v>380</v>
      </c>
      <c r="C382" s="2" t="str">
        <f>HYPERLINK("http://foursquare.com/v/4efd567c30f899232fe52ae7","PTT Station @ ทับลาน ")</f>
        <v>PTT Station @ ทับลาน </v>
      </c>
      <c r="D382" s="3" t="str">
        <f>IMAGE("http://maps.google.com/maps/api/staticmap?center=14.216280239165746,101.89998018024627&amp;zoom=16&amp;size=710x440&amp;maptype=roadmap&amp;sensor=false&amp;markers=color:red%7C14.216280239165746,101.89998018024627",1)</f>
        <v/>
      </c>
      <c r="E382" t="str">
        <f>IFERROR(__xludf.DUMMYFUNCTION("REGEXEXTRACT(FORMULATEXT(D382),""center=([-0-9.]+,[-0-9.]+)"")"),"14.216280239165746,101.89998018024627")</f>
        <v>14.216280239165746,101.89998018024627</v>
      </c>
    </row>
    <row r="383">
      <c r="A383" s="1" t="s">
        <v>381</v>
      </c>
      <c r="C383" s="2" t="str">
        <f>HYPERLINK("http://foursquare.com/v/4e4506abb61cac6fc75c4ff7","ครัวอิ่มสุข @ วังน้ำเขียว ")</f>
        <v>ครัวอิ่มสุข @ วังน้ำเขียว </v>
      </c>
      <c r="D383" s="3" t="str">
        <f>IMAGE("http://maps.google.com/maps/api/staticmap?center=14.385975,101.80328&amp;zoom=16&amp;size=710x440&amp;maptype=roadmap&amp;sensor=false&amp;markers=color:red%7C14.385975,101.80328",1)</f>
        <v/>
      </c>
      <c r="E383" t="str">
        <f>IFERROR(__xludf.DUMMYFUNCTION("REGEXEXTRACT(FORMULATEXT(D383),""center=([-0-9.]+,[-0-9.]+)"")"),"14.385975,101.80328")</f>
        <v>14.385975,101.80328</v>
      </c>
    </row>
    <row r="384">
      <c r="A384" s="1" t="s">
        <v>382</v>
      </c>
      <c r="C384" s="2" t="str">
        <f>HYPERLINK("http://foursquare.com/v/4d96ada5b188721e5481fd36","Bonanza  International Speedway ")</f>
        <v>Bonanza  International Speedway </v>
      </c>
      <c r="D384" s="3" t="str">
        <f>IMAGE("http://maps.google.com/maps/api/staticmap?center=14.590295599685088,101.42675921206963&amp;zoom=16&amp;size=710x440&amp;maptype=roadmap&amp;sensor=false&amp;markers=color:red%7C14.590295599685088,101.42675921206963",1)</f>
        <v/>
      </c>
      <c r="E384" t="str">
        <f>IFERROR(__xludf.DUMMYFUNCTION("REGEXEXTRACT(FORMULATEXT(D384),""center=([-0-9.]+,[-0-9.]+)"")"),"14.590295599685088,101.42675921206963")</f>
        <v>14.590295599685088,101.42675921206963</v>
      </c>
    </row>
    <row r="385">
      <c r="A385" s="1" t="s">
        <v>383</v>
      </c>
      <c r="C385" s="2" t="str">
        <f>HYPERLINK("http://foursquare.com/v/51329c35e4b02e87093bde7b","อุทยานแห่งชาติเขาใหญ่ ")</f>
        <v>อุทยานแห่งชาติเขาใหญ่ </v>
      </c>
      <c r="D385" s="3" t="str">
        <f>IMAGE("http://maps.google.com/maps/api/staticmap?center=14.508216459626302,101.37884820340852&amp;zoom=16&amp;size=710x440&amp;maptype=roadmap&amp;sensor=false&amp;markers=color:red%7C14.508216459626302,101.37884820340852",1)</f>
        <v/>
      </c>
      <c r="E385" t="str">
        <f>IFERROR(__xludf.DUMMYFUNCTION("REGEXEXTRACT(FORMULATEXT(D385),""center=([-0-9.]+,[-0-9.]+)"")"),"14.508216459626302,101.37884820340852")</f>
        <v>14.508216459626302,101.37884820340852</v>
      </c>
    </row>
    <row r="386">
      <c r="A386" s="1" t="s">
        <v>384</v>
      </c>
      <c r="C386" s="2" t="str">
        <f>HYPERLINK("http://foursquare.com/v/4ed06c216c2510ace100d08e","ปตท.แยกนเรศวร ")</f>
        <v>ปตท.แยกนเรศวร </v>
      </c>
      <c r="D386" s="3" t="str">
        <f>IMAGE("http://maps.google.com/maps/api/staticmap?center=14.134467667016548,101.37757354903424&amp;zoom=16&amp;size=710x440&amp;maptype=roadmap&amp;sensor=false&amp;markers=color:red%7C14.134467667016548,101.37757354903424",1)</f>
        <v/>
      </c>
      <c r="E386" t="str">
        <f>IFERROR(__xludf.DUMMYFUNCTION("REGEXEXTRACT(FORMULATEXT(D386),""center=([-0-9.]+,[-0-9.]+)"")"),"14.134467667016548,101.37757354903424")</f>
        <v>14.134467667016548,101.37757354903424</v>
      </c>
    </row>
    <row r="387">
      <c r="A387" s="1" t="s">
        <v>385</v>
      </c>
      <c r="C387" s="2" t="str">
        <f>HYPERLINK("http://foursquare.com/v/4ea7ef8761af33313d00d4d0","7 Eleven ปตท.บางน้ำเปรี้ยว ")</f>
        <v>7 Eleven ปตท.บางน้ำเปรี้ยว </v>
      </c>
      <c r="D387" s="3" t="str">
        <f>IMAGE("http://maps.google.com/maps/api/staticmap?center=13.869912081174292,101.04440370452174&amp;zoom=16&amp;size=710x440&amp;maptype=roadmap&amp;sensor=false&amp;markers=color:red%7C13.869912081174292,101.04440370452174",1)</f>
        <v/>
      </c>
      <c r="E387" t="str">
        <f>IFERROR(__xludf.DUMMYFUNCTION("REGEXEXTRACT(FORMULATEXT(D387),""center=([-0-9.]+,[-0-9.]+)"")"),"13.869912081174292,101.04440370452174")</f>
        <v>13.869912081174292,101.04440370452174</v>
      </c>
    </row>
    <row r="388">
      <c r="A388" s="1" t="s">
        <v>386</v>
      </c>
      <c r="C388" s="2" t="str">
        <f t="shared" ref="C388:C389" si="24">HYPERLINK("http://foursquare.com/v/4c56ae42d12a20a1f6e464bd","Durty Nelly's Irish Pub ")</f>
        <v>Durty Nelly's Irish Pub </v>
      </c>
      <c r="D388" s="3" t="str">
        <f t="shared" ref="D388:D389" si="25">IMAGE("http://maps.google.com/maps/api/staticmap?center=13.72339743542138,100.58475852012634&amp;zoom=16&amp;size=710x440&amp;maptype=roadmap&amp;sensor=false&amp;markers=color:red%7C13.72339743542138,100.58475852012634",1)</f>
        <v/>
      </c>
      <c r="E388" t="str">
        <f>IFERROR(__xludf.DUMMYFUNCTION("REGEXEXTRACT(FORMULATEXT(D388),""center=([-0-9.]+,[-0-9.]+)"")"),"13.72339743542138,100.58475852012634")</f>
        <v>13.72339743542138,100.58475852012634</v>
      </c>
    </row>
    <row r="389">
      <c r="A389" s="1" t="s">
        <v>387</v>
      </c>
      <c r="C389" s="2" t="str">
        <f t="shared" si="24"/>
        <v>Durty Nelly's Irish Pub </v>
      </c>
      <c r="D389" s="3" t="str">
        <f t="shared" si="25"/>
        <v/>
      </c>
      <c r="E389" t="str">
        <f>IFERROR(__xludf.DUMMYFUNCTION("REGEXEXTRACT(FORMULATEXT(D389),""center=([-0-9.]+,[-0-9.]+)"")"),"13.72339743542138,100.58475852012634")</f>
        <v>13.72339743542138,100.58475852012634</v>
      </c>
    </row>
    <row r="390">
      <c r="A390" s="1" t="s">
        <v>388</v>
      </c>
      <c r="C390" s="2" t="str">
        <f>HYPERLINK("http://foursquare.com/v/4b6d4f3ff964a5206b702ce3","KIS International School (โรงเรียนนานาชาติคิซ) ")</f>
        <v>KIS International School (โรงเรียนนานาชาติคิซ) </v>
      </c>
      <c r="D390" s="3" t="str">
        <f>IMAGE("http://maps.google.com/maps/api/staticmap?center=13.771357114933013,100.58940410614014&amp;zoom=16&amp;size=710x440&amp;maptype=roadmap&amp;sensor=false&amp;markers=color:red%7C13.771357114933013,100.58940410614014",1)</f>
        <v/>
      </c>
      <c r="E390" t="str">
        <f>IFERROR(__xludf.DUMMYFUNCTION("REGEXEXTRACT(FORMULATEXT(D390),""center=([-0-9.]+,[-0-9.]+)"")"),"13.771357114933013,100.58940410614014")</f>
        <v>13.771357114933013,100.58940410614014</v>
      </c>
    </row>
    <row r="391">
      <c r="A391" s="1" t="s">
        <v>389</v>
      </c>
      <c r="C391" s="2" t="str">
        <f>HYPERLINK("http://foursquare.com/v/4d8daff7d4ec8cfa82ba5f89","BELLE GRAND Phra Ram 9 ")</f>
        <v>BELLE GRAND Phra Ram 9 </v>
      </c>
      <c r="D391" s="3" t="str">
        <f>IMAGE("http://maps.google.com/maps/api/staticmap?center=13.759571092397131,100.56793145419482&amp;zoom=16&amp;size=710x440&amp;maptype=roadmap&amp;sensor=false&amp;markers=color:red%7C13.759571092397131,100.56793145419482",1)</f>
        <v/>
      </c>
      <c r="E391" t="str">
        <f>IFERROR(__xludf.DUMMYFUNCTION("REGEXEXTRACT(FORMULATEXT(D391),""center=([-0-9.]+,[-0-9.]+)"")"),"13.759571092397131,100.56793145419482")</f>
        <v>13.759571092397131,100.56793145419482</v>
      </c>
    </row>
    <row r="392">
      <c r="A392" s="1" t="s">
        <v>390</v>
      </c>
      <c r="C392" s="2" t="str">
        <f t="shared" ref="C392:C393" si="26">HYPERLINK("http://foursquare.com/v/4bc31a07920eb71301f01c2c","Night Food Stall Street ศูนย์อาหาร สุขุมวิท38 ")</f>
        <v>Night Food Stall Street ศูนย์อาหาร สุขุมวิท38 </v>
      </c>
      <c r="D392" s="3" t="str">
        <f t="shared" ref="D392:D393" si="27">IMAGE("http://maps.google.com/maps/api/staticmap?center=13.723126448894282,100.57901859283447&amp;zoom=16&amp;size=710x440&amp;maptype=roadmap&amp;sensor=false&amp;markers=color:red%7C13.723126448894282,100.57901859283447",1)</f>
        <v/>
      </c>
      <c r="E392" t="str">
        <f>IFERROR(__xludf.DUMMYFUNCTION("REGEXEXTRACT(FORMULATEXT(D392),""center=([-0-9.]+,[-0-9.]+)"")"),"13.723126448894282,100.57901859283447")</f>
        <v>13.723126448894282,100.57901859283447</v>
      </c>
    </row>
    <row r="393">
      <c r="A393" s="1" t="s">
        <v>391</v>
      </c>
      <c r="C393" s="2" t="str">
        <f t="shared" si="26"/>
        <v>Night Food Stall Street ศูนย์อาหาร สุขุมวิท38 </v>
      </c>
      <c r="D393" s="3" t="str">
        <f t="shared" si="27"/>
        <v/>
      </c>
      <c r="E393" t="str">
        <f>IFERROR(__xludf.DUMMYFUNCTION("REGEXEXTRACT(FORMULATEXT(D393),""center=([-0-9.]+,[-0-9.]+)"")"),"13.723126448894282,100.57901859283447")</f>
        <v>13.723126448894282,100.57901859283447</v>
      </c>
    </row>
    <row r="394">
      <c r="A394" s="1" t="s">
        <v>392</v>
      </c>
      <c r="C394" s="2" t="str">
        <f>HYPERLINK("http://foursquare.com/v/4d8608ba9324236a05b0da0e","Beer Vault ")</f>
        <v>Beer Vault </v>
      </c>
      <c r="D394" s="3" t="str">
        <f>IMAGE("http://maps.google.com/maps/api/staticmap?center=13.739345775400022,100.55834790847753&amp;zoom=16&amp;size=710x440&amp;maptype=roadmap&amp;sensor=false&amp;markers=color:red%7C13.739345775400022,100.55834790847753",1)</f>
        <v/>
      </c>
      <c r="E394" t="str">
        <f>IFERROR(__xludf.DUMMYFUNCTION("REGEXEXTRACT(FORMULATEXT(D394),""center=([-0-9.]+,[-0-9.]+)"")"),"13.739345775400022,100.55834790847753")</f>
        <v>13.739345775400022,100.55834790847753</v>
      </c>
    </row>
    <row r="395">
      <c r="A395" s="1" t="s">
        <v>393</v>
      </c>
      <c r="C395" s="2" t="str">
        <f>HYPERLINK("http://foursquare.com/v/4f5d6398e4b0a4baa44f3f2e","Bangkok Marriott Hotel Sukhumvit ")</f>
        <v>Bangkok Marriott Hotel Sukhumvit </v>
      </c>
      <c r="E395" t="str">
        <f>IFERROR(__xludf.DUMMYFUNCTION("REGEXEXTRACT(FORMULATEXT(D395),""center=([-0-9.]+,[-0-9.]+)"")"),"#N/A")</f>
        <v>#N/A</v>
      </c>
    </row>
    <row r="396">
      <c r="A396" s="1" t="s">
        <v>394</v>
      </c>
      <c r="C396" s="2" t="str">
        <f>HYPERLINK("http://foursquare.com/v/4b0587f7f964a5205aa922e3","Q Bar (คิวบาร์) ")</f>
        <v>Q Bar (คิวบาร์) </v>
      </c>
      <c r="E396" t="str">
        <f>IFERROR(__xludf.DUMMYFUNCTION("REGEXEXTRACT(FORMULATEXT(D396),""center=([-0-9.]+,[-0-9.]+)"")"),"#N/A")</f>
        <v>#N/A</v>
      </c>
    </row>
    <row r="397">
      <c r="A397" s="1" t="s">
        <v>395</v>
      </c>
      <c r="C397" s="2" t="str">
        <f>HYPERLINK("http://foursquare.com/v/50057e87164846c9b5a9cee3","Gateway Ekamai (เกตเวย์ เอกมัย) ゲートウェイ・エカマイ ")</f>
        <v>Gateway Ekamai (เกตเวย์ เอกมัย) ゲートウェイ・エカマイ </v>
      </c>
      <c r="E397" t="str">
        <f>IFERROR(__xludf.DUMMYFUNCTION("REGEXEXTRACT(FORMULATEXT(D397),""center=([-0-9.]+,[-0-9.]+)"")"),"#N/A")</f>
        <v>#N/A</v>
      </c>
    </row>
    <row r="398">
      <c r="A398" s="1" t="s">
        <v>396</v>
      </c>
      <c r="C398" s="2" t="str">
        <f>HYPERLINK("http://foursquare.com/v/4b0587f7f964a5206fa922e3","Bourbon St. ")</f>
        <v>Bourbon St. </v>
      </c>
      <c r="E398" t="str">
        <f>IFERROR(__xludf.DUMMYFUNCTION("REGEXEXTRACT(FORMULATEXT(D398),""center=([-0-9.]+,[-0-9.]+)"")"),"#N/A")</f>
        <v>#N/A</v>
      </c>
    </row>
    <row r="399">
      <c r="A399" s="1" t="s">
        <v>397</v>
      </c>
      <c r="C399" s="2" t="str">
        <f>HYPERLINK("http://foursquare.com/v/4b63f2f4f964a5205e982ae3","ท้องฟ้าจำลอง (Bangkok Planetarium) ")</f>
        <v>ท้องฟ้าจำลอง (Bangkok Planetarium) </v>
      </c>
      <c r="E399" t="str">
        <f>IFERROR(__xludf.DUMMYFUNCTION("REGEXEXTRACT(FORMULATEXT(D399),""center=([-0-9.]+,[-0-9.]+)"")"),"#N/A")</f>
        <v>#N/A</v>
      </c>
    </row>
    <row r="400">
      <c r="A400" s="1" t="s">
        <v>398</v>
      </c>
      <c r="C400" s="2" t="str">
        <f>HYPERLINK("http://foursquare.com/v/4b0587f7f964a5206fa922e3","Bourbon St. ")</f>
        <v>Bourbon St. </v>
      </c>
      <c r="E400" t="str">
        <f>IFERROR(__xludf.DUMMYFUNCTION("REGEXEXTRACT(FORMULATEXT(D400),""center=([-0-9.]+,[-0-9.]+)"")"),"#N/A")</f>
        <v>#N/A</v>
      </c>
    </row>
    <row r="401">
      <c r="A401" s="1" t="s">
        <v>399</v>
      </c>
      <c r="C401" s="2" t="str">
        <f>HYPERLINK("http://foursquare.com/v/4b506953f964a520832227e3","MBK Center (เอ็ม บี เค เซ็นเตอร์) ")</f>
        <v>MBK Center (เอ็ม บี เค เซ็นเตอร์) </v>
      </c>
      <c r="E401" t="str">
        <f>IFERROR(__xludf.DUMMYFUNCTION("REGEXEXTRACT(FORMULATEXT(D401),""center=([-0-9.]+,[-0-9.]+)"")"),"#N/A")</f>
        <v>#N/A</v>
      </c>
    </row>
    <row r="402">
      <c r="A402" s="1" t="s">
        <v>400</v>
      </c>
      <c r="C402" s="2" t="str">
        <f>HYPERLINK("http://foursquare.com/v/4ba7fafdf964a520dcc339e3","Embassy of the United States (สถานเอกอัครราชทูตสหรัฐอเมริกา) ")</f>
        <v>Embassy of the United States (สถานเอกอัครราชทูตสหรัฐอเมริกา) </v>
      </c>
      <c r="E402" t="str">
        <f>IFERROR(__xludf.DUMMYFUNCTION("REGEXEXTRACT(FORMULATEXT(D402),""center=([-0-9.]+,[-0-9.]+)"")"),"#N/A")</f>
        <v>#N/A</v>
      </c>
    </row>
    <row r="403">
      <c r="A403" s="1" t="s">
        <v>401</v>
      </c>
      <c r="C403" s="2" t="str">
        <f>HYPERLINK("http://foursquare.com/v/50b0ea70e4b0a0a30269c546","The Continent Hotel ")</f>
        <v>The Continent Hotel </v>
      </c>
      <c r="E403" t="str">
        <f>IFERROR(__xludf.DUMMYFUNCTION("REGEXEXTRACT(FORMULATEXT(D403),""center=([-0-9.]+,[-0-9.]+)"")"),"#N/A")</f>
        <v>#N/A</v>
      </c>
    </row>
    <row r="404">
      <c r="A404" s="1" t="s">
        <v>402</v>
      </c>
      <c r="C404" s="2" t="str">
        <f>HYPERLINK("http://foursquare.com/v/4c71d0c64bc4236a47e6c97a","Superstar Academy (โรงเรียนดนตรีและศิลปะการแสดง ซูเปอร์สตาร์) ")</f>
        <v>Superstar Academy (โรงเรียนดนตรีและศิลปะการแสดง ซูเปอร์สตาร์) </v>
      </c>
      <c r="E404" t="str">
        <f>IFERROR(__xludf.DUMMYFUNCTION("REGEXEXTRACT(FORMULATEXT(D404),""center=([-0-9.]+,[-0-9.]+)"")"),"#N/A")</f>
        <v>#N/A</v>
      </c>
    </row>
    <row r="405">
      <c r="A405" s="1" t="s">
        <v>403</v>
      </c>
      <c r="C405" s="2" t="str">
        <f>HYPERLINK("http://foursquare.com/v/4e04899c1fc71937b4cd323c","Ambassador's Court ")</f>
        <v>Ambassador's Court </v>
      </c>
      <c r="E405" t="str">
        <f>IFERROR(__xludf.DUMMYFUNCTION("REGEXEXTRACT(FORMULATEXT(D405),""center=([-0-9.]+,[-0-9.]+)"")"),"#N/A")</f>
        <v>#N/A</v>
      </c>
    </row>
    <row r="406">
      <c r="A406" s="1" t="s">
        <v>404</v>
      </c>
      <c r="C406" s="2" t="str">
        <f>HYPERLINK("http://foursquare.com/v/4b852591f964a520184e31e3","ครัวในบ้าน (Khrua Nai Baan) ")</f>
        <v>ครัวในบ้าน (Khrua Nai Baan) </v>
      </c>
      <c r="E406" t="str">
        <f>IFERROR(__xludf.DUMMYFUNCTION("REGEXEXTRACT(FORMULATEXT(D406),""center=([-0-9.]+,[-0-9.]+)"")"),"#N/A")</f>
        <v>#N/A</v>
      </c>
    </row>
    <row r="407">
      <c r="A407" s="1" t="s">
        <v>405</v>
      </c>
      <c r="C407" s="2" t="str">
        <f>HYPERLINK("http://foursquare.com/v/4c2ad1448abca593b450ff1f","Terminal 21 (เทอร์มินอล ทเวนตี้วัน) ")</f>
        <v>Terminal 21 (เทอร์มินอล ทเวนตี้วัน) </v>
      </c>
      <c r="E407" t="str">
        <f>IFERROR(__xludf.DUMMYFUNCTION("REGEXEXTRACT(FORMULATEXT(D407),""center=([-0-9.]+,[-0-9.]+)"")"),"#N/A")</f>
        <v>#N/A</v>
      </c>
    </row>
    <row r="408">
      <c r="A408" s="1" t="s">
        <v>406</v>
      </c>
      <c r="C408" s="2" t="str">
        <f>HYPERLINK("http://foursquare.com/v/4ebb9f42f5b9f8d19b36e476","Olivié Café (โอลิวิเย่ คาเฟ่) ")</f>
        <v>Olivié Café (โอลิวิเย่ คาเฟ่) </v>
      </c>
      <c r="E408" t="str">
        <f>IFERROR(__xludf.DUMMYFUNCTION("REGEXEXTRACT(FORMULATEXT(D408),""center=([-0-9.]+,[-0-9.]+)"")"),"#N/A")</f>
        <v>#N/A</v>
      </c>
    </row>
    <row r="409">
      <c r="A409" s="1" t="s">
        <v>407</v>
      </c>
      <c r="C409" s="2" t="str">
        <f>HYPERLINK("http://foursquare.com/v/5018c33ce4b05a786eee674f","The Coffee Club ")</f>
        <v>The Coffee Club </v>
      </c>
      <c r="E409" t="str">
        <f>IFERROR(__xludf.DUMMYFUNCTION("REGEXEXTRACT(FORMULATEXT(D409),""center=([-0-9.]+,[-0-9.]+)"")"),"#N/A")</f>
        <v>#N/A</v>
      </c>
    </row>
    <row r="410">
      <c r="A410" s="1" t="s">
        <v>408</v>
      </c>
      <c r="C410" s="2" t="str">
        <f>HYPERLINK("http://foursquare.com/v/4bb5deeb1344b713fcab9c04","Myeong Ga (เมียงคา) ")</f>
        <v>Myeong Ga (เมียงคา) </v>
      </c>
      <c r="E410" t="str">
        <f>IFERROR(__xludf.DUMMYFUNCTION("REGEXEXTRACT(FORMULATEXT(D410),""center=([-0-9.]+,[-0-9.]+)"")"),"#N/A")</f>
        <v>#N/A</v>
      </c>
    </row>
    <row r="411">
      <c r="A411" s="1" t="s">
        <v>409</v>
      </c>
      <c r="C411" s="2" t="str">
        <f>HYPERLINK("http://foursquare.com/v/4b2ee515f964a520f8e724e3","โรงพยาบาลพญาไท 2 (Phyathai 2 Hospital) ")</f>
        <v>โรงพยาบาลพญาไท 2 (Phyathai 2 Hospital) </v>
      </c>
      <c r="E411" t="str">
        <f>IFERROR(__xludf.DUMMYFUNCTION("REGEXEXTRACT(FORMULATEXT(D411),""center=([-0-9.]+,[-0-9.]+)"")"),"#N/A")</f>
        <v>#N/A</v>
      </c>
    </row>
    <row r="412">
      <c r="A412" s="1" t="s">
        <v>410</v>
      </c>
      <c r="C412" s="2" t="str">
        <f>HYPERLINK("http://foursquare.com/v/4ee7f10200397d4697a87834","CentralPlaza Grand Rama 9 (เซ็นทรัลพลาซา แกรนด์ พระราม 9) ")</f>
        <v>CentralPlaza Grand Rama 9 (เซ็นทรัลพลาซา แกรนด์ พระราม 9) </v>
      </c>
      <c r="E412" t="str">
        <f>IFERROR(__xludf.DUMMYFUNCTION("REGEXEXTRACT(FORMULATEXT(D412),""center=([-0-9.]+,[-0-9.]+)"")"),"#N/A")</f>
        <v>#N/A</v>
      </c>
    </row>
    <row r="413">
      <c r="A413" s="1" t="s">
        <v>411</v>
      </c>
      <c r="C413" s="2" t="str">
        <f>HYPERLINK("http://foursquare.com/v/5018c33ce4b05a786eee674f","The Coffee Club ")</f>
        <v>The Coffee Club </v>
      </c>
      <c r="E413" t="str">
        <f>IFERROR(__xludf.DUMMYFUNCTION("REGEXEXTRACT(FORMULATEXT(D413),""center=([-0-9.]+,[-0-9.]+)"")"),"#N/A")</f>
        <v>#N/A</v>
      </c>
    </row>
    <row r="414">
      <c r="A414" s="1" t="s">
        <v>412</v>
      </c>
      <c r="C414" s="2" t="str">
        <f>HYPERLINK("http://foursquare.com/v/4da8dec3561462f27d8760a6","BTS ตลาดพลู (Talat Phlu) S10 ")</f>
        <v>BTS ตลาดพลู (Talat Phlu) S10 </v>
      </c>
      <c r="E414" t="str">
        <f>IFERROR(__xludf.DUMMYFUNCTION("REGEXEXTRACT(FORMULATEXT(D414),""center=([-0-9.]+,[-0-9.]+)"")"),"#N/A")</f>
        <v>#N/A</v>
      </c>
    </row>
    <row r="415">
      <c r="A415" s="1" t="s">
        <v>413</v>
      </c>
      <c r="C415" s="2" t="str">
        <f>HYPERLINK("http://foursquare.com/v/4b4fcf6bf964a5203a1627e3","BTS วงเวียนใหญ่ (Wongwian Yai) S8 ")</f>
        <v>BTS วงเวียนใหญ่ (Wongwian Yai) S8 </v>
      </c>
      <c r="E415" t="str">
        <f>IFERROR(__xludf.DUMMYFUNCTION("REGEXEXTRACT(FORMULATEXT(D415),""center=([-0-9.]+,[-0-9.]+)"")"),"#N/A")</f>
        <v>#N/A</v>
      </c>
    </row>
    <row r="416">
      <c r="A416" s="1" t="s">
        <v>414</v>
      </c>
      <c r="C416" s="2" t="str">
        <f>HYPERLINK("http://foursquare.com/v/4bdd3897645e0f47da206b19","Sizzler (ซิซซ์เลอร์) ")</f>
        <v>Sizzler (ซิซซ์เลอร์) </v>
      </c>
      <c r="E416" t="str">
        <f>IFERROR(__xludf.DUMMYFUNCTION("REGEXEXTRACT(FORMULATEXT(D416),""center=([-0-9.]+,[-0-9.]+)"")"),"#N/A")</f>
        <v>#N/A</v>
      </c>
    </row>
    <row r="417">
      <c r="A417" s="1" t="s">
        <v>415</v>
      </c>
      <c r="C417" s="2" t="str">
        <f>HYPERLINK("http://foursquare.com/v/4b345b0cf964a520282725e3","Big C (บิ๊กซี) ")</f>
        <v>Big C (บิ๊กซี) </v>
      </c>
      <c r="E417" t="str">
        <f>IFERROR(__xludf.DUMMYFUNCTION("REGEXEXTRACT(FORMULATEXT(D417),""center=([-0-9.]+,[-0-9.]+)"")"),"#N/A")</f>
        <v>#N/A</v>
      </c>
    </row>
    <row r="418">
      <c r="A418" s="1" t="s">
        <v>416</v>
      </c>
      <c r="C418" s="2" t="str">
        <f>HYPERLINK("http://foursquare.com/v/4d24692453e4a093e70b8777","สบายใจเก็บตะวัน (Sabaijai Kebtawan) ")</f>
        <v>สบายใจเก็บตะวัน (Sabaijai Kebtawan) </v>
      </c>
      <c r="E418" t="str">
        <f>IFERROR(__xludf.DUMMYFUNCTION("REGEXEXTRACT(FORMULATEXT(D418),""center=([-0-9.]+,[-0-9.]+)"")"),"#N/A")</f>
        <v>#N/A</v>
      </c>
    </row>
    <row r="419">
      <c r="A419" s="1" t="s">
        <v>417</v>
      </c>
      <c r="C419" s="2" t="str">
        <f>HYPERLINK("http://foursquare.com/v/4b59b9a2f964a520c59428e3","J Avenue (เจ อเวนิว) ")</f>
        <v>J Avenue (เจ อเวนิว) </v>
      </c>
      <c r="E419" t="str">
        <f>IFERROR(__xludf.DUMMYFUNCTION("REGEXEXTRACT(FORMULATEXT(D419),""center=([-0-9.]+,[-0-9.]+)"")"),"#N/A")</f>
        <v>#N/A</v>
      </c>
    </row>
    <row r="420">
      <c r="A420" s="1" t="s">
        <v>417</v>
      </c>
      <c r="C420" s="2" t="str">
        <f>HYPERLINK("http://foursquare.com/v/4b40375bf964a520ebb625e3","Greyhound Café (เกรฮาวด์ คาเฟ่) ")</f>
        <v>Greyhound Café (เกรฮาวด์ คาเฟ่) </v>
      </c>
      <c r="E420" t="str">
        <f>IFERROR(__xludf.DUMMYFUNCTION("REGEXEXTRACT(FORMULATEXT(D420),""center=([-0-9.]+,[-0-9.]+)"")"),"#N/A")</f>
        <v>#N/A</v>
      </c>
    </row>
    <row r="421">
      <c r="A421" s="1" t="s">
        <v>418</v>
      </c>
      <c r="C421" s="2" t="str">
        <f>HYPERLINK("http://foursquare.com/v/5018c33ce4b05a786eee674f","The Coffee Club ")</f>
        <v>The Coffee Club </v>
      </c>
      <c r="E421" t="str">
        <f>IFERROR(__xludf.DUMMYFUNCTION("REGEXEXTRACT(FORMULATEXT(D421),""center=([-0-9.]+,[-0-9.]+)"")"),"#N/A")</f>
        <v>#N/A</v>
      </c>
    </row>
    <row r="422">
      <c r="A422" s="1" t="s">
        <v>419</v>
      </c>
      <c r="C422" s="2" t="str">
        <f>HYPERLINK("http://foursquare.com/v/4d4765359ba959411d144875","ธนาคารกสิกรไทย (KASIKORNBANK) ")</f>
        <v>ธนาคารกสิกรไทย (KASIKORNBANK) </v>
      </c>
      <c r="E422" t="str">
        <f>IFERROR(__xludf.DUMMYFUNCTION("REGEXEXTRACT(FORMULATEXT(D422),""center=([-0-9.]+,[-0-9.]+)"")"),"#N/A")</f>
        <v>#N/A</v>
      </c>
    </row>
    <row r="423">
      <c r="A423" s="1" t="s">
        <v>420</v>
      </c>
      <c r="C423" s="2" t="str">
        <f>HYPERLINK("http://foursquare.com/v/4b0587f7f964a5206fa922e3","Bourbon St. ")</f>
        <v>Bourbon St. </v>
      </c>
      <c r="E423" t="str">
        <f>IFERROR(__xludf.DUMMYFUNCTION("REGEXEXTRACT(FORMULATEXT(D423),""center=([-0-9.]+,[-0-9.]+)"")"),"#N/A")</f>
        <v>#N/A</v>
      </c>
    </row>
    <row r="424">
      <c r="A424" s="1" t="s">
        <v>421</v>
      </c>
      <c r="C424" s="2" t="str">
        <f>HYPERLINK("http://foursquare.com/v/4edae064775bcc53fb308e3d","ตลาดนัดสวนรถไฟ (Rot Fai Park Flea Market) ")</f>
        <v>ตลาดนัดสวนรถไฟ (Rot Fai Park Flea Market) </v>
      </c>
      <c r="E424" t="str">
        <f>IFERROR(__xludf.DUMMYFUNCTION("REGEXEXTRACT(FORMULATEXT(D424),""center=([-0-9.]+,[-0-9.]+)"")"),"#N/A")</f>
        <v>#N/A</v>
      </c>
    </row>
    <row r="425">
      <c r="A425" s="1" t="s">
        <v>422</v>
      </c>
      <c r="C425" s="2" t="str">
        <f>HYPERLINK("http://foursquare.com/v/4b75ed44f964a520722f2ee3","สวนวชิรเบญจทัศ (สวนรถไฟ) Vachirabenjatas Park (Rot Fai Park) ")</f>
        <v>สวนวชิรเบญจทัศ (สวนรถไฟ) Vachirabenjatas Park (Rot Fai Park) </v>
      </c>
      <c r="E425" t="str">
        <f>IFERROR(__xludf.DUMMYFUNCTION("REGEXEXTRACT(FORMULATEXT(D425),""center=([-0-9.]+,[-0-9.]+)"")"),"#N/A")</f>
        <v>#N/A</v>
      </c>
    </row>
    <row r="426">
      <c r="A426" s="1" t="s">
        <v>423</v>
      </c>
      <c r="C426" s="2" t="str">
        <f>HYPERLINK("http://foursquare.com/v/4b59c3bbf964a520cf9628e3","Bluedoor (ประตูสีฟ้า) ")</f>
        <v>Bluedoor (ประตูสีฟ้า) </v>
      </c>
      <c r="E426" t="str">
        <f>IFERROR(__xludf.DUMMYFUNCTION("REGEXEXTRACT(FORMULATEXT(D426),""center=([-0-9.]+,[-0-9.]+)"")"),"#N/A")</f>
        <v>#N/A</v>
      </c>
    </row>
    <row r="427">
      <c r="A427" s="1" t="s">
        <v>424</v>
      </c>
      <c r="C427" s="2" t="str">
        <f>HYPERLINK("http://foursquare.com/v/4cb11d7c1463a143761da3a9","Montien Riverside Hotel (โรงแรมมณเฑียร ริเวอร์ไซด์) ")</f>
        <v>Montien Riverside Hotel (โรงแรมมณเฑียร ริเวอร์ไซด์) </v>
      </c>
      <c r="E427" t="str">
        <f>IFERROR(__xludf.DUMMYFUNCTION("REGEXEXTRACT(FORMULATEXT(D427),""center=([-0-9.]+,[-0-9.]+)"")"),"#N/A")</f>
        <v>#N/A</v>
      </c>
    </row>
    <row r="428">
      <c r="A428" s="1" t="s">
        <v>425</v>
      </c>
      <c r="C428" s="2" t="str">
        <f>HYPERLINK("http://foursquare.com/v/4c71d0c64bc4236a47e6c97a","Superstar Academy (โรงเรียนดนตรีและศิลปะการแสดง ซูเปอร์สตาร์) ")</f>
        <v>Superstar Academy (โรงเรียนดนตรีและศิลปะการแสดง ซูเปอร์สตาร์) </v>
      </c>
      <c r="E428" t="str">
        <f>IFERROR(__xludf.DUMMYFUNCTION("REGEXEXTRACT(FORMULATEXT(D428),""center=([-0-9.]+,[-0-9.]+)"")"),"#N/A")</f>
        <v>#N/A</v>
      </c>
    </row>
    <row r="429">
      <c r="A429" s="1" t="s">
        <v>426</v>
      </c>
      <c r="C429" s="2" t="str">
        <f>HYPERLINK("http://foursquare.com/v/4d8daff7d4ec8cfa82ba5f89","BELLE GRAND Phra Ram 9 ")</f>
        <v>BELLE GRAND Phra Ram 9 </v>
      </c>
      <c r="E429" t="str">
        <f>IFERROR(__xludf.DUMMYFUNCTION("REGEXEXTRACT(FORMULATEXT(D429),""center=([-0-9.]+,[-0-9.]+)"")"),"#N/A")</f>
        <v>#N/A</v>
      </c>
    </row>
    <row r="430">
      <c r="A430" s="1" t="s">
        <v>427</v>
      </c>
      <c r="C430" s="2" t="str">
        <f>HYPERLINK("http://foursquare.com/v/4b45c777f964a5203a1026e3","Union Mall (ยูเนี่ยน มอลล์) ")</f>
        <v>Union Mall (ยูเนี่ยน มอลล์) </v>
      </c>
      <c r="E430" t="str">
        <f>IFERROR(__xludf.DUMMYFUNCTION("REGEXEXTRACT(FORMULATEXT(D430),""center=([-0-9.]+,[-0-9.]+)"")"),"#N/A")</f>
        <v>#N/A</v>
      </c>
    </row>
    <row r="431">
      <c r="A431" s="1" t="s">
        <v>428</v>
      </c>
      <c r="C431" s="2" t="str">
        <f>HYPERLINK("http://foursquare.com/v/502cf3b9e4b0c5661bae9325","Bombay blues ")</f>
        <v>Bombay blues </v>
      </c>
      <c r="E431" t="str">
        <f>IFERROR(__xludf.DUMMYFUNCTION("REGEXEXTRACT(FORMULATEXT(D431),""center=([-0-9.]+,[-0-9.]+)"")"),"#N/A")</f>
        <v>#N/A</v>
      </c>
    </row>
    <row r="432">
      <c r="A432" s="1" t="s">
        <v>429</v>
      </c>
      <c r="C432" s="2" t="str">
        <f>HYPERLINK("http://foursquare.com/v/4b53e66cf964a52041ae27e3","กรมการกงสุล (Department of Consular Affairs) ")</f>
        <v>กรมการกงสุล (Department of Consular Affairs) </v>
      </c>
      <c r="E432" t="str">
        <f>IFERROR(__xludf.DUMMYFUNCTION("REGEXEXTRACT(FORMULATEXT(D432),""center=([-0-9.]+,[-0-9.]+)"")"),"#N/A")</f>
        <v>#N/A</v>
      </c>
    </row>
    <row r="433">
      <c r="A433" s="1" t="s">
        <v>430</v>
      </c>
      <c r="C433" s="2" t="str">
        <f>HYPERLINK("http://foursquare.com/v/514e72b4e4b0f713b254822a","KidZania Bangkok (คิดส์ซาเนีย กรุงเทพ) ")</f>
        <v>KidZania Bangkok (คิดส์ซาเนีย กรุงเทพ) </v>
      </c>
      <c r="E433" t="str">
        <f>IFERROR(__xludf.DUMMYFUNCTION("REGEXEXTRACT(FORMULATEXT(D433),""center=([-0-9.]+,[-0-9.]+)"")"),"#N/A")</f>
        <v>#N/A</v>
      </c>
    </row>
    <row r="434">
      <c r="A434" s="1" t="s">
        <v>431</v>
      </c>
      <c r="C434" s="2" t="str">
        <f>HYPERLINK("http://foursquare.com/v/4c79d97276ce9c7400cbac0c","Cheesecake House (ชีสเค้กเฮ้าส์) ")</f>
        <v>Cheesecake House (ชีสเค้กเฮ้าส์) </v>
      </c>
      <c r="E434" t="str">
        <f>IFERROR(__xludf.DUMMYFUNCTION("REGEXEXTRACT(FORMULATEXT(D434),""center=([-0-9.]+,[-0-9.]+)"")"),"#N/A")</f>
        <v>#N/A</v>
      </c>
    </row>
    <row r="435">
      <c r="A435" s="1" t="s">
        <v>432</v>
      </c>
      <c r="C435" s="2" t="str">
        <f>HYPERLINK("http://foursquare.com/v/4b0587f7f964a5206fa922e3","Bourbon St. ")</f>
        <v>Bourbon St. </v>
      </c>
      <c r="E435" t="str">
        <f>IFERROR(__xludf.DUMMYFUNCTION("REGEXEXTRACT(FORMULATEXT(D435),""center=([-0-9.]+,[-0-9.]+)"")"),"#N/A")</f>
        <v>#N/A</v>
      </c>
    </row>
    <row r="436">
      <c r="A436" s="1" t="s">
        <v>433</v>
      </c>
      <c r="B436" s="1" t="s">
        <v>434</v>
      </c>
      <c r="C436" s="2" t="str">
        <f>HYPERLINK("http://foursquare.com/v/51c43ab2498e7b8d3ad9fe2c","てっぺん ")</f>
        <v>てっぺん </v>
      </c>
      <c r="E436" t="str">
        <f>IFERROR(__xludf.DUMMYFUNCTION("REGEXEXTRACT(FORMULATEXT(D436),""center=([-0-9.]+,[-0-9.]+)"")"),"#N/A")</f>
        <v>#N/A</v>
      </c>
    </row>
    <row r="437">
      <c r="A437" s="1" t="s">
        <v>435</v>
      </c>
      <c r="C437" s="2" t="str">
        <f>HYPERLINK("http://foursquare.com/v/50cb32f1183f0fe460cd6547","Praewa Hair Love U ")</f>
        <v>Praewa Hair Love U </v>
      </c>
      <c r="E437" t="str">
        <f>IFERROR(__xludf.DUMMYFUNCTION("REGEXEXTRACT(FORMULATEXT(D437),""center=([-0-9.]+,[-0-9.]+)"")"),"#N/A")</f>
        <v>#N/A</v>
      </c>
    </row>
    <row r="438">
      <c r="A438" s="1" t="s">
        <v>436</v>
      </c>
      <c r="C438" s="2" t="str">
        <f>HYPERLINK("http://foursquare.com/v/4b4ddbc3f964a52090d926e3","Plaza Lagoon ")</f>
        <v>Plaza Lagoon </v>
      </c>
      <c r="E438" t="str">
        <f>IFERROR(__xludf.DUMMYFUNCTION("REGEXEXTRACT(FORMULATEXT(D438),""center=([-0-9.]+,[-0-9.]+)"")"),"#N/A")</f>
        <v>#N/A</v>
      </c>
    </row>
    <row r="439">
      <c r="A439" s="1" t="s">
        <v>437</v>
      </c>
      <c r="C439" s="2" t="str">
        <f>HYPERLINK("http://foursquare.com/v/4b0587faf964a52075aa22e3","The Old Dutch ")</f>
        <v>The Old Dutch </v>
      </c>
      <c r="E439" t="str">
        <f>IFERROR(__xludf.DUMMYFUNCTION("REGEXEXTRACT(FORMULATEXT(D439),""center=([-0-9.]+,[-0-9.]+)"")"),"#N/A")</f>
        <v>#N/A</v>
      </c>
    </row>
    <row r="440">
      <c r="A440" s="1" t="s">
        <v>438</v>
      </c>
      <c r="C440" s="2" t="str">
        <f>HYPERLINK("http://foursquare.com/v/4cd6460ea5b34688e3349350","Bangjak oil station | udomsuk ")</f>
        <v>Bangjak oil station | udomsuk </v>
      </c>
      <c r="E440" t="str">
        <f>IFERROR(__xludf.DUMMYFUNCTION("REGEXEXTRACT(FORMULATEXT(D440),""center=([-0-9.]+,[-0-9.]+)"")"),"#N/A")</f>
        <v>#N/A</v>
      </c>
    </row>
    <row r="441">
      <c r="A441" s="1" t="s">
        <v>439</v>
      </c>
      <c r="C441" s="2" t="str">
        <f>HYPERLINK("http://foursquare.com/v/4c5511faa724e21e92a170f7","หอจดหมายเหตุพุทธทาส อินทปัญโญ (BIA) สวนโมกข์ กรุงเทพ ")</f>
        <v>หอจดหมายเหตุพุทธทาส อินทปัญโญ (BIA) สวนโมกข์ กรุงเทพ </v>
      </c>
      <c r="E441" t="str">
        <f>IFERROR(__xludf.DUMMYFUNCTION("REGEXEXTRACT(FORMULATEXT(D441),""center=([-0-9.]+,[-0-9.]+)"")"),"#N/A")</f>
        <v>#N/A</v>
      </c>
    </row>
    <row r="442">
      <c r="A442" s="1" t="s">
        <v>440</v>
      </c>
      <c r="C442" s="2" t="str">
        <f>HYPERLINK("http://foursquare.com/v/4c79d97276ce9c7400cbac0c","Cheesecake House (ชีสเค้กเฮ้าส์) ")</f>
        <v>Cheesecake House (ชีสเค้กเฮ้าส์) </v>
      </c>
      <c r="E442" t="str">
        <f>IFERROR(__xludf.DUMMYFUNCTION("REGEXEXTRACT(FORMULATEXT(D442),""center=([-0-9.]+,[-0-9.]+)"")"),"#N/A")</f>
        <v>#N/A</v>
      </c>
    </row>
    <row r="443">
      <c r="A443" s="1" t="s">
        <v>441</v>
      </c>
      <c r="C443" s="2" t="str">
        <f>HYPERLINK("http://foursquare.com/v/5018c33ce4b05a786eee674f","The Coffee Club ")</f>
        <v>The Coffee Club </v>
      </c>
      <c r="E443" t="str">
        <f>IFERROR(__xludf.DUMMYFUNCTION("REGEXEXTRACT(FORMULATEXT(D443),""center=([-0-9.]+,[-0-9.]+)"")"),"#N/A")</f>
        <v>#N/A</v>
      </c>
    </row>
    <row r="444">
      <c r="A444" s="1" t="s">
        <v>442</v>
      </c>
      <c r="C444" s="2" t="str">
        <f>HYPERLINK("http://foursquare.com/v/4fbdbde6e4b00375eeecb85e","Mega Plaza (เมกา พลาซ่า) ")</f>
        <v>Mega Plaza (เมกา พลาซ่า) </v>
      </c>
      <c r="E444" t="str">
        <f>IFERROR(__xludf.DUMMYFUNCTION("REGEXEXTRACT(FORMULATEXT(D444),""center=([-0-9.]+,[-0-9.]+)"")"),"#N/A")</f>
        <v>#N/A</v>
      </c>
    </row>
    <row r="445">
      <c r="A445" s="1" t="s">
        <v>443</v>
      </c>
      <c r="C445" s="2" t="str">
        <f>HYPERLINK("http://foursquare.com/v/4e842b9629c20ebbb729f163","IKEA Bangna (อิเกีย บางนา) ")</f>
        <v>IKEA Bangna (อิเกีย บางนา) </v>
      </c>
      <c r="E445" t="str">
        <f>IFERROR(__xludf.DUMMYFUNCTION("REGEXEXTRACT(FORMULATEXT(D445),""center=([-0-9.]+,[-0-9.]+)"")"),"#N/A")</f>
        <v>#N/A</v>
      </c>
    </row>
    <row r="446">
      <c r="A446" s="1" t="s">
        <v>444</v>
      </c>
      <c r="C446" s="2" t="str">
        <f>HYPERLINK("http://foursquare.com/v/4d8daff7d4ec8cfa82ba5f89","BELLE GRAND Phra Ram 9 ")</f>
        <v>BELLE GRAND Phra Ram 9 </v>
      </c>
      <c r="E446" t="str">
        <f>IFERROR(__xludf.DUMMYFUNCTION("REGEXEXTRACT(FORMULATEXT(D446),""center=([-0-9.]+,[-0-9.]+)"")"),"#N/A")</f>
        <v>#N/A</v>
      </c>
    </row>
    <row r="447">
      <c r="A447" s="1" t="s">
        <v>445</v>
      </c>
      <c r="C447" s="2" t="str">
        <f>HYPERLINK("http://foursquare.com/v/5018c33ce4b05a786eee674f","The Coffee Club ")</f>
        <v>The Coffee Club </v>
      </c>
      <c r="E447" t="str">
        <f>IFERROR(__xludf.DUMMYFUNCTION("REGEXEXTRACT(FORMULATEXT(D447),""center=([-0-9.]+,[-0-9.]+)"")"),"#N/A")</f>
        <v>#N/A</v>
      </c>
    </row>
    <row r="448">
      <c r="A448" s="1" t="s">
        <v>446</v>
      </c>
      <c r="C448" s="2" t="str">
        <f>HYPERLINK("http://foursquare.com/v/4b0587f7f964a5206fa922e3","Bourbon Street Bar &amp; Restaurant ")</f>
        <v>Bourbon Street Bar &amp; Restaurant </v>
      </c>
      <c r="E448" t="str">
        <f>IFERROR(__xludf.DUMMYFUNCTION("REGEXEXTRACT(FORMULATEXT(D448),""center=([-0-9.]+,[-0-9.]+)"")"),"#N/A")</f>
        <v>#N/A</v>
      </c>
    </row>
    <row r="449">
      <c r="A449" s="1" t="s">
        <v>447</v>
      </c>
      <c r="C449" s="2" t="str">
        <f>HYPERLINK("http://foursquare.com/v/4fe86563e4b0b484a5550c1d","ข้าวมันไก่ สูตรไหหลำ ")</f>
        <v>ข้าวมันไก่ สูตรไหหลำ </v>
      </c>
      <c r="E449" t="str">
        <f>IFERROR(__xludf.DUMMYFUNCTION("REGEXEXTRACT(FORMULATEXT(D449),""center=([-0-9.]+,[-0-9.]+)"")"),"#N/A")</f>
        <v>#N/A</v>
      </c>
    </row>
    <row r="450">
      <c r="A450" s="1" t="s">
        <v>448</v>
      </c>
      <c r="C450" s="2" t="str">
        <f>HYPERLINK("http://foursquare.com/v/5018c33ce4b05a786eee674f","The Coffee Club ")</f>
        <v>The Coffee Club </v>
      </c>
      <c r="E450" t="str">
        <f>IFERROR(__xludf.DUMMYFUNCTION("REGEXEXTRACT(FORMULATEXT(D450),""center=([-0-9.]+,[-0-9.]+)"")"),"#N/A")</f>
        <v>#N/A</v>
      </c>
    </row>
    <row r="451">
      <c r="A451" s="1" t="s">
        <v>449</v>
      </c>
      <c r="C451" s="2" t="str">
        <f>HYPERLINK("http://foursquare.com/v/4b0587f6f964a52022a922e3","Royal Orchid Sheraton Hotel &amp; Towers ")</f>
        <v>Royal Orchid Sheraton Hotel &amp; Towers </v>
      </c>
      <c r="E451" t="str">
        <f>IFERROR(__xludf.DUMMYFUNCTION("REGEXEXTRACT(FORMULATEXT(D451),""center=([-0-9.]+,[-0-9.]+)"")"),"#N/A")</f>
        <v>#N/A</v>
      </c>
    </row>
    <row r="452">
      <c r="A452" s="1" t="s">
        <v>450</v>
      </c>
      <c r="C452" s="2" t="str">
        <f>HYPERLINK("http://foursquare.com/v/4ba348b7f964a5203d3338e3","Digital Gateway (ดิจิตอล เกตเวย์) ")</f>
        <v>Digital Gateway (ดิจิตอล เกตเวย์) </v>
      </c>
      <c r="E452" t="str">
        <f>IFERROR(__xludf.DUMMYFUNCTION("REGEXEXTRACT(FORMULATEXT(D452),""center=([-0-9.]+,[-0-9.]+)"")"),"#N/A")</f>
        <v>#N/A</v>
      </c>
    </row>
    <row r="453">
      <c r="A453" s="1" t="s">
        <v>451</v>
      </c>
      <c r="C453" s="2" t="str">
        <f>HYPERLINK("http://foursquare.com/v/4b812ca4f964a520529930e3","HomePro Plus (โฮมโปร พลัส) ")</f>
        <v>HomePro Plus (โฮมโปร พลัส) </v>
      </c>
      <c r="E453" t="str">
        <f>IFERROR(__xludf.DUMMYFUNCTION("REGEXEXTRACT(FORMULATEXT(D453),""center=([-0-9.]+,[-0-9.]+)"")"),"#N/A")</f>
        <v>#N/A</v>
      </c>
    </row>
    <row r="454">
      <c r="A454" s="1" t="s">
        <v>452</v>
      </c>
      <c r="C454" s="2" t="str">
        <f>HYPERLINK("http://foursquare.com/v/4b41d1b4f964a52029c925e3","unlimit:mac ")</f>
        <v>unlimit:mac </v>
      </c>
      <c r="E454" t="str">
        <f>IFERROR(__xludf.DUMMYFUNCTION("REGEXEXTRACT(FORMULATEXT(D454),""center=([-0-9.]+,[-0-9.]+)"")"),"#N/A")</f>
        <v>#N/A</v>
      </c>
    </row>
    <row r="455">
      <c r="A455" s="1" t="s">
        <v>453</v>
      </c>
      <c r="C455" s="2" t="str">
        <f>HYPERLINK("http://foursquare.com/v/4bde4f0b6316d13ad7aaa011","Pronto Marketing World Headquarters ")</f>
        <v>Pronto Marketing World Headquarters </v>
      </c>
      <c r="E455" t="str">
        <f>IFERROR(__xludf.DUMMYFUNCTION("REGEXEXTRACT(FORMULATEXT(D455),""center=([-0-9.]+,[-0-9.]+)"")"),"#N/A")</f>
        <v>#N/A</v>
      </c>
    </row>
    <row r="456">
      <c r="A456" s="1" t="s">
        <v>454</v>
      </c>
      <c r="C456" s="2" t="str">
        <f>HYPERLINK("http://foursquare.com/v/4b373e5ef964a520194025e3","จัตุรัสจามจุรี (Chamchuri Square) ")</f>
        <v>จัตุรัสจามจุรี (Chamchuri Square) </v>
      </c>
      <c r="E456" t="str">
        <f>IFERROR(__xludf.DUMMYFUNCTION("REGEXEXTRACT(FORMULATEXT(D456),""center=([-0-9.]+,[-0-9.]+)"")"),"#N/A")</f>
        <v>#N/A</v>
      </c>
    </row>
    <row r="457">
      <c r="A457" s="1" t="s">
        <v>455</v>
      </c>
      <c r="C457" s="2" t="str">
        <f>HYPERLINK("http://foursquare.com/v/4fb601c7e4b0a804111ec5e7","HUBBA - Coworking Space ")</f>
        <v>HUBBA - Coworking Space </v>
      </c>
      <c r="E457" t="str">
        <f>IFERROR(__xludf.DUMMYFUNCTION("REGEXEXTRACT(FORMULATEXT(D457),""center=([-0-9.]+,[-0-9.]+)"")"),"#N/A")</f>
        <v>#N/A</v>
      </c>
    </row>
    <row r="458">
      <c r="A458" s="1" t="s">
        <v>456</v>
      </c>
      <c r="C458" s="2" t="str">
        <f>HYPERLINK("http://foursquare.com/v/5018c33ce4b05a786eee674f","The Coffee Club ")</f>
        <v>The Coffee Club </v>
      </c>
      <c r="E458" t="str">
        <f>IFERROR(__xludf.DUMMYFUNCTION("REGEXEXTRACT(FORMULATEXT(D458),""center=([-0-9.]+,[-0-9.]+)"")"),"#N/A")</f>
        <v>#N/A</v>
      </c>
    </row>
    <row r="459">
      <c r="A459" s="1" t="s">
        <v>457</v>
      </c>
      <c r="C459" s="2" t="str">
        <f>HYPERLINK("http://foursquare.com/v/4cc3c12406c25481d6db9247","Zaab อีลี่ ")</f>
        <v>Zaab อีลี่ </v>
      </c>
      <c r="E459" t="str">
        <f>IFERROR(__xludf.DUMMYFUNCTION("REGEXEXTRACT(FORMULATEXT(D459),""center=([-0-9.]+,[-0-9.]+)"")"),"#N/A")</f>
        <v>#N/A</v>
      </c>
    </row>
    <row r="460">
      <c r="A460" s="1" t="s">
        <v>458</v>
      </c>
      <c r="C460" s="2" t="str">
        <f>HYPERLINK("http://foursquare.com/v/4bd98c220115c9b67da47780","The Iron Fairies &amp; Co ")</f>
        <v>The Iron Fairies &amp; Co </v>
      </c>
      <c r="E460" t="str">
        <f>IFERROR(__xludf.DUMMYFUNCTION("REGEXEXTRACT(FORMULATEXT(D460),""center=([-0-9.]+,[-0-9.]+)"")"),"#N/A")</f>
        <v>#N/A</v>
      </c>
    </row>
    <row r="461">
      <c r="A461" s="1" t="s">
        <v>459</v>
      </c>
      <c r="C461" s="2" t="str">
        <f>HYPERLINK("http://foursquare.com/v/4b40375bf964a520ebb625e3","Greyhound Café (เกรฮาวด์ คาเฟ่) ")</f>
        <v>Greyhound Café (เกรฮาวด์ คาเฟ่) </v>
      </c>
      <c r="E461" t="str">
        <f>IFERROR(__xludf.DUMMYFUNCTION("REGEXEXTRACT(FORMULATEXT(D461),""center=([-0-9.]+,[-0-9.]+)"")"),"#N/A")</f>
        <v>#N/A</v>
      </c>
    </row>
    <row r="462">
      <c r="A462" s="1" t="s">
        <v>460</v>
      </c>
      <c r="C462" s="2" t="str">
        <f>HYPERLINK("http://foursquare.com/v/5249487411d280a4d4f26cc1","Mobile Monday Bangkok #7 - MoMoBKK ")</f>
        <v>Mobile Monday Bangkok #7 - MoMoBKK </v>
      </c>
      <c r="E462" t="str">
        <f>IFERROR(__xludf.DUMMYFUNCTION("REGEXEXTRACT(FORMULATEXT(D462),""center=([-0-9.]+,[-0-9.]+)"")"),"#N/A")</f>
        <v>#N/A</v>
      </c>
    </row>
    <row r="463">
      <c r="A463" s="1" t="s">
        <v>461</v>
      </c>
      <c r="C463" s="2" t="str">
        <f>HYPERLINK("http://foursquare.com/v/4bfccc40f7c82d7f484d8d04","สระว่ายน้ำ บ้านกล้วย ")</f>
        <v>สระว่ายน้ำ บ้านกล้วย </v>
      </c>
      <c r="E463" t="str">
        <f>IFERROR(__xludf.DUMMYFUNCTION("REGEXEXTRACT(FORMULATEXT(D463),""center=([-0-9.]+,[-0-9.]+)"")"),"#N/A")</f>
        <v>#N/A</v>
      </c>
    </row>
    <row r="464">
      <c r="A464" s="1" t="s">
        <v>462</v>
      </c>
      <c r="C464" s="2" t="str">
        <f>HYPERLINK("http://foursquare.com/v/4b41d1b4f964a52029c925e3","unlimit:mac ")</f>
        <v>unlimit:mac </v>
      </c>
      <c r="E464" t="str">
        <f>IFERROR(__xludf.DUMMYFUNCTION("REGEXEXTRACT(FORMULATEXT(D464),""center=([-0-9.]+,[-0-9.]+)"")"),"#N/A")</f>
        <v>#N/A</v>
      </c>
    </row>
    <row r="465">
      <c r="A465" s="1" t="s">
        <v>463</v>
      </c>
      <c r="C465" s="2" t="str">
        <f>HYPERLINK("http://foursquare.com/v/4c00c088379020a12c09477f","Samsung Service Center ")</f>
        <v>Samsung Service Center </v>
      </c>
      <c r="E465" t="str">
        <f>IFERROR(__xludf.DUMMYFUNCTION("REGEXEXTRACT(FORMULATEXT(D465),""center=([-0-9.]+,[-0-9.]+)"")"),"#N/A")</f>
        <v>#N/A</v>
      </c>
    </row>
    <row r="466">
      <c r="A466" s="1" t="s">
        <v>464</v>
      </c>
      <c r="C466" s="2" t="str">
        <f>HYPERLINK("http://foursquare.com/v/4ba1dfbbf964a520fecf37e3","Queen Sirikit National Convention Center (ศูนย์การประชุมแห่งชาติสิริกิติ์) ")</f>
        <v>Queen Sirikit National Convention Center (ศูนย์การประชุมแห่งชาติสิริกิติ์) </v>
      </c>
      <c r="E466" t="str">
        <f>IFERROR(__xludf.DUMMYFUNCTION("REGEXEXTRACT(FORMULATEXT(D466),""center=([-0-9.]+,[-0-9.]+)"")"),"#N/A")</f>
        <v>#N/A</v>
      </c>
    </row>
    <row r="467">
      <c r="A467" s="1" t="s">
        <v>465</v>
      </c>
      <c r="C467" s="2" t="str">
        <f>HYPERLINK("http://foursquare.com/v/4c849047d92ea093599a5e72","Playtime ")</f>
        <v>Playtime </v>
      </c>
      <c r="E467" t="str">
        <f>IFERROR(__xludf.DUMMYFUNCTION("REGEXEXTRACT(FORMULATEXT(D467),""center=([-0-9.]+,[-0-9.]+)"")"),"#N/A")</f>
        <v>#N/A</v>
      </c>
    </row>
    <row r="468">
      <c r="A468" s="1" t="s">
        <v>466</v>
      </c>
      <c r="C468" s="2" t="str">
        <f>HYPERLINK("http://foursquare.com/v/4b0587f7f964a5206fa922e3","Bourbon Street Bar &amp; Restaurant ")</f>
        <v>Bourbon Street Bar &amp; Restaurant </v>
      </c>
      <c r="E468" t="str">
        <f>IFERROR(__xludf.DUMMYFUNCTION("REGEXEXTRACT(FORMULATEXT(D468),""center=([-0-9.]+,[-0-9.]+)"")"),"#N/A")</f>
        <v>#N/A</v>
      </c>
    </row>
    <row r="469">
      <c r="A469" s="1" t="s">
        <v>467</v>
      </c>
      <c r="C469" s="2" t="str">
        <f>HYPERLINK("http://foursquare.com/v/4c5b88a3d25320a12406c17a","Sukumvit Hospital (โรงพยาบาลสุขุมวิท) ")</f>
        <v>Sukumvit Hospital (โรงพยาบาลสุขุมวิท) </v>
      </c>
      <c r="E469" t="str">
        <f>IFERROR(__xludf.DUMMYFUNCTION("REGEXEXTRACT(FORMULATEXT(D469),""center=([-0-9.]+,[-0-9.]+)"")"),"#N/A")</f>
        <v>#N/A</v>
      </c>
    </row>
    <row r="470">
      <c r="A470" s="1" t="s">
        <v>468</v>
      </c>
      <c r="C470" s="2" t="str">
        <f>HYPERLINK("http://foursquare.com/v/5018c33ce4b05a786eee674f","The Coffee Club ")</f>
        <v>The Coffee Club </v>
      </c>
      <c r="E470" t="str">
        <f>IFERROR(__xludf.DUMMYFUNCTION("REGEXEXTRACT(FORMULATEXT(D470),""center=([-0-9.]+,[-0-9.]+)"")"),"#N/A")</f>
        <v>#N/A</v>
      </c>
    </row>
    <row r="471">
      <c r="A471" s="1" t="s">
        <v>469</v>
      </c>
      <c r="C471" s="2" t="str">
        <f>HYPERLINK("http://foursquare.com/v/51433207e4b07932575c930b","Brotzeit ")</f>
        <v>Brotzeit </v>
      </c>
      <c r="E471" t="str">
        <f>IFERROR(__xludf.DUMMYFUNCTION("REGEXEXTRACT(FORMULATEXT(D471),""center=([-0-9.]+,[-0-9.]+)"")"),"#N/A")</f>
        <v>#N/A</v>
      </c>
    </row>
    <row r="472">
      <c r="A472" s="1" t="s">
        <v>470</v>
      </c>
      <c r="C472" s="2" t="str">
        <f>HYPERLINK("http://foursquare.com/v/4e5489b622710ebb5a8be99b","Bangkok Burger Company ")</f>
        <v>Bangkok Burger Company </v>
      </c>
      <c r="E472" t="str">
        <f>IFERROR(__xludf.DUMMYFUNCTION("REGEXEXTRACT(FORMULATEXT(D472),""center=([-0-9.]+,[-0-9.]+)"")"),"#N/A")</f>
        <v>#N/A</v>
      </c>
    </row>
    <row r="473">
      <c r="A473" s="1" t="s">
        <v>471</v>
      </c>
      <c r="C473" s="2" t="str">
        <f>HYPERLINK("http://foursquare.com/v/4dc1bded45dd6601d5cbc6e9","Supapong Condominium ")</f>
        <v>Supapong Condominium </v>
      </c>
      <c r="E473" t="str">
        <f>IFERROR(__xludf.DUMMYFUNCTION("REGEXEXTRACT(FORMULATEXT(D473),""center=([-0-9.]+,[-0-9.]+)"")"),"#N/A")</f>
        <v>#N/A</v>
      </c>
    </row>
    <row r="474">
      <c r="A474" s="1" t="s">
        <v>472</v>
      </c>
      <c r="C474" s="2" t="str">
        <f>HYPERLINK("http://foursquare.com/v/4c20b5bd8082d13a8e09f82a","สนามกีฬาหัวหมาก (Hua Mak Sports Complex) ")</f>
        <v>สนามกีฬาหัวหมาก (Hua Mak Sports Complex) </v>
      </c>
      <c r="E474" t="str">
        <f>IFERROR(__xludf.DUMMYFUNCTION("REGEXEXTRACT(FORMULATEXT(D474),""center=([-0-9.]+,[-0-9.]+)"")"),"#N/A")</f>
        <v>#N/A</v>
      </c>
    </row>
    <row r="475">
      <c r="A475" s="1" t="s">
        <v>473</v>
      </c>
      <c r="C475" s="2" t="str">
        <f>HYPERLINK("http://foursquare.com/v/4c71d0c64bc4236a47e6c97a","Superstar Academy (โรงเรียนดนตรีและศิลปะการแสดง ซูเปอร์สตาร์) ")</f>
        <v>Superstar Academy (โรงเรียนดนตรีและศิลปะการแสดง ซูเปอร์สตาร์) </v>
      </c>
      <c r="E475" t="str">
        <f>IFERROR(__xludf.DUMMYFUNCTION("REGEXEXTRACT(FORMULATEXT(D475),""center=([-0-9.]+,[-0-9.]+)"")"),"#N/A")</f>
        <v>#N/A</v>
      </c>
    </row>
    <row r="476">
      <c r="A476" s="1" t="s">
        <v>474</v>
      </c>
      <c r="C476" s="2" t="str">
        <f>HYPERLINK("http://foursquare.com/v/4b40375bf964a520ebb625e3","Greyhound Café (เกรฮาวด์ คาเฟ่) ")</f>
        <v>Greyhound Café (เกรฮาวด์ คาเฟ่) </v>
      </c>
      <c r="E476" t="str">
        <f>IFERROR(__xludf.DUMMYFUNCTION("REGEXEXTRACT(FORMULATEXT(D476),""center=([-0-9.]+,[-0-9.]+)"")"),"#N/A")</f>
        <v>#N/A</v>
      </c>
    </row>
    <row r="477">
      <c r="A477" s="1" t="s">
        <v>475</v>
      </c>
      <c r="C477" s="2" t="str">
        <f>HYPERLINK("http://foursquare.com/v/513a026fe4b01171b7467106","Maidreamin (เมดห์ดรีมมิน) めいどりーみん ")</f>
        <v>Maidreamin (เมดห์ดรีมมิน) めいどりーみん </v>
      </c>
      <c r="E477" t="str">
        <f>IFERROR(__xludf.DUMMYFUNCTION("REGEXEXTRACT(FORMULATEXT(D477),""center=([-0-9.]+,[-0-9.]+)"")"),"#N/A")</f>
        <v>#N/A</v>
      </c>
    </row>
    <row r="478">
      <c r="A478" s="1" t="s">
        <v>476</v>
      </c>
      <c r="C478" s="2" t="str">
        <f>HYPERLINK("http://foursquare.com/v/4d1de8056e8c37047308e19f","Sip Wine Bar &amp; Tasting ")</f>
        <v>Sip Wine Bar &amp; Tasting </v>
      </c>
      <c r="E478" t="str">
        <f>IFERROR(__xludf.DUMMYFUNCTION("REGEXEXTRACT(FORMULATEXT(D478),""center=([-0-9.]+,[-0-9.]+)"")"),"#N/A")</f>
        <v>#N/A</v>
      </c>
    </row>
    <row r="479">
      <c r="A479" s="1" t="s">
        <v>477</v>
      </c>
      <c r="C479" s="2" t="str">
        <f>HYPERLINK("http://foursquare.com/v/4b735951f964a52007aa2de3","Rakluke Group Co., Ltd. (บริษัท รักลูกกรุ๊ป จำกัด) ")</f>
        <v>Rakluke Group Co., Ltd. (บริษัท รักลูกกรุ๊ป จำกัด) </v>
      </c>
      <c r="E479" t="str">
        <f>IFERROR(__xludf.DUMMYFUNCTION("REGEXEXTRACT(FORMULATEXT(D479),""center=([-0-9.]+,[-0-9.]+)"")"),"#N/A")</f>
        <v>#N/A</v>
      </c>
    </row>
    <row r="480">
      <c r="A480" s="1" t="s">
        <v>478</v>
      </c>
      <c r="C480" s="2" t="str">
        <f>HYPERLINK("http://foursquare.com/v/4b0587fdf964a52034ab22e3","Siam Paragon (สยามพารากอน) ")</f>
        <v>Siam Paragon (สยามพารากอน) </v>
      </c>
      <c r="E480" t="str">
        <f>IFERROR(__xludf.DUMMYFUNCTION("REGEXEXTRACT(FORMULATEXT(D480),""center=([-0-9.]+,[-0-9.]+)"")"),"#N/A")</f>
        <v>#N/A</v>
      </c>
    </row>
    <row r="481">
      <c r="A481" s="1" t="s">
        <v>479</v>
      </c>
      <c r="C481" s="2" t="str">
        <f>HYPERLINK("http://foursquare.com/v/4ba8a50df964a52059e439e3","TrueCoffee (ทรูคอฟฟี่) ")</f>
        <v>TrueCoffee (ทรูคอฟฟี่) </v>
      </c>
      <c r="E481" t="str">
        <f>IFERROR(__xludf.DUMMYFUNCTION("REGEXEXTRACT(FORMULATEXT(D481),""center=([-0-9.]+,[-0-9.]+)"")"),"#N/A")</f>
        <v>#N/A</v>
      </c>
    </row>
    <row r="482">
      <c r="A482" s="1" t="s">
        <v>480</v>
      </c>
      <c r="C482" s="2" t="str">
        <f>HYPERLINK("http://foursquare.com/v/4bd0533afb2cce723ee03bd2","The Dynasty Hotel Bangkok (โรงแรม ไดนาสตี้ บางกอก) ")</f>
        <v>The Dynasty Hotel Bangkok (โรงแรม ไดนาสตี้ บางกอก) </v>
      </c>
      <c r="E482" t="str">
        <f>IFERROR(__xludf.DUMMYFUNCTION("REGEXEXTRACT(FORMULATEXT(D482),""center=([-0-9.]+,[-0-9.]+)"")"),"#N/A")</f>
        <v>#N/A</v>
      </c>
    </row>
    <row r="483">
      <c r="A483" s="1" t="s">
        <v>481</v>
      </c>
      <c r="C483" s="2" t="str">
        <f>HYPERLINK("http://foursquare.com/v/515e21dee4b08ba1e75a5f59","The Coffee Club ")</f>
        <v>The Coffee Club </v>
      </c>
      <c r="E483" t="str">
        <f>IFERROR(__xludf.DUMMYFUNCTION("REGEXEXTRACT(FORMULATEXT(D483),""center=([-0-9.]+,[-0-9.]+)"")"),"#N/A")</f>
        <v>#N/A</v>
      </c>
    </row>
    <row r="484">
      <c r="A484" s="1" t="s">
        <v>482</v>
      </c>
      <c r="C484" s="2" t="str">
        <f>HYPERLINK("http://foursquare.com/v/4d1de8056e8c37047308e19f","Sip Wine Bar &amp; Tasting ")</f>
        <v>Sip Wine Bar &amp; Tasting </v>
      </c>
      <c r="E484" t="str">
        <f>IFERROR(__xludf.DUMMYFUNCTION("REGEXEXTRACT(FORMULATEXT(D484),""center=([-0-9.]+,[-0-9.]+)"")"),"#N/A")</f>
        <v>#N/A</v>
      </c>
    </row>
    <row r="485">
      <c r="A485" s="1" t="s">
        <v>483</v>
      </c>
      <c r="C485" s="2" t="str">
        <f>HYPERLINK("http://foursquare.com/v/52633e5311d22d57fc0a1d0e","Xinghua School ")</f>
        <v>Xinghua School </v>
      </c>
      <c r="E485" t="str">
        <f>IFERROR(__xludf.DUMMYFUNCTION("REGEXEXTRACT(FORMULATEXT(D485),""center=([-0-9.]+,[-0-9.]+)"")"),"#N/A")</f>
        <v>#N/A</v>
      </c>
    </row>
    <row r="486">
      <c r="A486" s="1" t="s">
        <v>484</v>
      </c>
      <c r="C486" s="2" t="str">
        <f>HYPERLINK("http://foursquare.com/v/4d27e9abc406721ee9b16cb6","S&amp;P (เอสแอนด์พี) ")</f>
        <v>S&amp;P (เอสแอนด์พี) </v>
      </c>
      <c r="E486" t="str">
        <f>IFERROR(__xludf.DUMMYFUNCTION("REGEXEXTRACT(FORMULATEXT(D486),""center=([-0-9.]+,[-0-9.]+)"")"),"#N/A")</f>
        <v>#N/A</v>
      </c>
    </row>
    <row r="487">
      <c r="A487" s="1" t="s">
        <v>485</v>
      </c>
      <c r="C487" s="2" t="str">
        <f>HYPERLINK("http://foursquare.com/v/4bda65392a3a0f47fd10abb6","Asavanant Dental Clinic ")</f>
        <v>Asavanant Dental Clinic </v>
      </c>
      <c r="E487" t="str">
        <f>IFERROR(__xludf.DUMMYFUNCTION("REGEXEXTRACT(FORMULATEXT(D487),""center=([-0-9.]+,[-0-9.]+)"")"),"#N/A")</f>
        <v>#N/A</v>
      </c>
    </row>
    <row r="488">
      <c r="A488" s="1" t="s">
        <v>486</v>
      </c>
      <c r="C488" s="2" t="str">
        <f>HYPERLINK("http://foursquare.com/v/4ca8359314c337040205d23b","Denta Joy ")</f>
        <v>Denta Joy </v>
      </c>
      <c r="E488" t="str">
        <f>IFERROR(__xludf.DUMMYFUNCTION("REGEXEXTRACT(FORMULATEXT(D488),""center=([-0-9.]+,[-0-9.]+)"")"),"#N/A")</f>
        <v>#N/A</v>
      </c>
    </row>
    <row r="489">
      <c r="A489" s="1" t="s">
        <v>487</v>
      </c>
      <c r="C489" s="2" t="str">
        <f>HYPERLINK("http://foursquare.com/v/4d24692453e4a093e70b8777","สบายใจเก็บตะวัน (Sabaijai Kebtawan) ")</f>
        <v>สบายใจเก็บตะวัน (Sabaijai Kebtawan) </v>
      </c>
      <c r="E489" t="str">
        <f>IFERROR(__xludf.DUMMYFUNCTION("REGEXEXTRACT(FORMULATEXT(D489),""center=([-0-9.]+,[-0-9.]+)"")"),"#N/A")</f>
        <v>#N/A</v>
      </c>
    </row>
    <row r="490">
      <c r="A490" s="1" t="s">
        <v>488</v>
      </c>
      <c r="C490" s="2" t="str">
        <f>HYPERLINK("http://foursquare.com/v/4c7d17d6a141b1f7e0e26c79","7-eleven ตลาดสุวินทวงศ์ ")</f>
        <v>7-eleven ตลาดสุวินทวงศ์ </v>
      </c>
      <c r="E490" t="str">
        <f>IFERROR(__xludf.DUMMYFUNCTION("REGEXEXTRACT(FORMULATEXT(D490),""center=([-0-9.]+,[-0-9.]+)"")"),"#N/A")</f>
        <v>#N/A</v>
      </c>
    </row>
    <row r="491">
      <c r="A491" s="1" t="s">
        <v>489</v>
      </c>
      <c r="C491" s="2" t="str">
        <f>HYPERLINK("http://foursquare.com/v/4c677c249cb82d7f3d0e94d2","ก๋วยเตี๋ยวเป็ดตุ๋น ก๋วยจั๊บ ")</f>
        <v>ก๋วยเตี๋ยวเป็ดตุ๋น ก๋วยจั๊บ </v>
      </c>
      <c r="E491" t="str">
        <f>IFERROR(__xludf.DUMMYFUNCTION("REGEXEXTRACT(FORMULATEXT(D491),""center=([-0-9.]+,[-0-9.]+)"")"),"#N/A")</f>
        <v>#N/A</v>
      </c>
    </row>
    <row r="492">
      <c r="A492" s="1" t="s">
        <v>490</v>
      </c>
      <c r="C492" s="2" t="str">
        <f>HYPERLINK("http://foursquare.com/v/4b62b201f964a520504f2ae3","Agalico (อะกาลิโก) ")</f>
        <v>Agalico (อะกาลิโก) </v>
      </c>
      <c r="E492" t="str">
        <f>IFERROR(__xludf.DUMMYFUNCTION("REGEXEXTRACT(FORMULATEXT(D492),""center=([-0-9.]+,[-0-9.]+)"")"),"#N/A")</f>
        <v>#N/A</v>
      </c>
    </row>
    <row r="493">
      <c r="A493" s="1" t="s">
        <v>491</v>
      </c>
      <c r="C493" s="2" t="str">
        <f>HYPERLINK("http://foursquare.com/v/5018c33ce4b05a786eee674f","The Coffee Club ")</f>
        <v>The Coffee Club </v>
      </c>
      <c r="E493" t="str">
        <f>IFERROR(__xludf.DUMMYFUNCTION("REGEXEXTRACT(FORMULATEXT(D493),""center=([-0-9.]+,[-0-9.]+)"")"),"#N/A")</f>
        <v>#N/A</v>
      </c>
    </row>
    <row r="494">
      <c r="A494" s="1" t="s">
        <v>492</v>
      </c>
      <c r="C494" s="2" t="str">
        <f>HYPERLINK("http://foursquare.com/v/4d24692453e4a093e70b8777","สบายใจเก็บตะวัน (Sabaijai Kebtawan) ")</f>
        <v>สบายใจเก็บตะวัน (Sabaijai Kebtawan) </v>
      </c>
      <c r="E494" t="str">
        <f>IFERROR(__xludf.DUMMYFUNCTION("REGEXEXTRACT(FORMULATEXT(D494),""center=([-0-9.]+,[-0-9.]+)"")"),"#N/A")</f>
        <v>#N/A</v>
      </c>
    </row>
    <row r="495">
      <c r="A495" s="1" t="s">
        <v>493</v>
      </c>
      <c r="C495" s="2" t="str">
        <f>HYPERLINK("http://foursquare.com/v/4c8c9eba5e38b1f73b2533f9","ศูนย์วิทยาศาสตร์เพื่อการศึกษา (Science Center for Education) ")</f>
        <v>ศูนย์วิทยาศาสตร์เพื่อการศึกษา (Science Center for Education) </v>
      </c>
      <c r="E495" t="str">
        <f>IFERROR(__xludf.DUMMYFUNCTION("REGEXEXTRACT(FORMULATEXT(D495),""center=([-0-9.]+,[-0-9.]+)"")"),"#N/A")</f>
        <v>#N/A</v>
      </c>
    </row>
    <row r="496">
      <c r="A496" s="1" t="s">
        <v>494</v>
      </c>
      <c r="C496" s="2" t="str">
        <f>HYPERLINK("http://foursquare.com/v/5018c33ce4b05a786eee674f","The Coffee Club ")</f>
        <v>The Coffee Club </v>
      </c>
      <c r="E496" t="str">
        <f>IFERROR(__xludf.DUMMYFUNCTION("REGEXEXTRACT(FORMULATEXT(D496),""center=([-0-9.]+,[-0-9.]+)"")"),"#N/A")</f>
        <v>#N/A</v>
      </c>
    </row>
    <row r="497">
      <c r="A497" s="1" t="s">
        <v>495</v>
      </c>
      <c r="C497" s="2" t="str">
        <f>HYPERLINK("http://foursquare.com/v/4ca87e7cd971b1f7b9df14e1","My Corner Bar &amp; Bistro ")</f>
        <v>My Corner Bar &amp; Bistro </v>
      </c>
      <c r="E497" t="str">
        <f>IFERROR(__xludf.DUMMYFUNCTION("REGEXEXTRACT(FORMULATEXT(D497),""center=([-0-9.]+,[-0-9.]+)"")"),"#N/A")</f>
        <v>#N/A</v>
      </c>
    </row>
    <row r="498">
      <c r="A498" s="1" t="s">
        <v>496</v>
      </c>
      <c r="C498" s="2" t="str">
        <f>HYPERLINK("http://foursquare.com/v/4d1de8056e8c37047308e19f","Sip Wine Bar &amp; Tasting ")</f>
        <v>Sip Wine Bar &amp; Tasting </v>
      </c>
      <c r="E498" t="str">
        <f>IFERROR(__xludf.DUMMYFUNCTION("REGEXEXTRACT(FORMULATEXT(D498),""center=([-0-9.]+,[-0-9.]+)"")"),"#N/A")</f>
        <v>#N/A</v>
      </c>
    </row>
    <row r="499">
      <c r="A499" s="1" t="s">
        <v>497</v>
      </c>
      <c r="C499" s="2" t="str">
        <f>HYPERLINK("http://foursquare.com/v/4b55dfcbf964a52011f427e3","The Sports Corner ")</f>
        <v>The Sports Corner </v>
      </c>
      <c r="E499" t="str">
        <f>IFERROR(__xludf.DUMMYFUNCTION("REGEXEXTRACT(FORMULATEXT(D499),""center=([-0-9.]+,[-0-9.]+)"")"),"#N/A")</f>
        <v>#N/A</v>
      </c>
    </row>
    <row r="500">
      <c r="A500" s="1" t="s">
        <v>498</v>
      </c>
      <c r="C500" s="2" t="str">
        <f>HYPERLINK("http://foursquare.com/v/4bbd52074e069c74e3b49ee3","Rembrandt Hotel ")</f>
        <v>Rembrandt Hotel </v>
      </c>
      <c r="E500" t="str">
        <f>IFERROR(__xludf.DUMMYFUNCTION("REGEXEXTRACT(FORMULATEXT(D500),""center=([-0-9.]+,[-0-9.]+)"")"),"#N/A")</f>
        <v>#N/A</v>
      </c>
    </row>
    <row r="501">
      <c r="A501" s="1" t="s">
        <v>499</v>
      </c>
      <c r="C501" s="2" t="str">
        <f>HYPERLINK("http://foursquare.com/v/4bdfb3d0ffdec9282bf8eca1","Thailand Post (ไปรษณีย์ไทย) ")</f>
        <v>Thailand Post (ไปรษณีย์ไทย) </v>
      </c>
      <c r="E501" t="str">
        <f>IFERROR(__xludf.DUMMYFUNCTION("REGEXEXTRACT(FORMULATEXT(D501),""center=([-0-9.]+,[-0-9.]+)"")"),"#N/A")</f>
        <v>#N/A</v>
      </c>
    </row>
    <row r="502">
      <c r="A502" s="1" t="s">
        <v>500</v>
      </c>
      <c r="C502" s="2" t="str">
        <f>HYPERLINK("http://foursquare.com/v/4f76e9cbe4b0e91fa6623296","Sole Mio ")</f>
        <v>Sole Mio </v>
      </c>
      <c r="E502" t="str">
        <f>IFERROR(__xludf.DUMMYFUNCTION("REGEXEXTRACT(FORMULATEXT(D502),""center=([-0-9.]+,[-0-9.]+)"")"),"#N/A")</f>
        <v>#N/A</v>
      </c>
    </row>
    <row r="503">
      <c r="A503" s="1" t="s">
        <v>501</v>
      </c>
      <c r="C503" s="2" t="str">
        <f>HYPERLINK("http://foursquare.com/v/4e5489b622710ebb5a8be99b","Bangkok Burger Company ")</f>
        <v>Bangkok Burger Company </v>
      </c>
      <c r="E503" t="str">
        <f>IFERROR(__xludf.DUMMYFUNCTION("REGEXEXTRACT(FORMULATEXT(D503),""center=([-0-9.]+,[-0-9.]+)"")"),"#N/A")</f>
        <v>#N/A</v>
      </c>
    </row>
    <row r="504">
      <c r="A504" s="1" t="s">
        <v>502</v>
      </c>
      <c r="C504" s="2" t="str">
        <f>HYPERLINK("http://foursquare.com/v/4b0587f7f964a5206fa922e3","Bourbon Street Bar &amp; Restaurant ")</f>
        <v>Bourbon Street Bar &amp; Restaurant </v>
      </c>
      <c r="E504" t="str">
        <f>IFERROR(__xludf.DUMMYFUNCTION("REGEXEXTRACT(FORMULATEXT(D504),""center=([-0-9.]+,[-0-9.]+)"")"),"#N/A")</f>
        <v>#N/A</v>
      </c>
    </row>
    <row r="505">
      <c r="A505" s="1" t="s">
        <v>503</v>
      </c>
      <c r="C505" s="2" t="str">
        <f>HYPERLINK("http://foursquare.com/v/5129b066e4b016a0e0e6fe8a","เขาใหญ่ตำแหลก ")</f>
        <v>เขาใหญ่ตำแหลก </v>
      </c>
      <c r="E505" t="str">
        <f>IFERROR(__xludf.DUMMYFUNCTION("REGEXEXTRACT(FORMULATEXT(D505),""center=([-0-9.]+,[-0-9.]+)"")"),"#N/A")</f>
        <v>#N/A</v>
      </c>
    </row>
    <row r="506">
      <c r="A506" s="1" t="s">
        <v>504</v>
      </c>
      <c r="C506" s="2" t="str">
        <f>HYPERLINK("http://foursquare.com/v/4e83ab468b81799e94753eca","MuthiMaya Forest Pool Villa Khao Yai ")</f>
        <v>MuthiMaya Forest Pool Villa Khao Yai </v>
      </c>
      <c r="E506" t="str">
        <f>IFERROR(__xludf.DUMMYFUNCTION("REGEXEXTRACT(FORMULATEXT(D506),""center=([-0-9.]+,[-0-9.]+)"")"),"#N/A")</f>
        <v>#N/A</v>
      </c>
    </row>
    <row r="507">
      <c r="A507" s="1" t="s">
        <v>505</v>
      </c>
      <c r="C507" s="2" t="str">
        <f>HYPERLINK("http://foursquare.com/v/4da67f7e43a1a8b3179dbc60","สวนอาหารครัวหญ้าคา ")</f>
        <v>สวนอาหารครัวหญ้าคา </v>
      </c>
      <c r="E507" t="str">
        <f>IFERROR(__xludf.DUMMYFUNCTION("REGEXEXTRACT(FORMULATEXT(D507),""center=([-0-9.]+,[-0-9.]+)"")"),"#N/A")</f>
        <v>#N/A</v>
      </c>
    </row>
    <row r="508">
      <c r="A508" s="1" t="s">
        <v>506</v>
      </c>
      <c r="C508" s="2" t="str">
        <f>HYPERLINK("http://foursquare.com/v/4c4ab49c5609c9b62cfe1290","ศูนย์บริการนักท่องเที่ยว (Visitor Center) ")</f>
        <v>ศูนย์บริการนักท่องเที่ยว (Visitor Center) </v>
      </c>
      <c r="E508" t="str">
        <f>IFERROR(__xludf.DUMMYFUNCTION("REGEXEXTRACT(FORMULATEXT(D508),""center=([-0-9.]+,[-0-9.]+)"")"),"#N/A")</f>
        <v>#N/A</v>
      </c>
    </row>
    <row r="509">
      <c r="A509" s="1" t="s">
        <v>507</v>
      </c>
      <c r="C509" s="2" t="str">
        <f>HYPERLINK("http://foursquare.com/v/4f6af0ace4b0e30e0a5b5d3b","PT Station ")</f>
        <v>PT Station </v>
      </c>
      <c r="E509" t="str">
        <f>IFERROR(__xludf.DUMMYFUNCTION("REGEXEXTRACT(FORMULATEXT(D509),""center=([-0-9.]+,[-0-9.]+)"")"),"#N/A")</f>
        <v>#N/A</v>
      </c>
    </row>
    <row r="510">
      <c r="A510" s="1" t="s">
        <v>508</v>
      </c>
      <c r="C510" s="2" t="str">
        <f>HYPERLINK("http://foursquare.com/v/4e1005a518a84f0f0306dd5a","วัดสระบัว @ รังสิต คลอง11 ")</f>
        <v>วัดสระบัว @ รังสิต คลอง11 </v>
      </c>
      <c r="E510" t="str">
        <f>IFERROR(__xludf.DUMMYFUNCTION("REGEXEXTRACT(FORMULATEXT(D510),""center=([-0-9.]+,[-0-9.]+)"")"),"#N/A")</f>
        <v>#N/A</v>
      </c>
    </row>
    <row r="511">
      <c r="A511" s="1" t="s">
        <v>509</v>
      </c>
      <c r="C511" s="2" t="str">
        <f>HYPERLINK("http://foursquare.com/v/5273948b498e2e0346a06777","Street Food near 7/11 Klong 6 ")</f>
        <v>Street Food near 7/11 Klong 6 </v>
      </c>
      <c r="E511" t="str">
        <f>IFERROR(__xludf.DUMMYFUNCTION("REGEXEXTRACT(FORMULATEXT(D511),""center=([-0-9.]+,[-0-9.]+)"")"),"#N/A")</f>
        <v>#N/A</v>
      </c>
    </row>
    <row r="512">
      <c r="A512" s="1" t="s">
        <v>510</v>
      </c>
      <c r="C512" s="2" t="str">
        <f>HYPERLINK("http://foursquare.com/v/4c56397a6418a593cbd17c0e","Regent House (รีเจ้นท์เฮาส์) ")</f>
        <v>Regent House (รีเจ้นท์เฮาส์) </v>
      </c>
      <c r="E512" t="str">
        <f>IFERROR(__xludf.DUMMYFUNCTION("REGEXEXTRACT(FORMULATEXT(D512),""center=([-0-9.]+,[-0-9.]+)"")"),"#N/A")</f>
        <v>#N/A</v>
      </c>
    </row>
    <row r="513">
      <c r="A513" s="1" t="s">
        <v>511</v>
      </c>
      <c r="C513" s="2" t="str">
        <f>HYPERLINK("http://foursquare.com/v/4b55dfcbf964a52011f427e3","The Sports Corner ")</f>
        <v>The Sports Corner </v>
      </c>
      <c r="E513" t="str">
        <f>IFERROR(__xludf.DUMMYFUNCTION("REGEXEXTRACT(FORMULATEXT(D513),""center=([-0-9.]+,[-0-9.]+)"")"),"#N/A")</f>
        <v>#N/A</v>
      </c>
    </row>
    <row r="514">
      <c r="A514" s="1" t="s">
        <v>512</v>
      </c>
      <c r="C514" s="2" t="str">
        <f>HYPERLINK("http://foursquare.com/v/5113504345b00159deeed204","Hilton Sukhumvit Bangkok ")</f>
        <v>Hilton Sukhumvit Bangkok </v>
      </c>
      <c r="E514" t="str">
        <f>IFERROR(__xludf.DUMMYFUNCTION("REGEXEXTRACT(FORMULATEXT(D514),""center=([-0-9.]+,[-0-9.]+)"")"),"#N/A")</f>
        <v>#N/A</v>
      </c>
    </row>
    <row r="515">
      <c r="A515" s="1" t="s">
        <v>513</v>
      </c>
      <c r="C515" s="2" t="str">
        <f>HYPERLINK("http://foursquare.com/v/4bb849717421a59350b5c140","SHAMBAALA ตำตำ ")</f>
        <v>SHAMBAALA ตำตำ </v>
      </c>
      <c r="E515" t="str">
        <f>IFERROR(__xludf.DUMMYFUNCTION("REGEXEXTRACT(FORMULATEXT(D515),""center=([-0-9.]+,[-0-9.]+)"")"),"#N/A")</f>
        <v>#N/A</v>
      </c>
    </row>
    <row r="516">
      <c r="A516" s="1" t="s">
        <v>514</v>
      </c>
      <c r="C516" s="2" t="str">
        <f>HYPERLINK("http://foursquare.com/v/4bdd3897645e0f47da206b19","Sizzler (ซิซซ์เลอร์) ")</f>
        <v>Sizzler (ซิซซ์เลอร์) </v>
      </c>
      <c r="E516" t="str">
        <f>IFERROR(__xludf.DUMMYFUNCTION("REGEXEXTRACT(FORMULATEXT(D516),""center=([-0-9.]+,[-0-9.]+)"")"),"#N/A")</f>
        <v>#N/A</v>
      </c>
    </row>
    <row r="517">
      <c r="A517" s="1" t="s">
        <v>515</v>
      </c>
      <c r="C517" s="2" t="str">
        <f>HYPERLINK("http://foursquare.com/v/4f6441dbe4b09fcf6225f08b","Tokiya (โทกิยะ) ")</f>
        <v>Tokiya (โทกิยะ) </v>
      </c>
      <c r="E517" t="str">
        <f>IFERROR(__xludf.DUMMYFUNCTION("REGEXEXTRACT(FORMULATEXT(D517),""center=([-0-9.]+,[-0-9.]+)"")"),"#N/A")</f>
        <v>#N/A</v>
      </c>
    </row>
    <row r="518">
      <c r="A518" s="1" t="s">
        <v>516</v>
      </c>
      <c r="C518" s="2" t="str">
        <f>HYPERLINK("http://foursquare.com/v/51c99f41498e5015b4b9c01f","TanTan Izakaya Buffet ")</f>
        <v>TanTan Izakaya Buffet </v>
      </c>
      <c r="E518" t="str">
        <f>IFERROR(__xludf.DUMMYFUNCTION("REGEXEXTRACT(FORMULATEXT(D518),""center=([-0-9.]+,[-0-9.]+)"")"),"#N/A")</f>
        <v>#N/A</v>
      </c>
    </row>
    <row r="519">
      <c r="A519" s="1" t="s">
        <v>517</v>
      </c>
      <c r="C519" s="2" t="str">
        <f>HYPERLINK("http://foursquare.com/v/4d764d81ec646dcb1641f910","BTS บางนา (Bang Na) E13 ")</f>
        <v>BTS บางนา (Bang Na) E13 </v>
      </c>
      <c r="E519" t="str">
        <f>IFERROR(__xludf.DUMMYFUNCTION("REGEXEXTRACT(FORMULATEXT(D519),""center=([-0-9.]+,[-0-9.]+)"")"),"#N/A")</f>
        <v>#N/A</v>
      </c>
    </row>
    <row r="520">
      <c r="A520" s="1" t="s">
        <v>518</v>
      </c>
      <c r="C520" s="2" t="str">
        <f>HYPERLINK("http://foursquare.com/v/4c7f2c4dfb74236af789f9b9","Bangkok Patana School (โรงเรียนบางกอกพัฒนา) ")</f>
        <v>Bangkok Patana School (โรงเรียนบางกอกพัฒนา) </v>
      </c>
      <c r="E520" t="str">
        <f>IFERROR(__xludf.DUMMYFUNCTION("REGEXEXTRACT(FORMULATEXT(D520),""center=([-0-9.]+,[-0-9.]+)"")"),"#N/A")</f>
        <v>#N/A</v>
      </c>
    </row>
    <row r="521">
      <c r="A521" s="1" t="s">
        <v>519</v>
      </c>
      <c r="C521" s="2" t="str">
        <f>HYPERLINK("http://foursquare.com/v/4b0587f6f964a52002a922e3","The Sukosol (โรงแรม เดอะ สุโกศล) ")</f>
        <v>The Sukosol (โรงแรม เดอะ สุโกศล) </v>
      </c>
      <c r="E521" t="str">
        <f>IFERROR(__xludf.DUMMYFUNCTION("REGEXEXTRACT(FORMULATEXT(D521),""center=([-0-9.]+,[-0-9.]+)"")"),"#N/A")</f>
        <v>#N/A</v>
      </c>
    </row>
    <row r="522">
      <c r="A522" s="1" t="s">
        <v>520</v>
      </c>
      <c r="C522" s="2" t="str">
        <f>HYPERLINK("http://foursquare.com/v/5018c33ce4b05a786eee674f","The Coffee Club ")</f>
        <v>The Coffee Club </v>
      </c>
      <c r="E522" t="str">
        <f>IFERROR(__xludf.DUMMYFUNCTION("REGEXEXTRACT(FORMULATEXT(D522),""center=([-0-9.]+,[-0-9.]+)"")"),"#N/A")</f>
        <v>#N/A</v>
      </c>
    </row>
    <row r="523">
      <c r="A523" s="1" t="s">
        <v>521</v>
      </c>
      <c r="C523" s="2" t="str">
        <f>HYPERLINK("http://foursquare.com/v/4f910bc1e4b0fa7ccf56ca74","iberry Café (ไอเบอร์รี่ คาเฟ่) ")</f>
        <v>iberry Café (ไอเบอร์รี่ คาเฟ่) </v>
      </c>
      <c r="E523" t="str">
        <f>IFERROR(__xludf.DUMMYFUNCTION("REGEXEXTRACT(FORMULATEXT(D523),""center=([-0-9.]+,[-0-9.]+)"")"),"#N/A")</f>
        <v>#N/A</v>
      </c>
    </row>
    <row r="524">
      <c r="A524" s="1" t="s">
        <v>522</v>
      </c>
      <c r="C524" s="2" t="str">
        <f>HYPERLINK("http://foursquare.com/v/4da3f9240f578cfa0ca5c418","ปตท. (PTT) ")</f>
        <v>ปตท. (PTT) </v>
      </c>
      <c r="E524" t="str">
        <f>IFERROR(__xludf.DUMMYFUNCTION("REGEXEXTRACT(FORMULATEXT(D524),""center=([-0-9.]+,[-0-9.]+)"")"),"#N/A")</f>
        <v>#N/A</v>
      </c>
    </row>
    <row r="525">
      <c r="A525" s="1" t="s">
        <v>523</v>
      </c>
      <c r="C525" s="2" t="str">
        <f>HYPERLINK("http://foursquare.com/v/4f573d77e4b0377eeeb567c6","PTT Station Talad Kae ")</f>
        <v>PTT Station Talad Kae </v>
      </c>
      <c r="E525" t="str">
        <f>IFERROR(__xludf.DUMMYFUNCTION("REGEXEXTRACT(FORMULATEXT(D525),""center=([-0-9.]+,[-0-9.]+)"")"),"#N/A")</f>
        <v>#N/A</v>
      </c>
    </row>
    <row r="526">
      <c r="A526" s="1" t="s">
        <v>524</v>
      </c>
      <c r="C526" s="2" t="str">
        <f>HYPERLINK("http://foursquare.com/v/502e1863e4b0b5d01c7db08c","La Villa Hotel ")</f>
        <v>La Villa Hotel </v>
      </c>
      <c r="E526" t="str">
        <f>IFERROR(__xludf.DUMMYFUNCTION("REGEXEXTRACT(FORMULATEXT(D526),""center=([-0-9.]+,[-0-9.]+)"")"),"#N/A")</f>
        <v>#N/A</v>
      </c>
    </row>
    <row r="527">
      <c r="A527" s="1" t="s">
        <v>525</v>
      </c>
      <c r="C527" s="2" t="str">
        <f>HYPERLINK("http://foursquare.com/v/4cee8f38517859418edcbc8f","my Bar near Pullman ")</f>
        <v>my Bar near Pullman </v>
      </c>
      <c r="E527" t="str">
        <f>IFERROR(__xludf.DUMMYFUNCTION("REGEXEXTRACT(FORMULATEXT(D527),""center=([-0-9.]+,[-0-9.]+)"")"),"#N/A")</f>
        <v>#N/A</v>
      </c>
    </row>
    <row r="528">
      <c r="A528" s="1" t="s">
        <v>526</v>
      </c>
      <c r="C528" s="2" t="str">
        <f>HYPERLINK("http://foursquare.com/v/4bad9970f964a5201f5e3be3","Khon Kaen Airport (KKC) ท่าอากาศยานขอนแก่น ")</f>
        <v>Khon Kaen Airport (KKC) ท่าอากาศยานขอนแก่น </v>
      </c>
      <c r="E528" t="str">
        <f>IFERROR(__xludf.DUMMYFUNCTION("REGEXEXTRACT(FORMULATEXT(D528),""center=([-0-9.]+,[-0-9.]+)"")"),"#N/A")</f>
        <v>#N/A</v>
      </c>
    </row>
    <row r="529">
      <c r="A529" s="1" t="s">
        <v>527</v>
      </c>
      <c r="C529" s="2" t="str">
        <f>HYPERLINK("http://foursquare.com/v/4d71a1e7f7c38cfa31f8983d","Ubol Ratana Dam (เขื่อนอุบลรัตน์) ")</f>
        <v>Ubol Ratana Dam (เขื่อนอุบลรัตน์) </v>
      </c>
      <c r="E529" t="str">
        <f>IFERROR(__xludf.DUMMYFUNCTION("REGEXEXTRACT(FORMULATEXT(D529),""center=([-0-9.]+,[-0-9.]+)"")"),"#N/A")</f>
        <v>#N/A</v>
      </c>
    </row>
    <row r="530">
      <c r="A530" s="1" t="s">
        <v>528</v>
      </c>
      <c r="C530" s="2" t="str">
        <f>HYPERLINK("http://foursquare.com/v/4de44437ae60e7f3ac1b617e","Cafe'Amazon Ubonrat ")</f>
        <v>Cafe'Amazon Ubonrat </v>
      </c>
      <c r="E530" t="str">
        <f>IFERROR(__xludf.DUMMYFUNCTION("REGEXEXTRACT(FORMULATEXT(D530),""center=([-0-9.]+,[-0-9.]+)"")"),"#N/A")</f>
        <v>#N/A</v>
      </c>
    </row>
    <row r="531">
      <c r="A531" s="1" t="s">
        <v>529</v>
      </c>
      <c r="C531" s="2" t="str">
        <f>HYPERLINK("http://foursquare.com/v/4fb2493ce4b03df318b70e4a","แววดาวลาบก้อย ")</f>
        <v>แววดาวลาบก้อย </v>
      </c>
      <c r="E531" t="str">
        <f>IFERROR(__xludf.DUMMYFUNCTION("REGEXEXTRACT(FORMULATEXT(D531),""center=([-0-9.]+,[-0-9.]+)"")"),"#N/A")</f>
        <v>#N/A</v>
      </c>
    </row>
    <row r="532">
      <c r="A532" s="1" t="s">
        <v>530</v>
      </c>
      <c r="C532" s="2" t="str">
        <f>HYPERLINK("http://foursquare.com/v/4bc8b665c1c6eee144dbfd92","Loei Palace Hotel ")</f>
        <v>Loei Palace Hotel </v>
      </c>
      <c r="E532" t="str">
        <f>IFERROR(__xludf.DUMMYFUNCTION("REGEXEXTRACT(FORMULATEXT(D532),""center=([-0-9.]+,[-0-9.]+)"")"),"#N/A")</f>
        <v>#N/A</v>
      </c>
    </row>
    <row r="533">
      <c r="A533" s="1" t="s">
        <v>531</v>
      </c>
      <c r="C533" s="2" t="str">
        <f>HYPERLINK("http://foursquare.com/v/4d3837f6159937043af5b691","บ้านร่มไม้ ")</f>
        <v>บ้านร่มไม้ </v>
      </c>
      <c r="E533" t="str">
        <f>IFERROR(__xludf.DUMMYFUNCTION("REGEXEXTRACT(FORMULATEXT(D533),""center=([-0-9.]+,[-0-9.]+)"")"),"#N/A")</f>
        <v>#N/A</v>
      </c>
    </row>
    <row r="534">
      <c r="A534" s="1" t="s">
        <v>532</v>
      </c>
      <c r="C534" s="2" t="str">
        <f>HYPERLINK("http://foursquare.com/v/52a14f2811d27e68ad54db5a","Convenience Store ")</f>
        <v>Convenience Store </v>
      </c>
      <c r="E534" t="str">
        <f>IFERROR(__xludf.DUMMYFUNCTION("REGEXEXTRACT(FORMULATEXT(D534),""center=([-0-9.]+,[-0-9.]+)"")"),"#N/A")</f>
        <v>#N/A</v>
      </c>
    </row>
    <row r="535">
      <c r="A535" s="1" t="s">
        <v>533</v>
      </c>
      <c r="C535" s="2" t="str">
        <f>HYPERLINK("http://foursquare.com/v/4f510a5ee4b0c5e188c1a5b1","PTT อุตรดิตถ์ ")</f>
        <v>PTT อุตรดิตถ์ </v>
      </c>
      <c r="E535" t="str">
        <f>IFERROR(__xludf.DUMMYFUNCTION("REGEXEXTRACT(FORMULATEXT(D535),""center=([-0-9.]+,[-0-9.]+)"")"),"#N/A")</f>
        <v>#N/A</v>
      </c>
    </row>
    <row r="536">
      <c r="A536" s="1" t="s">
        <v>534</v>
      </c>
      <c r="C536" s="2" t="str">
        <f>HYPERLINK("http://foursquare.com/v/4bd5b8b99649ce729292511d","Seeharaj Hotel Uttaradit ")</f>
        <v>Seeharaj Hotel Uttaradit </v>
      </c>
      <c r="E536" t="str">
        <f>IFERROR(__xludf.DUMMYFUNCTION("REGEXEXTRACT(FORMULATEXT(D536),""center=([-0-9.]+,[-0-9.]+)"")"),"#N/A")</f>
        <v>#N/A</v>
      </c>
    </row>
    <row r="537">
      <c r="A537" s="1" t="s">
        <v>535</v>
      </c>
      <c r="C537" s="2" t="str">
        <f>HYPERLINK("http://foursquare.com/v/52a1d014498eb05b2c91fa16","Cha Ba ")</f>
        <v>Cha Ba </v>
      </c>
      <c r="E537" t="str">
        <f>IFERROR(__xludf.DUMMYFUNCTION("REGEXEXTRACT(FORMULATEXT(D537),""center=([-0-9.]+,[-0-9.]+)"")"),"#N/A")</f>
        <v>#N/A</v>
      </c>
    </row>
    <row r="538">
      <c r="A538" s="1" t="s">
        <v>536</v>
      </c>
      <c r="C538" s="2" t="str">
        <f>HYPERLINK("http://foursquare.com/v/4d1c07f0f8ca236a9d23f330","เขื่อนสิริกิติ์@อุตรดิตถ์ ")</f>
        <v>เขื่อนสิริกิติ์@อุตรดิตถ์ </v>
      </c>
      <c r="E538" t="str">
        <f>IFERROR(__xludf.DUMMYFUNCTION("REGEXEXTRACT(FORMULATEXT(D538),""center=([-0-9.]+,[-0-9.]+)"")"),"#N/A")</f>
        <v>#N/A</v>
      </c>
    </row>
    <row r="539">
      <c r="A539" s="1" t="s">
        <v>537</v>
      </c>
      <c r="C539" s="2" t="str">
        <f>HYPERLINK("http://foursquare.com/v/4d5757d3d1a08cfa6eb401ba","PTT@ Nakornthai ")</f>
        <v>PTT@ Nakornthai </v>
      </c>
      <c r="E539" t="str">
        <f>IFERROR(__xludf.DUMMYFUNCTION("REGEXEXTRACT(FORMULATEXT(D539),""center=([-0-9.]+,[-0-9.]+)"")"),"#N/A")</f>
        <v>#N/A</v>
      </c>
    </row>
    <row r="540">
      <c r="A540" s="1" t="s">
        <v>538</v>
      </c>
      <c r="C540" s="2" t="str">
        <f>HYPERLINK("http://foursquare.com/v/4f671526e4b075c71582978c","เพลินดาว ::Plearndao ")</f>
        <v>เพลินดาว ::Plearndao </v>
      </c>
      <c r="E540" t="str">
        <f>IFERROR(__xludf.DUMMYFUNCTION("REGEXEXTRACT(FORMULATEXT(D540),""center=([-0-9.]+,[-0-9.]+)"")"),"#N/A")</f>
        <v>#N/A</v>
      </c>
    </row>
    <row r="541">
      <c r="A541" s="1" t="s">
        <v>539</v>
      </c>
      <c r="C541" s="2" t="str">
        <f>HYPERLINK("http://foursquare.com/v/4d008cb54f56b60cfa86a237","อุทยาน ภูทับเบิก ")</f>
        <v>อุทยาน ภูทับเบิก </v>
      </c>
      <c r="E541" t="str">
        <f>IFERROR(__xludf.DUMMYFUNCTION("REGEXEXTRACT(FORMULATEXT(D541),""center=([-0-9.]+,[-0-9.]+)"")"),"#N/A")</f>
        <v>#N/A</v>
      </c>
    </row>
    <row r="542">
      <c r="A542" s="1" t="s">
        <v>540</v>
      </c>
      <c r="C542" s="2" t="str">
        <f>HYPERLINK("http://foursquare.com/v/52a3fb4b11d2934265d44b46","Caltex ")</f>
        <v>Caltex </v>
      </c>
      <c r="E542" t="str">
        <f>IFERROR(__xludf.DUMMYFUNCTION("REGEXEXTRACT(FORMULATEXT(D542),""center=([-0-9.]+,[-0-9.]+)"")"),"#N/A")</f>
        <v>#N/A</v>
      </c>
    </row>
    <row r="543">
      <c r="A543" s="1" t="s">
        <v>541</v>
      </c>
      <c r="C543" s="2" t="str">
        <f>HYPERLINK("http://foursquare.com/v/50665013e4b03ce13a6f7139","ยายบนอาหารตามสั่ง (หน้า สภ.น้ำหนาว ) ")</f>
        <v>ยายบนอาหารตามสั่ง (หน้า สภ.น้ำหนาว ) </v>
      </c>
      <c r="E543" t="str">
        <f>IFERROR(__xludf.DUMMYFUNCTION("REGEXEXTRACT(FORMULATEXT(D543),""center=([-0-9.]+,[-0-9.]+)"")"),"#N/A")</f>
        <v>#N/A</v>
      </c>
    </row>
    <row r="544">
      <c r="A544" s="1" t="s">
        <v>542</v>
      </c>
      <c r="C544" s="2" t="str">
        <f>HYPERLINK("http://foursquare.com/v/501a6977e4b0a724be49364e","Steak Khao Kho ")</f>
        <v>Steak Khao Kho </v>
      </c>
      <c r="E544" t="str">
        <f>IFERROR(__xludf.DUMMYFUNCTION("REGEXEXTRACT(FORMULATEXT(D544),""center=([-0-9.]+,[-0-9.]+)"")"),"#N/A")</f>
        <v>#N/A</v>
      </c>
    </row>
    <row r="545">
      <c r="A545" s="1" t="s">
        <v>543</v>
      </c>
      <c r="C545" s="2" t="str">
        <f>HYPERLINK("http://foursquare.com/v/4cc2a790c844721e66e7dd01","วัดพระธาตุผาซ่อนแก้ว (Wat Phra Dhat Phasornkaew) ")</f>
        <v>วัดพระธาตุผาซ่อนแก้ว (Wat Phra Dhat Phasornkaew) </v>
      </c>
      <c r="E545" t="str">
        <f>IFERROR(__xludf.DUMMYFUNCTION("REGEXEXTRACT(FORMULATEXT(D545),""center=([-0-9.]+,[-0-9.]+)"")"),"#N/A")</f>
        <v>#N/A</v>
      </c>
    </row>
    <row r="546">
      <c r="A546" s="1" t="s">
        <v>544</v>
      </c>
      <c r="C546" s="2" t="str">
        <f>HYPERLINK("http://foursquare.com/v/4e5c8804e4cd6fcf27f19d40","Big Coffee :: Khao-Khor ")</f>
        <v>Big Coffee :: Khao-Khor </v>
      </c>
      <c r="E546" t="str">
        <f>IFERROR(__xludf.DUMMYFUNCTION("REGEXEXTRACT(FORMULATEXT(D546),""center=([-0-9.]+,[-0-9.]+)"")"),"#N/A")</f>
        <v>#N/A</v>
      </c>
    </row>
    <row r="547">
      <c r="A547" s="1" t="s">
        <v>545</v>
      </c>
      <c r="C547" s="2" t="str">
        <f>HYPERLINK("http://foursquare.com/v/4d182d3abb488cfaf9eeb2d4","Esso Gas station ")</f>
        <v>Esso Gas station </v>
      </c>
      <c r="E547" t="str">
        <f>IFERROR(__xludf.DUMMYFUNCTION("REGEXEXTRACT(FORMULATEXT(D547),""center=([-0-9.]+,[-0-9.]+)"")"),"#N/A")</f>
        <v>#N/A</v>
      </c>
    </row>
    <row r="548">
      <c r="A548" s="1" t="s">
        <v>546</v>
      </c>
      <c r="C548" s="2" t="str">
        <f>HYPERLINK("http://foursquare.com/v/4d7de4a4f635236a9aa75d16","โรงแรมดีพร้อม จังหวัดชัยภูมิ ")</f>
        <v>โรงแรมดีพร้อม จังหวัดชัยภูมิ </v>
      </c>
      <c r="E548" t="str">
        <f>IFERROR(__xludf.DUMMYFUNCTION("REGEXEXTRACT(FORMULATEXT(D548),""center=([-0-9.]+,[-0-9.]+)"")"),"#N/A")</f>
        <v>#N/A</v>
      </c>
    </row>
    <row r="549">
      <c r="A549" s="1" t="s">
        <v>547</v>
      </c>
      <c r="C549" s="2" t="str">
        <f>HYPERLINK("http://foursquare.com/v/4d07539edc45a093de1ff8c6","ถนนคนเดิน Night Bazaar ")</f>
        <v>ถนนคนเดิน Night Bazaar </v>
      </c>
      <c r="E549" t="str">
        <f>IFERROR(__xludf.DUMMYFUNCTION("REGEXEXTRACT(FORMULATEXT(D549),""center=([-0-9.]+,[-0-9.]+)"")"),"#N/A")</f>
        <v>#N/A</v>
      </c>
    </row>
    <row r="550">
      <c r="A550" s="1" t="s">
        <v>548</v>
      </c>
      <c r="C550" s="2" t="str">
        <f>HYPERLINK("http://foursquare.com/v/4e131958d1647a0fff8f327e","Koh-Ber ")</f>
        <v>Koh-Ber </v>
      </c>
      <c r="E550" t="str">
        <f>IFERROR(__xludf.DUMMYFUNCTION("REGEXEXTRACT(FORMULATEXT(D550),""center=([-0-9.]+,[-0-9.]+)"")"),"#N/A")</f>
        <v>#N/A</v>
      </c>
    </row>
    <row r="551">
      <c r="A551" s="1" t="s">
        <v>549</v>
      </c>
      <c r="C551" s="2" t="str">
        <f>HYPERLINK("http://foursquare.com/v/4e29c929483bb05f058c3a27","เดือนเคียงดาว ")</f>
        <v>เดือนเคียงดาว </v>
      </c>
      <c r="E551" t="str">
        <f>IFERROR(__xludf.DUMMYFUNCTION("REGEXEXTRACT(FORMULATEXT(D551),""center=([-0-9.]+,[-0-9.]+)"")"),"#N/A")</f>
        <v>#N/A</v>
      </c>
    </row>
    <row r="552">
      <c r="A552" s="1" t="s">
        <v>550</v>
      </c>
      <c r="C552" s="2" t="str">
        <f>HYPERLINK("http://foursquare.com/v/4da1c00eb1c937043dfad4a1","Dee Prom Hotel ")</f>
        <v>Dee Prom Hotel </v>
      </c>
      <c r="E552" t="str">
        <f>IFERROR(__xludf.DUMMYFUNCTION("REGEXEXTRACT(FORMULATEXT(D552),""center=([-0-9.]+,[-0-9.]+)"")"),"#N/A")</f>
        <v>#N/A</v>
      </c>
    </row>
    <row r="553">
      <c r="A553" s="1" t="s">
        <v>551</v>
      </c>
      <c r="C553" s="2" t="str">
        <f>HYPERLINK("http://foursquare.com/v/5178ee0ae4b0046ecf3606d2","Leelawadee Resort ")</f>
        <v>Leelawadee Resort </v>
      </c>
      <c r="E553" t="str">
        <f>IFERROR(__xludf.DUMMYFUNCTION("REGEXEXTRACT(FORMULATEXT(D553),""center=([-0-9.]+,[-0-9.]+)"")"),"#N/A")</f>
        <v>#N/A</v>
      </c>
    </row>
    <row r="554">
      <c r="A554" s="1" t="s">
        <v>552</v>
      </c>
      <c r="C554" s="2" t="str">
        <f>HYPERLINK("http://foursquare.com/v/4d1ecbc22eb1f04df288e3c1","เขื่อนลำปะทาว ")</f>
        <v>เขื่อนลำปะทาว </v>
      </c>
      <c r="E554" t="str">
        <f>IFERROR(__xludf.DUMMYFUNCTION("REGEXEXTRACT(FORMULATEXT(D554),""center=([-0-9.]+,[-0-9.]+)"")"),"#N/A")</f>
        <v>#N/A</v>
      </c>
    </row>
    <row r="555">
      <c r="A555" s="1" t="s">
        <v>553</v>
      </c>
      <c r="C555" s="2" t="str">
        <f>HYPERLINK("http://foursquare.com/v/4d36d01cdb5ba35d93c73dc7","7-11 PTT แยกทางเลี่ยงบ้านเป็ด ")</f>
        <v>7-11 PTT แยกทางเลี่ยงบ้านเป็ด </v>
      </c>
      <c r="E555" t="str">
        <f>IFERROR(__xludf.DUMMYFUNCTION("REGEXEXTRACT(FORMULATEXT(D555),""center=([-0-9.]+,[-0-9.]+)"")"),"#N/A")</f>
        <v>#N/A</v>
      </c>
    </row>
    <row r="556">
      <c r="A556" s="1" t="s">
        <v>554</v>
      </c>
      <c r="C556" s="2" t="str">
        <f>HYPERLINK("http://foursquare.com/v/4bc0366d920eb713b1b1182c","Glacier Hotel ")</f>
        <v>Glacier Hotel </v>
      </c>
      <c r="E556" t="str">
        <f>IFERROR(__xludf.DUMMYFUNCTION("REGEXEXTRACT(FORMULATEXT(D556),""center=([-0-9.]+,[-0-9.]+)"")"),"#N/A")</f>
        <v>#N/A</v>
      </c>
    </row>
    <row r="557">
      <c r="A557" s="1" t="s">
        <v>555</v>
      </c>
      <c r="C557" s="2" t="str">
        <f>HYPERLINK("http://foursquare.com/v/4be3faf3b02ec9b6a7b050c0","Pomodoro ")</f>
        <v>Pomodoro </v>
      </c>
      <c r="E557" t="str">
        <f>IFERROR(__xludf.DUMMYFUNCTION("REGEXEXTRACT(FORMULATEXT(D557),""center=([-0-9.]+,[-0-9.]+)"")"),"#N/A")</f>
        <v>#N/A</v>
      </c>
    </row>
    <row r="558">
      <c r="A558" s="1" t="s">
        <v>556</v>
      </c>
      <c r="C558" s="2" t="str">
        <f>HYPERLINK("http://4sq.com/bVefGM","Glacier Hotel ")</f>
        <v>Glacier Hotel </v>
      </c>
      <c r="E558" t="str">
        <f>IFERROR(__xludf.DUMMYFUNCTION("REGEXEXTRACT(FORMULATEXT(D558),""center=([-0-9.]+,[-0-9.]+)"")"),"#N/A")</f>
        <v>#N/A</v>
      </c>
    </row>
    <row r="559">
      <c r="A559" s="1" t="s">
        <v>557</v>
      </c>
      <c r="C559" s="2" t="str">
        <f>HYPERLINK("http://4sq.com/v7DIO6","Amazon Cafe PTT ")</f>
        <v>Amazon Cafe PTT </v>
      </c>
      <c r="E559" t="str">
        <f>IFERROR(__xludf.DUMMYFUNCTION("REGEXEXTRACT(FORMULATEXT(D559),""center=([-0-9.]+,[-0-9.]+)"")"),"#N/A")</f>
        <v>#N/A</v>
      </c>
    </row>
    <row r="560">
      <c r="A560" s="1" t="s">
        <v>558</v>
      </c>
      <c r="C560" s="2" t="str">
        <f>HYPERLINK("http://4sq.com/c37Xyz","บ้านสบายดี ")</f>
        <v>บ้านสบายดี </v>
      </c>
      <c r="E560" t="str">
        <f>IFERROR(__xludf.DUMMYFUNCTION("REGEXEXTRACT(FORMULATEXT(D560),""center=([-0-9.]+,[-0-9.]+)"")"),"#N/A")</f>
        <v>#N/A</v>
      </c>
    </row>
    <row r="561">
      <c r="A561" s="1" t="s">
        <v>559</v>
      </c>
      <c r="C561" s="2" t="str">
        <f>HYPERLINK("http://4sq.com/982T1S","Pro Wash Carcare ")</f>
        <v>Pro Wash Carcare </v>
      </c>
      <c r="E561" t="str">
        <f>IFERROR(__xludf.DUMMYFUNCTION("REGEXEXTRACT(FORMULATEXT(D561),""center=([-0-9.]+,[-0-9.]+)"")"),"#N/A")</f>
        <v>#N/A</v>
      </c>
    </row>
    <row r="562">
      <c r="A562" s="1" t="s">
        <v>560</v>
      </c>
      <c r="C562" s="2" t="str">
        <f>HYPERLINK("http://4sq.com/cB0spg","Sizzler (ซิซซ์เลอร์) ")</f>
        <v>Sizzler (ซิซซ์เลอร์) </v>
      </c>
      <c r="E562" t="str">
        <f>IFERROR(__xludf.DUMMYFUNCTION("REGEXEXTRACT(FORMULATEXT(D562),""center=([-0-9.]+,[-0-9.]+)"")"),"#N/A")</f>
        <v>#N/A</v>
      </c>
    </row>
    <row r="563">
      <c r="A563" s="1" t="s">
        <v>561</v>
      </c>
      <c r="C563" s="2" t="str">
        <f>HYPERLINK("http://4sq.com/9PzEVB","Soul Food Mahanakorn ")</f>
        <v>Soul Food Mahanakorn </v>
      </c>
      <c r="E563" t="str">
        <f>IFERROR(__xludf.DUMMYFUNCTION("REGEXEXTRACT(FORMULATEXT(D563),""center=([-0-9.]+,[-0-9.]+)"")"),"#N/A")</f>
        <v>#N/A</v>
      </c>
    </row>
    <row r="564">
      <c r="A564" s="1" t="s">
        <v>562</v>
      </c>
      <c r="C564" s="2" t="str">
        <f>HYPERLINK("http://4sq.com/9gd6Dc","The Iron Fairies &amp; Co ")</f>
        <v>The Iron Fairies &amp; Co </v>
      </c>
      <c r="E564" t="str">
        <f>IFERROR(__xludf.DUMMYFUNCTION("REGEXEXTRACT(FORMULATEXT(D564),""center=([-0-9.]+,[-0-9.]+)"")"),"#N/A")</f>
        <v>#N/A</v>
      </c>
    </row>
    <row r="565">
      <c r="A565" s="1" t="s">
        <v>563</v>
      </c>
      <c r="C565" s="2" t="str">
        <f>HYPERLINK("http://4sq.com/b5xsAG","โรงพยาบาลพญาไท 1 (Phyathai 1 Hospital) ")</f>
        <v>โรงพยาบาลพญาไท 1 (Phyathai 1 Hospital) </v>
      </c>
      <c r="E565" t="str">
        <f>IFERROR(__xludf.DUMMYFUNCTION("REGEXEXTRACT(FORMULATEXT(D565),""center=([-0-9.]+,[-0-9.]+)"")"),"#N/A")</f>
        <v>#N/A</v>
      </c>
    </row>
    <row r="566">
      <c r="A566" s="1" t="s">
        <v>564</v>
      </c>
      <c r="C566" s="2" t="str">
        <f>HYPERLINK("http://4sq.com/9re5J6","Night Food Stall Street ศูนย์อาหาร สุขุมวิท38 ")</f>
        <v>Night Food Stall Street ศูนย์อาหาร สุขุมวิท38 </v>
      </c>
      <c r="E566" t="str">
        <f>IFERROR(__xludf.DUMMYFUNCTION("REGEXEXTRACT(FORMULATEXT(D566),""center=([-0-9.]+,[-0-9.]+)"")"),"#N/A")</f>
        <v>#N/A</v>
      </c>
    </row>
    <row r="567">
      <c r="A567" s="1" t="s">
        <v>565</v>
      </c>
      <c r="C567" s="2" t="str">
        <f>HYPERLINK("http://4sq.com/1egrGGW","SWAY ")</f>
        <v>SWAY </v>
      </c>
      <c r="E567" t="str">
        <f>IFERROR(__xludf.DUMMYFUNCTION("REGEXEXTRACT(FORMULATEXT(D567),""center=([-0-9.]+,[-0-9.]+)"")"),"#N/A")</f>
        <v>#N/A</v>
      </c>
    </row>
    <row r="568">
      <c r="A568" s="1" t="s">
        <v>566</v>
      </c>
      <c r="C568" s="2" t="str">
        <f>HYPERLINK("http://4sq.com/982T1S","Pro Wash Carcare ")</f>
        <v>Pro Wash Carcare </v>
      </c>
      <c r="E568" t="str">
        <f>IFERROR(__xludf.DUMMYFUNCTION("REGEXEXTRACT(FORMULATEXT(D568),""center=([-0-9.]+,[-0-9.]+)"")"),"#N/A")</f>
        <v>#N/A</v>
      </c>
    </row>
    <row r="569">
      <c r="A569" s="1" t="s">
        <v>567</v>
      </c>
      <c r="C569" s="2" t="str">
        <f>HYPERLINK("http://4sq.com/5TNFC5","Bourbon Street Bar &amp; Restaurant ")</f>
        <v>Bourbon Street Bar &amp; Restaurant </v>
      </c>
      <c r="E569" t="str">
        <f>IFERROR(__xludf.DUMMYFUNCTION("REGEXEXTRACT(FORMULATEXT(D569),""center=([-0-9.]+,[-0-9.]+)"")"),"#N/A")</f>
        <v>#N/A</v>
      </c>
    </row>
    <row r="570">
      <c r="A570" s="1" t="s">
        <v>568</v>
      </c>
      <c r="C570" s="2" t="str">
        <f>HYPERLINK("http://4sq.com/18QA8rD","Krungsri Exclusive ")</f>
        <v>Krungsri Exclusive </v>
      </c>
      <c r="E570" t="str">
        <f>IFERROR(__xludf.DUMMYFUNCTION("REGEXEXTRACT(FORMULATEXT(D570),""center=([-0-9.]+,[-0-9.]+)"")"),"#N/A")</f>
        <v>#N/A</v>
      </c>
    </row>
    <row r="571">
      <c r="A571" s="1" t="s">
        <v>569</v>
      </c>
      <c r="C571" s="2" t="str">
        <f>HYPERLINK("http://4sq.com/1cCv6AO","coutung sheep corner ")</f>
        <v>coutung sheep corner </v>
      </c>
      <c r="E571" t="str">
        <f>IFERROR(__xludf.DUMMYFUNCTION("REGEXEXTRACT(FORMULATEXT(D571),""center=([-0-9.]+,[-0-9.]+)"")"),"#N/A")</f>
        <v>#N/A</v>
      </c>
    </row>
    <row r="572">
      <c r="A572" s="1" t="s">
        <v>570</v>
      </c>
      <c r="C572" s="2" t="str">
        <f>HYPERLINK("http://4sq.com/1cCv6AO","Counting Sheep Corner ")</f>
        <v>Counting Sheep Corner </v>
      </c>
      <c r="E572" t="str">
        <f>IFERROR(__xludf.DUMMYFUNCTION("REGEXEXTRACT(FORMULATEXT(D572),""center=([-0-9.]+,[-0-9.]+)"")"),"#N/A")</f>
        <v>#N/A</v>
      </c>
    </row>
    <row r="573">
      <c r="A573" s="1" t="s">
        <v>571</v>
      </c>
      <c r="C573" s="2" t="str">
        <f>HYPERLINK("http://4sq.com/bULtt5","Pint Beer Park ")</f>
        <v>Pint Beer Park </v>
      </c>
      <c r="E573" t="str">
        <f>IFERROR(__xludf.DUMMYFUNCTION("REGEXEXTRACT(FORMULATEXT(D573),""center=([-0-9.]+,[-0-9.]+)"")"),"#N/A")</f>
        <v>#N/A</v>
      </c>
    </row>
    <row r="574">
      <c r="A574" s="1" t="s">
        <v>572</v>
      </c>
      <c r="C574" s="2" t="str">
        <f>HYPERLINK("http://4sq.com/aVUyRr","Fortune Town (ฟอร์จูนทาวน์) ")</f>
        <v>Fortune Town (ฟอร์จูนทาวน์) </v>
      </c>
      <c r="E574" t="str">
        <f>IFERROR(__xludf.DUMMYFUNCTION("REGEXEXTRACT(FORMULATEXT(D574),""center=([-0-9.]+,[-0-9.]+)"")"),"#N/A")</f>
        <v>#N/A</v>
      </c>
    </row>
    <row r="575">
      <c r="A575" s="1" t="s">
        <v>573</v>
      </c>
      <c r="C575" s="2" t="str">
        <f>HYPERLINK("http://4sq.com/9re5J6","Night Food Stall Street ศูนย์อาหาร สุขุมวิท38 ")</f>
        <v>Night Food Stall Street ศูนย์อาหาร สุขุมวิท38 </v>
      </c>
      <c r="E575" t="str">
        <f>IFERROR(__xludf.DUMMYFUNCTION("REGEXEXTRACT(FORMULATEXT(D575),""center=([-0-9.]+,[-0-9.]+)"")"),"#N/A")</f>
        <v>#N/A</v>
      </c>
    </row>
    <row r="576">
      <c r="A576" s="1" t="s">
        <v>574</v>
      </c>
      <c r="C576" s="2" t="str">
        <f>HYPERLINK("http://4sq.com/IN16pe","Megabangna (เมกาบางนา) ")</f>
        <v>Megabangna (เมกาบางนา) </v>
      </c>
      <c r="E576" t="str">
        <f>IFERROR(__xludf.DUMMYFUNCTION("REGEXEXTRACT(FORMULATEXT(D576),""center=([-0-9.]+,[-0-9.]+)"")"),"#N/A")</f>
        <v>#N/A</v>
      </c>
    </row>
    <row r="577">
      <c r="A577" s="1" t="s">
        <v>575</v>
      </c>
      <c r="C577" s="2" t="str">
        <f>HYPERLINK("http://4sq.com/JtOEww","Levels Club &amp; Lounge ")</f>
        <v>Levels Club &amp; Lounge </v>
      </c>
      <c r="E577" t="str">
        <f>IFERROR(__xludf.DUMMYFUNCTION("REGEXEXTRACT(FORMULATEXT(D577),""center=([-0-9.]+,[-0-9.]+)"")"),"#N/A")</f>
        <v>#N/A</v>
      </c>
    </row>
    <row r="578">
      <c r="A578" s="1" t="s">
        <v>576</v>
      </c>
      <c r="C578" s="2" t="str">
        <f>HYPERLINK("http://4sq.com/rYd38v","Rain Hill (เรนฮิลล์) ")</f>
        <v>Rain Hill (เรนฮิลล์) </v>
      </c>
      <c r="E578" t="str">
        <f>IFERROR(__xludf.DUMMYFUNCTION("REGEXEXTRACT(FORMULATEXT(D578),""center=([-0-9.]+,[-0-9.]+)"")"),"#N/A")</f>
        <v>#N/A</v>
      </c>
    </row>
    <row r="579">
      <c r="A579" s="1" t="s">
        <v>577</v>
      </c>
      <c r="C579" s="2" t="str">
        <f>HYPERLINK("http://4sq.com/xbqVT0","Wine Connection Tapas Bar &amp; Bistro ")</f>
        <v>Wine Connection Tapas Bar &amp; Bistro </v>
      </c>
      <c r="E579" t="str">
        <f>IFERROR(__xludf.DUMMYFUNCTION("REGEXEXTRACT(FORMULATEXT(D579),""center=([-0-9.]+,[-0-9.]+)"")"),"#N/A")</f>
        <v>#N/A</v>
      </c>
    </row>
    <row r="580">
      <c r="A580" s="1" t="s">
        <v>578</v>
      </c>
      <c r="C580" s="2" t="str">
        <f>HYPERLINK("http://4sq.com/cB0spg","Sizzler (ซิซซ์เลอร์) ")</f>
        <v>Sizzler (ซิซซ์เลอร์) </v>
      </c>
      <c r="E580" t="str">
        <f>IFERROR(__xludf.DUMMYFUNCTION("REGEXEXTRACT(FORMULATEXT(D580),""center=([-0-9.]+,[-0-9.]+)"")"),"#N/A")</f>
        <v>#N/A</v>
      </c>
    </row>
    <row r="581">
      <c r="A581" s="1" t="s">
        <v>579</v>
      </c>
      <c r="C581" s="2" t="str">
        <f>HYPERLINK("http://4sq.com/cU7tIJ","Terminal 21 (เทอร์มินอล ทเวนตี้วัน) ")</f>
        <v>Terminal 21 (เทอร์มินอล ทเวนตี้วัน) </v>
      </c>
      <c r="E581" t="str">
        <f>IFERROR(__xludf.DUMMYFUNCTION("REGEXEXTRACT(FORMULATEXT(D581),""center=([-0-9.]+,[-0-9.]+)"")"),"#N/A")</f>
        <v>#N/A</v>
      </c>
    </row>
    <row r="582">
      <c r="A582" s="1" t="s">
        <v>580</v>
      </c>
      <c r="C582" s="2" t="str">
        <f>HYPERLINK("http://4sq.com/e1dncS","สบายใจเก็บตะวัน (Sabaijai Kebtawan) ")</f>
        <v>สบายใจเก็บตะวัน (Sabaijai Kebtawan) </v>
      </c>
      <c r="E582" t="str">
        <f>IFERROR(__xludf.DUMMYFUNCTION("REGEXEXTRACT(FORMULATEXT(D582),""center=([-0-9.]+,[-0-9.]+)"")"),"#N/A")</f>
        <v>#N/A</v>
      </c>
    </row>
    <row r="583">
      <c r="A583" s="1" t="s">
        <v>581</v>
      </c>
      <c r="C583" s="2" t="str">
        <f>HYPERLINK("http://4sq.com/blKpUs","GIFT CAR WASH ")</f>
        <v>GIFT CAR WASH </v>
      </c>
      <c r="E583" t="str">
        <f>IFERROR(__xludf.DUMMYFUNCTION("REGEXEXTRACT(FORMULATEXT(D583),""center=([-0-9.]+,[-0-9.]+)"")"),"#N/A")</f>
        <v>#N/A</v>
      </c>
    </row>
    <row r="584">
      <c r="A584" s="1" t="s">
        <v>582</v>
      </c>
      <c r="C584" s="2" t="str">
        <f>HYPERLINK("http://4sq.com/9peMqH","TST Tower (ทีเอสที ทาวเวอร์) ")</f>
        <v>TST Tower (ทีเอสที ทาวเวอร์) </v>
      </c>
      <c r="E584" t="str">
        <f>IFERROR(__xludf.DUMMYFUNCTION("REGEXEXTRACT(FORMULATEXT(D584),""center=([-0-9.]+,[-0-9.]+)"")"),"#N/A")</f>
        <v>#N/A</v>
      </c>
    </row>
    <row r="585">
      <c r="A585" s="1" t="s">
        <v>583</v>
      </c>
      <c r="C585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585" t="str">
        <f>IFERROR(__xludf.DUMMYFUNCTION("REGEXEXTRACT(FORMULATEXT(D585),""center=([-0-9.]+,[-0-9.]+)"")"),"#N/A")</f>
        <v>#N/A</v>
      </c>
    </row>
    <row r="586">
      <c r="A586" s="1" t="s">
        <v>584</v>
      </c>
      <c r="C586" s="2" t="str">
        <f>HYPERLINK("http://4sq.com/5TNFC5","Bourbon Street Bar &amp; Restaurant ")</f>
        <v>Bourbon Street Bar &amp; Restaurant </v>
      </c>
      <c r="E586" t="str">
        <f>IFERROR(__xludf.DUMMYFUNCTION("REGEXEXTRACT(FORMULATEXT(D586),""center=([-0-9.]+,[-0-9.]+)"")"),"#N/A")</f>
        <v>#N/A</v>
      </c>
    </row>
    <row r="587">
      <c r="A587" s="1" t="s">
        <v>585</v>
      </c>
      <c r="C587" s="2" t="str">
        <f>HYPERLINK("http://4sq.com/a6WZZ6","กองพลทหารม้าที่ 2 รักษาพระองค์ (King's Guard, 2nd Cavalry Division) ")</f>
        <v>กองพลทหารม้าที่ 2 รักษาพระองค์ (King's Guard, 2nd Cavalry Division) </v>
      </c>
      <c r="E587" t="str">
        <f>IFERROR(__xludf.DUMMYFUNCTION("REGEXEXTRACT(FORMULATEXT(D587),""center=([-0-9.]+,[-0-9.]+)"")"),"#N/A")</f>
        <v>#N/A</v>
      </c>
    </row>
    <row r="588">
      <c r="A588" s="1" t="s">
        <v>586</v>
      </c>
      <c r="C588" s="2" t="str">
        <f>HYPERLINK("http://4sq.com/bxPO37","White Cafe ")</f>
        <v>White Cafe </v>
      </c>
      <c r="E588" t="str">
        <f>IFERROR(__xludf.DUMMYFUNCTION("REGEXEXTRACT(FORMULATEXT(D588),""center=([-0-9.]+,[-0-9.]+)"")"),"#N/A")</f>
        <v>#N/A</v>
      </c>
    </row>
    <row r="589">
      <c r="A589" s="1" t="s">
        <v>587</v>
      </c>
      <c r="C589" s="2" t="str">
        <f>HYPERLINK("http://4sq.com/4SKUa9","Emporium (เอ็มโพเรียม) ")</f>
        <v>Emporium (เอ็มโพเรียม) </v>
      </c>
      <c r="E589" t="str">
        <f>IFERROR(__xludf.DUMMYFUNCTION("REGEXEXTRACT(FORMULATEXT(D589),""center=([-0-9.]+,[-0-9.]+)"")"),"#N/A")</f>
        <v>#N/A</v>
      </c>
    </row>
    <row r="590">
      <c r="A590" s="1" t="s">
        <v>588</v>
      </c>
      <c r="C590" s="2" t="str">
        <f>HYPERLINK("http://4sq.com/dCUdzC","Roof ")</f>
        <v>Roof </v>
      </c>
      <c r="E590" t="str">
        <f>IFERROR(__xludf.DUMMYFUNCTION("REGEXEXTRACT(FORMULATEXT(D590),""center=([-0-9.]+,[-0-9.]+)"")"),"#N/A")</f>
        <v>#N/A</v>
      </c>
    </row>
    <row r="591">
      <c r="A591" s="1" t="s">
        <v>589</v>
      </c>
      <c r="C591" s="2" t="str">
        <f>HYPERLINK("http://4sq.com/XNoqwI","Superbdog ")</f>
        <v>Superbdog </v>
      </c>
      <c r="E591" t="str">
        <f>IFERROR(__xludf.DUMMYFUNCTION("REGEXEXTRACT(FORMULATEXT(D591),""center=([-0-9.]+,[-0-9.]+)"")"),"#N/A")</f>
        <v>#N/A</v>
      </c>
    </row>
    <row r="592">
      <c r="A592" s="1" t="s">
        <v>590</v>
      </c>
      <c r="C592" s="2" t="str">
        <f>HYPERLINK("http://4sq.com/6l7Wbj","Cheap Charlie's ")</f>
        <v>Cheap Charlie's </v>
      </c>
      <c r="E592" t="str">
        <f>IFERROR(__xludf.DUMMYFUNCTION("REGEXEXTRACT(FORMULATEXT(D592),""center=([-0-9.]+,[-0-9.]+)"")"),"#N/A")</f>
        <v>#N/A</v>
      </c>
    </row>
    <row r="593">
      <c r="A593" s="1" t="s">
        <v>591</v>
      </c>
      <c r="C593" s="2" t="str">
        <f>HYPERLINK("http://4sq.com/vZ8hSD","Coffee Model (คอฟฟี่ โมเดล) ")</f>
        <v>Coffee Model (คอฟฟี่ โมเดล) </v>
      </c>
      <c r="E593" t="str">
        <f>IFERROR(__xludf.DUMMYFUNCTION("REGEXEXTRACT(FORMULATEXT(D593),""center=([-0-9.]+,[-0-9.]+)"")"),"#N/A")</f>
        <v>#N/A</v>
      </c>
    </row>
    <row r="594">
      <c r="A594" s="1" t="s">
        <v>592</v>
      </c>
      <c r="C594" s="2" t="str">
        <f>HYPERLINK("http://4sq.com/c6xmZI","Garden Cliff Resort and Spa ")</f>
        <v>Garden Cliff Resort and Spa </v>
      </c>
      <c r="E594" t="str">
        <f>IFERROR(__xludf.DUMMYFUNCTION("REGEXEXTRACT(FORMULATEXT(D594),""center=([-0-9.]+,[-0-9.]+)"")"),"#N/A")</f>
        <v>#N/A</v>
      </c>
    </row>
    <row r="595">
      <c r="A595" s="1" t="s">
        <v>593</v>
      </c>
      <c r="C595" s="2" t="str">
        <f>HYPERLINK("http://4sq.com/9d5dId","Underwater World Pattaya (อันเดอร์ วอเตอร์ เวิล์ด พัทยา) ")</f>
        <v>Underwater World Pattaya (อันเดอร์ วอเตอร์ เวิล์ด พัทยา) </v>
      </c>
      <c r="E595" t="str">
        <f>IFERROR(__xludf.DUMMYFUNCTION("REGEXEXTRACT(FORMULATEXT(D595),""center=([-0-9.]+,[-0-9.]+)"")"),"#N/A")</f>
        <v>#N/A</v>
      </c>
    </row>
    <row r="596">
      <c r="A596" s="1" t="s">
        <v>594</v>
      </c>
      <c r="C596" s="2" t="str">
        <f>HYPERLINK("http://4sq.com/fCa2On","Sketch Book Art Cafe ")</f>
        <v>Sketch Book Art Cafe </v>
      </c>
      <c r="E596" t="str">
        <f>IFERROR(__xludf.DUMMYFUNCTION("REGEXEXTRACT(FORMULATEXT(D596),""center=([-0-9.]+,[-0-9.]+)"")"),"#N/A")</f>
        <v>#N/A</v>
      </c>
    </row>
    <row r="597">
      <c r="A597" s="1" t="s">
        <v>595</v>
      </c>
      <c r="C597" s="2" t="str">
        <f>HYPERLINK("http://4sq.com/MifImD","The Coffee Club ")</f>
        <v>The Coffee Club </v>
      </c>
      <c r="E597" t="str">
        <f>IFERROR(__xludf.DUMMYFUNCTION("REGEXEXTRACT(FORMULATEXT(D597),""center=([-0-9.]+,[-0-9.]+)"")"),"#N/A")</f>
        <v>#N/A</v>
      </c>
    </row>
    <row r="598">
      <c r="A598" s="1" t="s">
        <v>596</v>
      </c>
      <c r="C598" s="2" t="str">
        <f>HYPERLINK("http://4sq.com/6MtzKx","Bacco ")</f>
        <v>Bacco </v>
      </c>
      <c r="E598" t="str">
        <f>IFERROR(__xludf.DUMMYFUNCTION("REGEXEXTRACT(FORMULATEXT(D598),""center=([-0-9.]+,[-0-9.]+)"")"),"#N/A")</f>
        <v>#N/A</v>
      </c>
    </row>
    <row r="599">
      <c r="A599" s="1" t="s">
        <v>597</v>
      </c>
      <c r="C599" s="2" t="str">
        <f>HYPERLINK("http://4sq.com/15KnGOX","Something Elf ")</f>
        <v>Something Elf </v>
      </c>
      <c r="E599" t="str">
        <f>IFERROR(__xludf.DUMMYFUNCTION("REGEXEXTRACT(FORMULATEXT(D599),""center=([-0-9.]+,[-0-9.]+)"")"),"#N/A")</f>
        <v>#N/A</v>
      </c>
    </row>
    <row r="600">
      <c r="A600" s="1" t="s">
        <v>598</v>
      </c>
      <c r="C600" s="2" t="str">
        <f>HYPERLINK("http://4sq.com/MifImD","The Coffee Club ")</f>
        <v>The Coffee Club </v>
      </c>
      <c r="E600" t="str">
        <f>IFERROR(__xludf.DUMMYFUNCTION("REGEXEXTRACT(FORMULATEXT(D600),""center=([-0-9.]+,[-0-9.]+)"")"),"#N/A")</f>
        <v>#N/A</v>
      </c>
    </row>
    <row r="601">
      <c r="A601" s="1" t="s">
        <v>599</v>
      </c>
      <c r="C601" s="2" t="str">
        <f>HYPERLINK("http://4sq.com/6faMgT","Siam Paragon (สยามพารากอน) ")</f>
        <v>Siam Paragon (สยามพารากอน) </v>
      </c>
      <c r="E601" t="str">
        <f>IFERROR(__xludf.DUMMYFUNCTION("REGEXEXTRACT(FORMULATEXT(D601),""center=([-0-9.]+,[-0-9.]+)"")"),"#N/A")</f>
        <v>#N/A</v>
      </c>
    </row>
    <row r="602">
      <c r="A602" s="1" t="s">
        <v>600</v>
      </c>
      <c r="C602" s="2" t="str">
        <f>HYPERLINK("http://4sq.com/cJzB4r","Montien Riverside Hotel (โรงแรมมณเฑียร ริเวอร์ไซด์) ")</f>
        <v>Montien Riverside Hotel (โรงแรมมณเฑียร ริเวอร์ไซด์) </v>
      </c>
      <c r="E602" t="str">
        <f>IFERROR(__xludf.DUMMYFUNCTION("REGEXEXTRACT(FORMULATEXT(D602),""center=([-0-9.]+,[-0-9.]+)"")"),"#N/A")</f>
        <v>#N/A</v>
      </c>
    </row>
    <row r="603">
      <c r="A603" s="1" t="s">
        <v>601</v>
      </c>
      <c r="C603" s="2" t="str">
        <f>HYPERLINK("http://4sq.com/e1dncS","สบายใจเก็บตะวัน (Sabaijai Kebtawan) ")</f>
        <v>สบายใจเก็บตะวัน (Sabaijai Kebtawan) </v>
      </c>
      <c r="E603" t="str">
        <f>IFERROR(__xludf.DUMMYFUNCTION("REGEXEXTRACT(FORMULATEXT(D603),""center=([-0-9.]+,[-0-9.]+)"")"),"#N/A")</f>
        <v>#N/A</v>
      </c>
    </row>
    <row r="604">
      <c r="A604" s="1" t="s">
        <v>602</v>
      </c>
      <c r="C604" s="2" t="str">
        <f>HYPERLINK("http://4sq.com/1boez3y","Mikkeller Bangkok ")</f>
        <v>Mikkeller Bangkok </v>
      </c>
      <c r="E604" t="str">
        <f>IFERROR(__xludf.DUMMYFUNCTION("REGEXEXTRACT(FORMULATEXT(D604),""center=([-0-9.]+,[-0-9.]+)"")"),"#N/A")</f>
        <v>#N/A</v>
      </c>
    </row>
    <row r="605">
      <c r="A605" s="1" t="s">
        <v>603</v>
      </c>
      <c r="C605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  <c r="E605" t="str">
        <f>IFERROR(__xludf.DUMMYFUNCTION("REGEXEXTRACT(FORMULATEXT(D605),""center=([-0-9.]+,[-0-9.]+)"")"),"#N/A")</f>
        <v>#N/A</v>
      </c>
    </row>
    <row r="606">
      <c r="A606" s="1" t="s">
        <v>603</v>
      </c>
      <c r="C606" s="2" t="str">
        <f>HYPERLINK("http://4sq.com/TzpFJ3","Molly Fantasy ")</f>
        <v>Molly Fantasy </v>
      </c>
      <c r="E606" t="str">
        <f>IFERROR(__xludf.DUMMYFUNCTION("REGEXEXTRACT(FORMULATEXT(D606),""center=([-0-9.]+,[-0-9.]+)"")"),"#N/A")</f>
        <v>#N/A</v>
      </c>
    </row>
    <row r="607">
      <c r="A607" s="1" t="s">
        <v>604</v>
      </c>
      <c r="C607" s="2" t="str">
        <f>HYPERLINK("http://4sq.com/NmSJqQ","Tomato Noodle (มะเขือเทศราเมน) ")</f>
        <v>Tomato Noodle (มะเขือเทศราเมน) </v>
      </c>
      <c r="E607" t="str">
        <f>IFERROR(__xludf.DUMMYFUNCTION("REGEXEXTRACT(FORMULATEXT(D607),""center=([-0-9.]+,[-0-9.]+)"")"),"#N/A")</f>
        <v>#N/A</v>
      </c>
    </row>
    <row r="608">
      <c r="A608" s="1" t="s">
        <v>605</v>
      </c>
      <c r="C608" s="2" t="str">
        <f>HYPERLINK("http://4sq.com/5TNFC5","Bourbon Street Bar &amp; Restaurant ")</f>
        <v>Bourbon Street Bar &amp; Restaurant </v>
      </c>
      <c r="E608" t="str">
        <f>IFERROR(__xludf.DUMMYFUNCTION("REGEXEXTRACT(FORMULATEXT(D608),""center=([-0-9.]+,[-0-9.]+)"")"),"#N/A")</f>
        <v>#N/A</v>
      </c>
    </row>
    <row r="609">
      <c r="A609" s="1" t="s">
        <v>606</v>
      </c>
      <c r="C609" s="2" t="str">
        <f>HYPERLINK("http://4sq.com/1aI39ef","63 Bangkok ")</f>
        <v>63 Bangkok </v>
      </c>
      <c r="E609" t="str">
        <f>IFERROR(__xludf.DUMMYFUNCTION("REGEXEXTRACT(FORMULATEXT(D609),""center=([-0-9.]+,[-0-9.]+)"")"),"#N/A")</f>
        <v>#N/A</v>
      </c>
    </row>
    <row r="610">
      <c r="A610" s="1" t="s">
        <v>607</v>
      </c>
      <c r="C610" s="2" t="str">
        <f>HYPERLINK("http://4sq.com/17SIMtX","StEREO))) 2nd Fl @Horizon Ekkamai ")</f>
        <v>StEREO))) 2nd Fl @Horizon Ekkamai </v>
      </c>
      <c r="E610" t="str">
        <f>IFERROR(__xludf.DUMMYFUNCTION("REGEXEXTRACT(FORMULATEXT(D610),""center=([-0-9.]+,[-0-9.]+)"")"),"#N/A")</f>
        <v>#N/A</v>
      </c>
    </row>
    <row r="611">
      <c r="A611" s="1" t="s">
        <v>608</v>
      </c>
      <c r="C611" s="2" t="str">
        <f>HYPERLINK("http://4sq.com/1boez3y","Mikkeller Bangkok ")</f>
        <v>Mikkeller Bangkok </v>
      </c>
      <c r="E611" t="str">
        <f>IFERROR(__xludf.DUMMYFUNCTION("REGEXEXTRACT(FORMULATEXT(D611),""center=([-0-9.]+,[-0-9.]+)"")"),"#N/A")</f>
        <v>#N/A</v>
      </c>
    </row>
    <row r="612">
      <c r="A612" s="1" t="s">
        <v>609</v>
      </c>
      <c r="C612" s="2" t="str">
        <f>HYPERLINK("http://4sq.com/fYCstZ","ธนาคารกสิกรไทย (KASIKORNBANK) ")</f>
        <v>ธนาคารกสิกรไทย (KASIKORNBANK) </v>
      </c>
      <c r="E612" t="str">
        <f>IFERROR(__xludf.DUMMYFUNCTION("REGEXEXTRACT(FORMULATEXT(D612),""center=([-0-9.]+,[-0-9.]+)"")"),"#N/A")</f>
        <v>#N/A</v>
      </c>
    </row>
    <row r="613">
      <c r="A613" s="1" t="s">
        <v>610</v>
      </c>
      <c r="C613" s="2" t="str">
        <f>HYPERLINK("http://4sq.com/14dF2zk","Immigration Division ")</f>
        <v>Immigration Division </v>
      </c>
      <c r="E613" t="str">
        <f>IFERROR(__xludf.DUMMYFUNCTION("REGEXEXTRACT(FORMULATEXT(D613),""center=([-0-9.]+,[-0-9.]+)"")"),"#N/A")</f>
        <v>#N/A</v>
      </c>
    </row>
    <row r="614">
      <c r="A614" s="1" t="s">
        <v>611</v>
      </c>
      <c r="C614" s="2" t="str">
        <f>HYPERLINK("http://4sq.com/18vbM7n","Jasmine Grande ")</f>
        <v>Jasmine Grande </v>
      </c>
      <c r="E614" t="str">
        <f>IFERROR(__xludf.DUMMYFUNCTION("REGEXEXTRACT(FORMULATEXT(D614),""center=([-0-9.]+,[-0-9.]+)"")"),"#N/A")</f>
        <v>#N/A</v>
      </c>
    </row>
    <row r="615">
      <c r="A615" s="1" t="s">
        <v>612</v>
      </c>
      <c r="C615" s="2" t="str">
        <f>HYPERLINK("http://4sq.com/88NMQc","Four Seasons Hotel Bangkok ")</f>
        <v>Four Seasons Hotel Bangkok </v>
      </c>
      <c r="E615" t="str">
        <f>IFERROR(__xludf.DUMMYFUNCTION("REGEXEXTRACT(FORMULATEXT(D615),""center=([-0-9.]+,[-0-9.]+)"")"),"#N/A")</f>
        <v>#N/A</v>
      </c>
    </row>
    <row r="616">
      <c r="A616" s="1" t="s">
        <v>613</v>
      </c>
      <c r="C616" s="2" t="str">
        <f>HYPERLINK("http://4sq.com/e3gDzA","Omu (โอมุ) おむ ")</f>
        <v>Omu (โอมุ) おむ </v>
      </c>
      <c r="E616" t="str">
        <f>IFERROR(__xludf.DUMMYFUNCTION("REGEXEXTRACT(FORMULATEXT(D616),""center=([-0-9.]+,[-0-9.]+)"")"),"#N/A")</f>
        <v>#N/A</v>
      </c>
    </row>
    <row r="617">
      <c r="A617" s="1" t="s">
        <v>614</v>
      </c>
      <c r="C617" s="2" t="str">
        <f>HYPERLINK("http://4sq.com/d1hjQn","Thamrongin Hotel ")</f>
        <v>Thamrongin Hotel </v>
      </c>
      <c r="E617" t="str">
        <f>IFERROR(__xludf.DUMMYFUNCTION("REGEXEXTRACT(FORMULATEXT(D617),""center=([-0-9.]+,[-0-9.]+)"")"),"#N/A")</f>
        <v>#N/A</v>
      </c>
    </row>
    <row r="618">
      <c r="A618" s="1" t="s">
        <v>615</v>
      </c>
      <c r="C618" s="2" t="str">
        <f>HYPERLINK("http://4sq.com/O9nwYh","PTT Station @ Chainat ")</f>
        <v>PTT Station @ Chainat </v>
      </c>
      <c r="E618" t="str">
        <f>IFERROR(__xludf.DUMMYFUNCTION("REGEXEXTRACT(FORMULATEXT(D618),""center=([-0-9.]+,[-0-9.]+)"")"),"#N/A")</f>
        <v>#N/A</v>
      </c>
    </row>
    <row r="619">
      <c r="A619" s="1" t="s">
        <v>616</v>
      </c>
      <c r="C619" s="2" t="str">
        <f>HYPERLINK("http://4sq.com/t5aLIf","ปตท. (PTT) ")</f>
        <v>ปตท. (PTT) </v>
      </c>
      <c r="E619" t="str">
        <f>IFERROR(__xludf.DUMMYFUNCTION("REGEXEXTRACT(FORMULATEXT(D619),""center=([-0-9.]+,[-0-9.]+)"")"),"#N/A")</f>
        <v>#N/A</v>
      </c>
    </row>
    <row r="620">
      <c r="A620" s="1" t="s">
        <v>617</v>
      </c>
      <c r="C620" s="2" t="str">
        <f>HYPERLINK("http://4sq.com/10sLu5k","The Artel Nimman ")</f>
        <v>The Artel Nimman </v>
      </c>
      <c r="E620" t="str">
        <f>IFERROR(__xludf.DUMMYFUNCTION("REGEXEXTRACT(FORMULATEXT(D620),""center=([-0-9.]+,[-0-9.]+)"")"),"#N/A")</f>
        <v>#N/A</v>
      </c>
    </row>
    <row r="621">
      <c r="A621" s="1" t="s">
        <v>618</v>
      </c>
      <c r="C621" s="2" t="str">
        <f>HYPERLINK("http://4sq.com/jpRWcI","Pankled Coffee Corner ")</f>
        <v>Pankled Coffee Corner </v>
      </c>
      <c r="E621" t="str">
        <f>IFERROR(__xludf.DUMMYFUNCTION("REGEXEXTRACT(FORMULATEXT(D621),""center=([-0-9.]+,[-0-9.]+)"")"),"#N/A")</f>
        <v>#N/A</v>
      </c>
    </row>
    <row r="622">
      <c r="A622" s="1" t="s">
        <v>619</v>
      </c>
      <c r="C622" s="2" t="str">
        <f>HYPERLINK("http://4sq.com/eVxuH1","ธนาคารกสิกรไทย (KASIKORNBANK) ")</f>
        <v>ธนาคารกสิกรไทย (KASIKORNBANK) </v>
      </c>
      <c r="E622" t="str">
        <f>IFERROR(__xludf.DUMMYFUNCTION("REGEXEXTRACT(FORMULATEXT(D622),""center=([-0-9.]+,[-0-9.]+)"")"),"#N/A")</f>
        <v>#N/A</v>
      </c>
    </row>
    <row r="623">
      <c r="A623" s="1" t="s">
        <v>620</v>
      </c>
      <c r="C623" s="2" t="str">
        <f>HYPERLINK("http://4sq.com/12weN37","คาเฟ่ ดินดิน Cafe DinDin ")</f>
        <v>คาเฟ่ ดินดิน Cafe DinDin </v>
      </c>
      <c r="E623" t="str">
        <f>IFERROR(__xludf.DUMMYFUNCTION("REGEXEXTRACT(FORMULATEXT(D623),""center=([-0-9.]+,[-0-9.]+)"")"),"#N/A")</f>
        <v>#N/A</v>
      </c>
    </row>
    <row r="624">
      <c r="A624" s="1" t="s">
        <v>621</v>
      </c>
      <c r="C624" s="2" t="str">
        <f>HYPERLINK("http://4sq.com/13Gnueg","Nimman Boutique Resort ")</f>
        <v>Nimman Boutique Resort </v>
      </c>
      <c r="E624" t="str">
        <f>IFERROR(__xludf.DUMMYFUNCTION("REGEXEXTRACT(FORMULATEXT(D624),""center=([-0-9.]+,[-0-9.]+)"")"),"#N/A")</f>
        <v>#N/A</v>
      </c>
    </row>
    <row r="625">
      <c r="A625" s="1" t="s">
        <v>622</v>
      </c>
      <c r="C625" s="2" t="str">
        <f>HYPERLINK("http://4sq.com/9dAeh7","Boat (โบ๊ต) ")</f>
        <v>Boat (โบ๊ต) </v>
      </c>
      <c r="E625" t="str">
        <f>IFERROR(__xludf.DUMMYFUNCTION("REGEXEXTRACT(FORMULATEXT(D625),""center=([-0-9.]+,[-0-9.]+)"")"),"#N/A")</f>
        <v>#N/A</v>
      </c>
    </row>
    <row r="626">
      <c r="A626" s="1" t="s">
        <v>623</v>
      </c>
      <c r="C626" s="2" t="str">
        <f>HYPERLINK("http://4sq.com/oSpleP","สำนักงานที่ดินจังหวัดเชียงใหม่สาขาแม่ริม ")</f>
        <v>สำนักงานที่ดินจังหวัดเชียงใหม่สาขาแม่ริม </v>
      </c>
      <c r="E626" t="str">
        <f>IFERROR(__xludf.DUMMYFUNCTION("REGEXEXTRACT(FORMULATEXT(D626),""center=([-0-9.]+,[-0-9.]+)"")"),"#N/A")</f>
        <v>#N/A</v>
      </c>
    </row>
    <row r="627">
      <c r="A627" s="1" t="s">
        <v>624</v>
      </c>
      <c r="C627" s="2" t="str">
        <f>HYPERLINK("http://4sq.com/8YhtW5","Inthanon Eco Hut ")</f>
        <v>Inthanon Eco Hut </v>
      </c>
      <c r="E627" t="str">
        <f>IFERROR(__xludf.DUMMYFUNCTION("REGEXEXTRACT(FORMULATEXT(D627),""center=([-0-9.]+,[-0-9.]+)"")"),"#N/A")</f>
        <v>#N/A</v>
      </c>
    </row>
    <row r="628">
      <c r="A628" s="1" t="s">
        <v>625</v>
      </c>
      <c r="C628" s="2" t="str">
        <f>HYPERLINK("http://4sq.com/g0hZeg","ร้านอาหารอินทนนท์ (Inthanon Restaurant) ")</f>
        <v>ร้านอาหารอินทนนท์ (Inthanon Restaurant) </v>
      </c>
      <c r="E628" t="str">
        <f>IFERROR(__xludf.DUMMYFUNCTION("REGEXEXTRACT(FORMULATEXT(D628),""center=([-0-9.]+,[-0-9.]+)"")"),"#N/A")</f>
        <v>#N/A</v>
      </c>
    </row>
    <row r="629">
      <c r="A629" s="1" t="s">
        <v>626</v>
      </c>
      <c r="C629" s="2" t="str">
        <f>HYPERLINK("http://4sq.com/1hrY1NA","Black Ant Coffee Resort ")</f>
        <v>Black Ant Coffee Resort </v>
      </c>
      <c r="E629" t="str">
        <f>IFERROR(__xludf.DUMMYFUNCTION("REGEXEXTRACT(FORMULATEXT(D629),""center=([-0-9.]+,[-0-9.]+)"")"),"#N/A")</f>
        <v>#N/A</v>
      </c>
    </row>
    <row r="630">
      <c r="A630" s="1" t="s">
        <v>627</v>
      </c>
      <c r="C630" s="2" t="str">
        <f>HYPERLINK("http://4sq.com/sKOvNG","ครัวกันเอง | Krua Kan Aegg ")</f>
        <v>ครัวกันเอง | Krua Kan Aegg </v>
      </c>
      <c r="E630" t="str">
        <f>IFERROR(__xludf.DUMMYFUNCTION("REGEXEXTRACT(FORMULATEXT(D630),""center=([-0-9.]+,[-0-9.]+)"")"),"#N/A")</f>
        <v>#N/A</v>
      </c>
    </row>
    <row r="631">
      <c r="A631" s="1" t="s">
        <v>628</v>
      </c>
      <c r="C631" s="2" t="str">
        <f>HYPERLINK("http://4sq.com/o73EMj","Maesariangbar ")</f>
        <v>Maesariangbar </v>
      </c>
      <c r="E631" t="str">
        <f>IFERROR(__xludf.DUMMYFUNCTION("REGEXEXTRACT(FORMULATEXT(D631),""center=([-0-9.]+,[-0-9.]+)"")"),"#N/A")</f>
        <v>#N/A</v>
      </c>
    </row>
    <row r="632">
      <c r="A632" s="1" t="s">
        <v>629</v>
      </c>
      <c r="C632" s="2" t="str">
        <f>HYPERLINK("http://4sq.com/1dN9W3f","Coffee and kao man gai ")</f>
        <v>Coffee and kao man gai </v>
      </c>
      <c r="E632" t="str">
        <f>IFERROR(__xludf.DUMMYFUNCTION("REGEXEXTRACT(FORMULATEXT(D632),""center=([-0-9.]+,[-0-9.]+)"")"),"#N/A")</f>
        <v>#N/A</v>
      </c>
    </row>
    <row r="633">
      <c r="A633" s="1" t="s">
        <v>630</v>
      </c>
      <c r="C633" s="2" t="str">
        <f>HYPERLINK("http://4sq.com/qIzglt","Khaomao-khaofang Restaurant @ Mae Sod ")</f>
        <v>Khaomao-khaofang Restaurant @ Mae Sod </v>
      </c>
      <c r="E633" t="str">
        <f>IFERROR(__xludf.DUMMYFUNCTION("REGEXEXTRACT(FORMULATEXT(D633),""center=([-0-9.]+,[-0-9.]+)"")"),"#N/A")</f>
        <v>#N/A</v>
      </c>
    </row>
    <row r="634">
      <c r="A634" s="1" t="s">
        <v>631</v>
      </c>
      <c r="C634" s="2" t="str">
        <f>HYPERLINK("http://4sq.com/eYPQxG","หลวงไก่ข้าวต้มโต้รุ่ง ")</f>
        <v>หลวงไก่ข้าวต้มโต้รุ่ง </v>
      </c>
      <c r="E634" t="str">
        <f>IFERROR(__xludf.DUMMYFUNCTION("REGEXEXTRACT(FORMULATEXT(D634),""center=([-0-9.]+,[-0-9.]+)"")"),"#N/A")</f>
        <v>#N/A</v>
      </c>
    </row>
    <row r="635">
      <c r="A635" s="1" t="s">
        <v>632</v>
      </c>
      <c r="C635" s="2" t="str">
        <f>HYPERLINK("http://4sq.com/1jW4rWG","MEGAHOME ")</f>
        <v>MEGAHOME </v>
      </c>
      <c r="E635" t="str">
        <f>IFERROR(__xludf.DUMMYFUNCTION("REGEXEXTRACT(FORMULATEXT(D635),""center=([-0-9.]+,[-0-9.]+)"")"),"#N/A")</f>
        <v>#N/A</v>
      </c>
    </row>
    <row r="636">
      <c r="A636" s="1" t="s">
        <v>633</v>
      </c>
      <c r="C636" s="2" t="str">
        <f>HYPERLINK("http://4sq.com/9NUhp1","Krua Canadian ")</f>
        <v>Krua Canadian </v>
      </c>
      <c r="E636" t="str">
        <f>IFERROR(__xludf.DUMMYFUNCTION("REGEXEXTRACT(FORMULATEXT(D636),""center=([-0-9.]+,[-0-9.]+)"")"),"#N/A")</f>
        <v>#N/A</v>
      </c>
    </row>
    <row r="637">
      <c r="A637" s="1" t="s">
        <v>634</v>
      </c>
      <c r="C637" s="2" t="str">
        <f>HYPERLINK("http://4sq.com/fRmKjH","ตลาดดอยมูเซอ Doi Muser market ")</f>
        <v>ตลาดดอยมูเซอ Doi Muser market </v>
      </c>
      <c r="E637" t="str">
        <f>IFERROR(__xludf.DUMMYFUNCTION("REGEXEXTRACT(FORMULATEXT(D637),""center=([-0-9.]+,[-0-9.]+)"")"),"#N/A")</f>
        <v>#N/A</v>
      </c>
    </row>
    <row r="638">
      <c r="A638" s="1" t="s">
        <v>635</v>
      </c>
      <c r="C638" s="2" t="str">
        <f>HYPERLINK("http://4sq.com/kqzwob","Oasis Bar&amp;Restauntrent ")</f>
        <v>Oasis Bar&amp;Restauntrent </v>
      </c>
      <c r="E638" t="str">
        <f>IFERROR(__xludf.DUMMYFUNCTION("REGEXEXTRACT(FORMULATEXT(D638),""center=([-0-9.]+,[-0-9.]+)"")"),"#N/A")</f>
        <v>#N/A</v>
      </c>
    </row>
    <row r="639">
      <c r="A639" s="1" t="s">
        <v>636</v>
      </c>
      <c r="C639" s="2" t="str">
        <f>HYPERLINK("http://4sq.com/e4nZTx","โมจิแม่กุหลาบ (Maekulhaap Nakhonsawan) ")</f>
        <v>โมจิแม่กุหลาบ (Maekulhaap Nakhonsawan) </v>
      </c>
      <c r="E639" t="str">
        <f>IFERROR(__xludf.DUMMYFUNCTION("REGEXEXTRACT(FORMULATEXT(D639),""center=([-0-9.]+,[-0-9.]+)"")"),"#N/A")</f>
        <v>#N/A</v>
      </c>
    </row>
    <row r="640">
      <c r="A640" s="1" t="s">
        <v>637</v>
      </c>
      <c r="C640" s="2" t="str">
        <f>HYPERLINK("http://4sq.com/aMlwkx","Esso Station Thai-See Center ")</f>
        <v>Esso Station Thai-See Center </v>
      </c>
      <c r="E640" t="str">
        <f>IFERROR(__xludf.DUMMYFUNCTION("REGEXEXTRACT(FORMULATEXT(D640),""center=([-0-9.]+,[-0-9.]+)"")"),"#N/A")</f>
        <v>#N/A</v>
      </c>
    </row>
    <row r="641">
      <c r="A641" s="1" t="s">
        <v>638</v>
      </c>
      <c r="C641" s="2" t="str">
        <f>HYPERLINK("http://4sq.com/chz4yR","Avion Village (เอเวียน วิลเลจ) ")</f>
        <v>Avion Village (เอเวียน วิลเลจ) </v>
      </c>
      <c r="E641" t="str">
        <f>IFERROR(__xludf.DUMMYFUNCTION("REGEXEXTRACT(FORMULATEXT(D641),""center=([-0-9.]+,[-0-9.]+)"")"),"#N/A")</f>
        <v>#N/A</v>
      </c>
    </row>
    <row r="642">
      <c r="A642" s="1" t="s">
        <v>639</v>
      </c>
      <c r="C642" s="2" t="str">
        <f>HYPERLINK("http://4sq.com/5TNFC5","Bourbon Street Bar &amp; Restaurant ")</f>
        <v>Bourbon Street Bar &amp; Restaurant </v>
      </c>
      <c r="E642" t="str">
        <f>IFERROR(__xludf.DUMMYFUNCTION("REGEXEXTRACT(FORMULATEXT(D642),""center=([-0-9.]+,[-0-9.]+)"")"),"#N/A")</f>
        <v>#N/A</v>
      </c>
    </row>
    <row r="643">
      <c r="A643" s="1" t="s">
        <v>640</v>
      </c>
      <c r="C643" s="2" t="str">
        <f>HYPERLINK("http://4sq.com/b73QMj","ศูนย์การประชุมแห่งชาติสิริกิติ์ (Queen Sirikit National Convention Center) ")</f>
        <v>ศูนย์การประชุมแห่งชาติสิริกิติ์ (Queen Sirikit National Convention Center) </v>
      </c>
      <c r="E643" t="str">
        <f>IFERROR(__xludf.DUMMYFUNCTION("REGEXEXTRACT(FORMULATEXT(D643),""center=([-0-9.]+,[-0-9.]+)"")"),"#N/A")</f>
        <v>#N/A</v>
      </c>
    </row>
    <row r="644">
      <c r="A644" s="1" t="s">
        <v>641</v>
      </c>
      <c r="C644" s="2" t="str">
        <f>HYPERLINK("http://4sq.com/1bLmZrO","Superbdog Soi 53 ")</f>
        <v>Superbdog Soi 53 </v>
      </c>
      <c r="E644" t="str">
        <f>IFERROR(__xludf.DUMMYFUNCTION("REGEXEXTRACT(FORMULATEXT(D644),""center=([-0-9.]+,[-0-9.]+)"")"),"#N/A")</f>
        <v>#N/A</v>
      </c>
    </row>
    <row r="645">
      <c r="A645" s="1" t="s">
        <v>642</v>
      </c>
      <c r="C645" s="2" t="str">
        <f>HYPERLINK("http://4sq.com/blKpUs","GIFT CAR WASH ")</f>
        <v>GIFT CAR WASH </v>
      </c>
      <c r="E645" t="str">
        <f>IFERROR(__xludf.DUMMYFUNCTION("REGEXEXTRACT(FORMULATEXT(D645),""center=([-0-9.]+,[-0-9.]+)"")"),"#N/A")</f>
        <v>#N/A</v>
      </c>
    </row>
    <row r="646">
      <c r="A646" s="1" t="s">
        <v>643</v>
      </c>
      <c r="C646" s="2" t="str">
        <f>HYPERLINK("http://4sq.com/ynqN58","Burger Factory ")</f>
        <v>Burger Factory </v>
      </c>
      <c r="E646" t="str">
        <f>IFERROR(__xludf.DUMMYFUNCTION("REGEXEXTRACT(FORMULATEXT(D646),""center=([-0-9.]+,[-0-9.]+)"")"),"#N/A")</f>
        <v>#N/A</v>
      </c>
    </row>
    <row r="647">
      <c r="A647" s="1" t="s">
        <v>644</v>
      </c>
      <c r="C647" s="2" t="str">
        <f>HYPERLINK("http://4sq.com/9oncfb","ส้มตำบางกอก (Somtum Bangkok) ")</f>
        <v>ส้มตำบางกอก (Somtum Bangkok) </v>
      </c>
      <c r="E647" t="str">
        <f>IFERROR(__xludf.DUMMYFUNCTION("REGEXEXTRACT(FORMULATEXT(D647),""center=([-0-9.]+,[-0-9.]+)"")"),"#N/A")</f>
        <v>#N/A</v>
      </c>
    </row>
    <row r="648">
      <c r="A648" s="1" t="s">
        <v>645</v>
      </c>
      <c r="C648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  <c r="E648" t="str">
        <f>IFERROR(__xludf.DUMMYFUNCTION("REGEXEXTRACT(FORMULATEXT(D648),""center=([-0-9.]+,[-0-9.]+)"")"),"#N/A")</f>
        <v>#N/A</v>
      </c>
    </row>
    <row r="649">
      <c r="A649" s="1" t="s">
        <v>646</v>
      </c>
      <c r="C649" s="2" t="str">
        <f>HYPERLINK("http://4sq.com/J25W0l","HUBBA - Coworking Space ")</f>
        <v>HUBBA - Coworking Space </v>
      </c>
      <c r="E649" t="str">
        <f>IFERROR(__xludf.DUMMYFUNCTION("REGEXEXTRACT(FORMULATEXT(D649),""center=([-0-9.]+,[-0-9.]+)"")"),"#N/A")</f>
        <v>#N/A</v>
      </c>
    </row>
    <row r="650">
      <c r="A650" s="1" t="s">
        <v>647</v>
      </c>
      <c r="C650" s="2" t="str">
        <f>HYPERLINK("http://4sq.com/1dPFprR","Flann O'Brien's Irish Pub ")</f>
        <v>Flann O'Brien's Irish Pub </v>
      </c>
      <c r="E650" t="str">
        <f>IFERROR(__xludf.DUMMYFUNCTION("REGEXEXTRACT(FORMULATEXT(D650),""center=([-0-9.]+,[-0-9.]+)"")"),"#N/A")</f>
        <v>#N/A</v>
      </c>
    </row>
    <row r="651">
      <c r="A651" s="1" t="s">
        <v>648</v>
      </c>
      <c r="C651" s="2" t="str">
        <f>HYPERLINK("http://4sq.com/1bLmZrO","Superbdog Soi 53 ")</f>
        <v>Superbdog Soi 53 </v>
      </c>
      <c r="E651" t="str">
        <f>IFERROR(__xludf.DUMMYFUNCTION("REGEXEXTRACT(FORMULATEXT(D651),""center=([-0-9.]+,[-0-9.]+)"")"),"#N/A")</f>
        <v>#N/A</v>
      </c>
    </row>
    <row r="652">
      <c r="A652" s="1" t="s">
        <v>649</v>
      </c>
      <c r="C652" s="2" t="str">
        <f>HYPERLINK("http://4sq.com/vbnctY","CentralPlaza Grand Rama 9 (เซ็นทรัลพลาซา แกรนด์ พระราม 9) ")</f>
        <v>CentralPlaza Grand Rama 9 (เซ็นทรัลพลาซา แกรนด์ พระราม 9) </v>
      </c>
      <c r="E652" t="str">
        <f>IFERROR(__xludf.DUMMYFUNCTION("REGEXEXTRACT(FORMULATEXT(D652),""center=([-0-9.]+,[-0-9.]+)"")"),"#N/A")</f>
        <v>#N/A</v>
      </c>
    </row>
    <row r="653">
      <c r="A653" s="1" t="s">
        <v>650</v>
      </c>
      <c r="C653" s="2" t="str">
        <f>HYPERLINK("http://4sq.com/8y6ax4","Central Chidlom (เซ็นทรัล ชิดลม) ")</f>
        <v>Central Chidlom (เซ็นทรัล ชิดลม) </v>
      </c>
      <c r="E653" t="str">
        <f>IFERROR(__xludf.DUMMYFUNCTION("REGEXEXTRACT(FORMULATEXT(D653),""center=([-0-9.]+,[-0-9.]+)"")"),"#N/A")</f>
        <v>#N/A</v>
      </c>
    </row>
    <row r="654">
      <c r="A654" s="1" t="s">
        <v>651</v>
      </c>
      <c r="C654" s="2" t="str">
        <f>HYPERLINK("http://4sq.com/cofzim","The Third Place ")</f>
        <v>The Third Place </v>
      </c>
      <c r="E654" t="str">
        <f>IFERROR(__xludf.DUMMYFUNCTION("REGEXEXTRACT(FORMULATEXT(D654),""center=([-0-9.]+,[-0-9.]+)"")"),"#N/A")</f>
        <v>#N/A</v>
      </c>
    </row>
    <row r="655">
      <c r="A655" s="1" t="s">
        <v>652</v>
      </c>
      <c r="C655" s="2" t="str">
        <f>HYPERLINK("http://4sq.com/bYOtN1","Bangkok University International College (BUIC) ")</f>
        <v>Bangkok University International College (BUIC) </v>
      </c>
      <c r="E655" t="str">
        <f>IFERROR(__xludf.DUMMYFUNCTION("REGEXEXTRACT(FORMULATEXT(D655),""center=([-0-9.]+,[-0-9.]+)"")"),"#N/A")</f>
        <v>#N/A</v>
      </c>
    </row>
    <row r="656">
      <c r="A656" s="1" t="s">
        <v>653</v>
      </c>
      <c r="C656" s="2" t="str">
        <f>HYPERLINK("http://4sq.com/1cSiO8v","S27 Echelon 2014 Satellite Thailand ")</f>
        <v>S27 Echelon 2014 Satellite Thailand </v>
      </c>
      <c r="E656" t="str">
        <f>IFERROR(__xludf.DUMMYFUNCTION("REGEXEXTRACT(FORMULATEXT(D656),""center=([-0-9.]+,[-0-9.]+)"")"),"#N/A")</f>
        <v>#N/A</v>
      </c>
    </row>
    <row r="657">
      <c r="A657" s="1" t="s">
        <v>654</v>
      </c>
      <c r="C657" s="2" t="str">
        <f>HYPERLINK("http://4sq.com/blKpUs","GIFT CAR WASH ")</f>
        <v>GIFT CAR WASH </v>
      </c>
      <c r="E657" t="str">
        <f>IFERROR(__xludf.DUMMYFUNCTION("REGEXEXTRACT(FORMULATEXT(D657),""center=([-0-9.]+,[-0-9.]+)"")"),"#N/A")</f>
        <v>#N/A</v>
      </c>
    </row>
    <row r="658">
      <c r="A658" s="1" t="s">
        <v>655</v>
      </c>
      <c r="C658" s="2" t="str">
        <f>HYPERLINK("http://4sq.com/9a7AET","Hua Seng Heng Goldsmith, Yaowarad ")</f>
        <v>Hua Seng Heng Goldsmith, Yaowarad </v>
      </c>
      <c r="E658" t="str">
        <f>IFERROR(__xludf.DUMMYFUNCTION("REGEXEXTRACT(FORMULATEXT(D658),""center=([-0-9.]+,[-0-9.]+)"")"),"#N/A")</f>
        <v>#N/A</v>
      </c>
    </row>
    <row r="659">
      <c r="A659" s="1" t="s">
        <v>656</v>
      </c>
      <c r="C659" s="2" t="str">
        <f>HYPERLINK("http://4sq.com/xYnHOe","Liang Seng Heng Goldsmith, Yaowaraj ")</f>
        <v>Liang Seng Heng Goldsmith, Yaowaraj </v>
      </c>
      <c r="E659" t="str">
        <f>IFERROR(__xludf.DUMMYFUNCTION("REGEXEXTRACT(FORMULATEXT(D659),""center=([-0-9.]+,[-0-9.]+)"")"),"#N/A")</f>
        <v>#N/A</v>
      </c>
    </row>
    <row r="660">
      <c r="A660" s="1" t="s">
        <v>657</v>
      </c>
      <c r="C660" s="2" t="str">
        <f>HYPERLINK("http://4sq.com/cMyHBJ","ก๋วยเตี๋ยวคั่วไก่แอน ")</f>
        <v>ก๋วยเตี๋ยวคั่วไก่แอน </v>
      </c>
      <c r="E660" t="str">
        <f>IFERROR(__xludf.DUMMYFUNCTION("REGEXEXTRACT(FORMULATEXT(D660),""center=([-0-9.]+,[-0-9.]+)"")"),"#N/A")</f>
        <v>#N/A</v>
      </c>
    </row>
    <row r="661">
      <c r="A661" s="1" t="s">
        <v>658</v>
      </c>
      <c r="C661" s="2" t="str">
        <f>HYPERLINK("http://4sq.com/oqWD54","Asiatique The Riverfront (เอเชียทีค เดอะ ริเวอร์ฟร้อนท์) ")</f>
        <v>Asiatique The Riverfront (เอเชียทีค เดอะ ริเวอร์ฟร้อนท์) </v>
      </c>
      <c r="E661" t="str">
        <f>IFERROR(__xludf.DUMMYFUNCTION("REGEXEXTRACT(FORMULATEXT(D661),""center=([-0-9.]+,[-0-9.]+)"")"),"#N/A")</f>
        <v>#N/A</v>
      </c>
    </row>
    <row r="662">
      <c r="A662" s="1" t="s">
        <v>659</v>
      </c>
      <c r="C662" s="2" t="str">
        <f>HYPERLINK("http://4sq.com/blbLwn","Cheesecake House (ชีสเค้กเฮ้าส์) ")</f>
        <v>Cheesecake House (ชีสเค้กเฮ้าส์) </v>
      </c>
      <c r="E662" t="str">
        <f>IFERROR(__xludf.DUMMYFUNCTION("REGEXEXTRACT(FORMULATEXT(D662),""center=([-0-9.]+,[-0-9.]+)"")"),"#N/A")</f>
        <v>#N/A</v>
      </c>
    </row>
    <row r="663">
      <c r="A663" s="1" t="s">
        <v>660</v>
      </c>
      <c r="C663" s="2" t="str">
        <f>HYPERLINK("http://4sq.com/14dF2zk","Immigration Division ")</f>
        <v>Immigration Division </v>
      </c>
      <c r="E663" t="str">
        <f>IFERROR(__xludf.DUMMYFUNCTION("REGEXEXTRACT(FORMULATEXT(D663),""center=([-0-9.]+,[-0-9.]+)"")"),"#N/A")</f>
        <v>#N/A</v>
      </c>
    </row>
    <row r="664">
      <c r="A664" s="1" t="s">
        <v>661</v>
      </c>
      <c r="C664" s="2" t="str">
        <f>HYPERLINK("http://4sq.com/9xcRFs","The Dubliner Irish Pub ")</f>
        <v>The Dubliner Irish Pub </v>
      </c>
      <c r="E664" t="str">
        <f>IFERROR(__xludf.DUMMYFUNCTION("REGEXEXTRACT(FORMULATEXT(D664),""center=([-0-9.]+,[-0-9.]+)"")"),"#N/A")</f>
        <v>#N/A</v>
      </c>
    </row>
    <row r="665">
      <c r="A665" s="1" t="s">
        <v>662</v>
      </c>
      <c r="C665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E665" t="str">
        <f>IFERROR(__xludf.DUMMYFUNCTION("REGEXEXTRACT(FORMULATEXT(D665),""center=([-0-9.]+,[-0-9.]+)"")"),"#N/A")</f>
        <v>#N/A</v>
      </c>
    </row>
    <row r="666">
      <c r="A666" s="1" t="s">
        <v>663</v>
      </c>
      <c r="C666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666" t="str">
        <f>IFERROR(__xludf.DUMMYFUNCTION("REGEXEXTRACT(FORMULATEXT(D666),""center=([-0-9.]+,[-0-9.]+)"")"),"#N/A")</f>
        <v>#N/A</v>
      </c>
    </row>
    <row r="667">
      <c r="A667" s="1" t="s">
        <v>664</v>
      </c>
      <c r="C667" s="2" t="str">
        <f>HYPERLINK("http://4sq.com/oSpleP","สำนักงานที่ดินจังหวัดเชียงใหม่สาขาแม่ริม ")</f>
        <v>สำนักงานที่ดินจังหวัดเชียงใหม่สาขาแม่ริม </v>
      </c>
      <c r="E667" t="str">
        <f>IFERROR(__xludf.DUMMYFUNCTION("REGEXEXTRACT(FORMULATEXT(D667),""center=([-0-9.]+,[-0-9.]+)"")"),"#N/A")</f>
        <v>#N/A</v>
      </c>
    </row>
    <row r="668">
      <c r="A668" s="1" t="s">
        <v>665</v>
      </c>
      <c r="C668" s="2" t="str">
        <f>HYPERLINK("http://4sq.com/aCBIya","Toyota Showroom New Petchburi Rd ")</f>
        <v>Toyota Showroom New Petchburi Rd </v>
      </c>
      <c r="E668" t="str">
        <f>IFERROR(__xludf.DUMMYFUNCTION("REGEXEXTRACT(FORMULATEXT(D668),""center=([-0-9.]+,[-0-9.]+)"")"),"#N/A")</f>
        <v>#N/A</v>
      </c>
    </row>
    <row r="669">
      <c r="A669" s="1" t="s">
        <v>666</v>
      </c>
      <c r="C669" s="2" t="str">
        <f>HYPERLINK("http://4sq.com/9lIrAL","Bluedoor (ประตูสีฟ้า) ")</f>
        <v>Bluedoor (ประตูสีฟ้า) </v>
      </c>
      <c r="E669" t="str">
        <f>IFERROR(__xludf.DUMMYFUNCTION("REGEXEXTRACT(FORMULATEXT(D669),""center=([-0-9.]+,[-0-9.]+)"")"),"#N/A")</f>
        <v>#N/A</v>
      </c>
    </row>
    <row r="670">
      <c r="A670" s="1" t="s">
        <v>667</v>
      </c>
      <c r="C670" s="2" t="str">
        <f t="shared" ref="C670:C671" si="28">HYPERLINK("http://4sq.com/9re5J6","Night Food Stall Street (ศูนย์อาหาร สุขุมวิท38) ")</f>
        <v>Night Food Stall Street (ศูนย์อาหาร สุขุมวิท38) </v>
      </c>
      <c r="E670" t="str">
        <f>IFERROR(__xludf.DUMMYFUNCTION("REGEXEXTRACT(FORMULATEXT(D670),""center=([-0-9.]+,[-0-9.]+)"")"),"#N/A")</f>
        <v>#N/A</v>
      </c>
    </row>
    <row r="671">
      <c r="A671" s="1" t="s">
        <v>668</v>
      </c>
      <c r="C671" s="2" t="str">
        <f t="shared" si="28"/>
        <v>Night Food Stall Street (ศูนย์อาหาร สุขุมวิท38) </v>
      </c>
      <c r="E671" t="str">
        <f>IFERROR(__xludf.DUMMYFUNCTION("REGEXEXTRACT(FORMULATEXT(D671),""center=([-0-9.]+,[-0-9.]+)"")"),"#N/A")</f>
        <v>#N/A</v>
      </c>
    </row>
    <row r="672">
      <c r="A672" s="1" t="s">
        <v>669</v>
      </c>
      <c r="C672" s="2" t="str">
        <f>HYPERLINK("http://4sq.com/1dPFprR","Flann O'Brien's Irish Pub (ฟลาน โอเบรียนส์ ไอริชผับ) ")</f>
        <v>Flann O'Brien's Irish Pub (ฟลาน โอเบรียนส์ ไอริชผับ) </v>
      </c>
      <c r="E672" t="str">
        <f>IFERROR(__xludf.DUMMYFUNCTION("REGEXEXTRACT(FORMULATEXT(D672),""center=([-0-9.]+,[-0-9.]+)"")"),"#N/A")</f>
        <v>#N/A</v>
      </c>
    </row>
    <row r="673">
      <c r="A673" s="1" t="s">
        <v>670</v>
      </c>
      <c r="C673" s="2" t="str">
        <f>HYPERLINK("http://4sq.com/gOVI8b","Kvik Bangkok ")</f>
        <v>Kvik Bangkok </v>
      </c>
      <c r="E673" t="str">
        <f>IFERROR(__xludf.DUMMYFUNCTION("REGEXEXTRACT(FORMULATEXT(D673),""center=([-0-9.]+,[-0-9.]+)"")"),"#N/A")</f>
        <v>#N/A</v>
      </c>
    </row>
    <row r="674">
      <c r="A674" s="1" t="s">
        <v>671</v>
      </c>
      <c r="C674" s="2" t="str">
        <f>HYPERLINK("http://4sq.com/cKgjhA","SCG Experience (เอสซีจี เอ็กซ์พีเรียนซ์) ")</f>
        <v>SCG Experience (เอสซีจี เอ็กซ์พีเรียนซ์) </v>
      </c>
      <c r="E674" t="str">
        <f>IFERROR(__xludf.DUMMYFUNCTION("REGEXEXTRACT(FORMULATEXT(D674),""center=([-0-9.]+,[-0-9.]+)"")"),"#N/A")</f>
        <v>#N/A</v>
      </c>
    </row>
    <row r="675">
      <c r="A675" s="1" t="s">
        <v>672</v>
      </c>
      <c r="C675" s="2" t="str">
        <f>HYPERLINK("http://4sq.com/MQIVEY","Tanatawey Places (ธนะทวี เพลซ) ")</f>
        <v>Tanatawey Places (ธนะทวี เพลซ) </v>
      </c>
      <c r="E675" t="str">
        <f>IFERROR(__xludf.DUMMYFUNCTION("REGEXEXTRACT(FORMULATEXT(D675),""center=([-0-9.]+,[-0-9.]+)"")"),"#N/A")</f>
        <v>#N/A</v>
      </c>
    </row>
    <row r="676">
      <c r="A676" s="1" t="s">
        <v>673</v>
      </c>
      <c r="C676" s="2" t="str">
        <f>HYPERLINK("http://4sq.com/cEsTRz","บุญถาวร (Boonthavorn) ")</f>
        <v>บุญถาวร (Boonthavorn) </v>
      </c>
      <c r="E676" t="str">
        <f>IFERROR(__xludf.DUMMYFUNCTION("REGEXEXTRACT(FORMULATEXT(D676),""center=([-0-9.]+,[-0-9.]+)"")"),"#N/A")</f>
        <v>#N/A</v>
      </c>
    </row>
    <row r="677">
      <c r="A677" s="1" t="s">
        <v>674</v>
      </c>
      <c r="C677" s="2" t="str">
        <f>HYPERLINK("http://4sq.com/MifImD","The Coffee Club ")</f>
        <v>The Coffee Club </v>
      </c>
      <c r="E677" t="str">
        <f>IFERROR(__xludf.DUMMYFUNCTION("REGEXEXTRACT(FORMULATEXT(D677),""center=([-0-9.]+,[-0-9.]+)"")"),"#N/A")</f>
        <v>#N/A</v>
      </c>
    </row>
    <row r="678">
      <c r="A678" s="1" t="s">
        <v>675</v>
      </c>
      <c r="C678" s="2" t="str">
        <f>HYPERLINK("http://4sq.com/9lIrAL","Bluedoor (ประตูสีฟ้า) ")</f>
        <v>Bluedoor (ประตูสีฟ้า) </v>
      </c>
      <c r="E678" t="str">
        <f>IFERROR(__xludf.DUMMYFUNCTION("REGEXEXTRACT(FORMULATEXT(D678),""center=([-0-9.]+,[-0-9.]+)"")"),"#N/A")</f>
        <v>#N/A</v>
      </c>
    </row>
    <row r="679">
      <c r="A679" s="1" t="s">
        <v>676</v>
      </c>
      <c r="C679" s="2" t="str">
        <f>HYPERLINK("http://4sq.com/708m9C","โรงพยาบาลบำรุงราษฎร์ อินเตอร์เนชั่นแนล (Bumrungrad International Hospital) ")</f>
        <v>โรงพยาบาลบำรุงราษฎร์ อินเตอร์เนชั่นแนล (Bumrungrad International Hospital) </v>
      </c>
      <c r="E679" t="str">
        <f>IFERROR(__xludf.DUMMYFUNCTION("REGEXEXTRACT(FORMULATEXT(D679),""center=([-0-9.]+,[-0-9.]+)"")"),"#N/A")</f>
        <v>#N/A</v>
      </c>
    </row>
    <row r="680">
      <c r="A680" s="1" t="s">
        <v>677</v>
      </c>
      <c r="C680" s="2" t="str">
        <f>HYPERLINK("http://4sq.com/5TNFC5","Bourbon Street Bar &amp; Restaurant ")</f>
        <v>Bourbon Street Bar &amp; Restaurant </v>
      </c>
      <c r="E680" t="str">
        <f>IFERROR(__xludf.DUMMYFUNCTION("REGEXEXTRACT(FORMULATEXT(D680),""center=([-0-9.]+,[-0-9.]+)"")"),"#N/A")</f>
        <v>#N/A</v>
      </c>
    </row>
    <row r="681">
      <c r="A681" s="1" t="s">
        <v>678</v>
      </c>
      <c r="C681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E681" t="str">
        <f>IFERROR(__xludf.DUMMYFUNCTION("REGEXEXTRACT(FORMULATEXT(D681),""center=([-0-9.]+,[-0-9.]+)"")"),"#N/A")</f>
        <v>#N/A</v>
      </c>
    </row>
    <row r="682">
      <c r="A682" s="1" t="s">
        <v>679</v>
      </c>
      <c r="C682" s="2" t="str">
        <f>HYPERLINK("http://4sq.com/71Y0ou","Guangzhou Baiyun Int'l Airport | CAN ")</f>
        <v>Guangzhou Baiyun Int'l Airport | CAN </v>
      </c>
      <c r="E682" t="str">
        <f>IFERROR(__xludf.DUMMYFUNCTION("REGEXEXTRACT(FORMULATEXT(D682),""center=([-0-9.]+,[-0-9.]+)"")"),"#N/A")</f>
        <v>#N/A</v>
      </c>
    </row>
    <row r="683">
      <c r="A683" s="1" t="s">
        <v>680</v>
      </c>
      <c r="C683" s="2" t="str">
        <f>HYPERLINK("http://4sq.com/5x3OGd","County of Los Angeles Public Library - La Cañada Flintridge ")</f>
        <v>County of Los Angeles Public Library - La Cañada Flintridge </v>
      </c>
      <c r="E683" t="str">
        <f>IFERROR(__xludf.DUMMYFUNCTION("REGEXEXTRACT(FORMULATEXT(D683),""center=([-0-9.]+,[-0-9.]+)"")"),"#N/A")</f>
        <v>#N/A</v>
      </c>
    </row>
    <row r="684">
      <c r="A684" s="1" t="s">
        <v>681</v>
      </c>
      <c r="C684" s="2" t="str">
        <f>HYPERLINK("http://4sq.com/eHUcpR","Thai Town ")</f>
        <v>Thai Town </v>
      </c>
      <c r="E684" t="str">
        <f>IFERROR(__xludf.DUMMYFUNCTION("REGEXEXTRACT(FORMULATEXT(D684),""center=([-0-9.]+,[-0-9.]+)"")"),"#N/A")</f>
        <v>#N/A</v>
      </c>
    </row>
    <row r="685">
      <c r="A685" s="1" t="s">
        <v>682</v>
      </c>
      <c r="C685" s="2" t="str">
        <f>HYPERLINK("http://4sq.com/9UvPoo","Memorial Park ")</f>
        <v>Memorial Park </v>
      </c>
      <c r="E685" t="str">
        <f>IFERROR(__xludf.DUMMYFUNCTION("REGEXEXTRACT(FORMULATEXT(D685),""center=([-0-9.]+,[-0-9.]+)"")"),"#N/A")</f>
        <v>#N/A</v>
      </c>
    </row>
    <row r="686">
      <c r="A686" s="1" t="s">
        <v>683</v>
      </c>
      <c r="C686" s="2" t="str">
        <f>HYPERLINK("http://4sq.com/5x3OGd","County of Los Angeles Public Library - La Cañada Flintridge ")</f>
        <v>County of Los Angeles Public Library - La Cañada Flintridge </v>
      </c>
      <c r="E686" t="str">
        <f>IFERROR(__xludf.DUMMYFUNCTION("REGEXEXTRACT(FORMULATEXT(D686),""center=([-0-9.]+,[-0-9.]+)"")"),"#N/A")</f>
        <v>#N/A</v>
      </c>
    </row>
    <row r="687">
      <c r="A687" s="1" t="s">
        <v>684</v>
      </c>
      <c r="C687" s="2" t="str">
        <f>HYPERLINK("http://4sq.com/4ZM83p","Trader Joe's ")</f>
        <v>Trader Joe's </v>
      </c>
      <c r="E687" t="str">
        <f>IFERROR(__xludf.DUMMYFUNCTION("REGEXEXTRACT(FORMULATEXT(D687),""center=([-0-9.]+,[-0-9.]+)"")"),"#N/A")</f>
        <v>#N/A</v>
      </c>
    </row>
    <row r="688">
      <c r="A688" s="1" t="s">
        <v>685</v>
      </c>
      <c r="C688" s="2" t="str">
        <f>HYPERLINK("http://4sq.com/bq15th","McDonald's ")</f>
        <v>McDonald's </v>
      </c>
      <c r="E688" t="str">
        <f>IFERROR(__xludf.DUMMYFUNCTION("REGEXEXTRACT(FORMULATEXT(D688),""center=([-0-9.]+,[-0-9.]+)"")"),"#N/A")</f>
        <v>#N/A</v>
      </c>
    </row>
    <row r="689">
      <c r="A689" s="1" t="s">
        <v>686</v>
      </c>
      <c r="C689" s="2" t="str">
        <f>HYPERLINK("http://4sq.com/6eFqZe","Paradise Cove Beach Cafe ")</f>
        <v>Paradise Cove Beach Cafe </v>
      </c>
      <c r="E689" t="str">
        <f>IFERROR(__xludf.DUMMYFUNCTION("REGEXEXTRACT(FORMULATEXT(D689),""center=([-0-9.]+,[-0-9.]+)"")"),"#N/A")</f>
        <v>#N/A</v>
      </c>
    </row>
    <row r="690">
      <c r="A690" s="1" t="s">
        <v>687</v>
      </c>
      <c r="C690" s="2" t="str">
        <f>HYPERLINK("http://4sq.com/aUuZs5","AT&amp;T ")</f>
        <v>AT&amp;T </v>
      </c>
      <c r="E690" t="str">
        <f>IFERROR(__xludf.DUMMYFUNCTION("REGEXEXTRACT(FORMULATEXT(D690),""center=([-0-9.]+,[-0-9.]+)"")"),"#N/A")</f>
        <v>#N/A</v>
      </c>
    </row>
    <row r="691">
      <c r="A691" s="1" t="s">
        <v>688</v>
      </c>
      <c r="C691" s="2" t="str">
        <f>HYPERLINK("http://4sq.com/6RtiVZ","Old Town Pasadena ")</f>
        <v>Old Town Pasadena </v>
      </c>
      <c r="E691" t="str">
        <f>IFERROR(__xludf.DUMMYFUNCTION("REGEXEXTRACT(FORMULATEXT(D691),""center=([-0-9.]+,[-0-9.]+)"")"),"#N/A")</f>
        <v>#N/A</v>
      </c>
    </row>
    <row r="692">
      <c r="A692" s="1" t="s">
        <v>689</v>
      </c>
      <c r="C692" s="2" t="str">
        <f t="shared" ref="C692:C693" si="29">HYPERLINK("http://4sq.com/duYaj1","Noodle World ")</f>
        <v>Noodle World </v>
      </c>
      <c r="E692" t="str">
        <f>IFERROR(__xludf.DUMMYFUNCTION("REGEXEXTRACT(FORMULATEXT(D692),""center=([-0-9.]+,[-0-9.]+)"")"),"#N/A")</f>
        <v>#N/A</v>
      </c>
    </row>
    <row r="693">
      <c r="A693" s="1" t="s">
        <v>690</v>
      </c>
      <c r="C693" s="2" t="str">
        <f t="shared" si="29"/>
        <v>Noodle World </v>
      </c>
      <c r="E693" t="str">
        <f>IFERROR(__xludf.DUMMYFUNCTION("REGEXEXTRACT(FORMULATEXT(D693),""center=([-0-9.]+,[-0-9.]+)"")"),"#N/A")</f>
        <v>#N/A</v>
      </c>
    </row>
    <row r="694">
      <c r="A694" s="1" t="s">
        <v>691</v>
      </c>
      <c r="C694" s="2" t="str">
        <f>HYPERLINK("http://4sq.com/aCa1Ge","Intelligentsia Coffee &amp; Tea ")</f>
        <v>Intelligentsia Coffee &amp; Tea </v>
      </c>
      <c r="E694" t="str">
        <f>IFERROR(__xludf.DUMMYFUNCTION("REGEXEXTRACT(FORMULATEXT(D694),""center=([-0-9.]+,[-0-9.]+)"")"),"#N/A")</f>
        <v>#N/A</v>
      </c>
    </row>
    <row r="695">
      <c r="A695" s="1" t="s">
        <v>692</v>
      </c>
      <c r="C695" s="2" t="str">
        <f>HYPERLINK("http://4sq.com/6HweW0","Crate &amp; Barrel ")</f>
        <v>Crate &amp; Barrel </v>
      </c>
      <c r="E695" t="str">
        <f>IFERROR(__xludf.DUMMYFUNCTION("REGEXEXTRACT(FORMULATEXT(D695),""center=([-0-9.]+,[-0-9.]+)"")"),"#N/A")</f>
        <v>#N/A</v>
      </c>
    </row>
    <row r="696">
      <c r="A696" s="1" t="s">
        <v>693</v>
      </c>
      <c r="C696" s="2" t="str">
        <f>HYPERLINK("http://4sq.com/4SjeAn","Starbucks ")</f>
        <v>Starbucks </v>
      </c>
      <c r="E696" t="str">
        <f>IFERROR(__xludf.DUMMYFUNCTION("REGEXEXTRACT(FORMULATEXT(D696),""center=([-0-9.]+,[-0-9.]+)"")"),"#N/A")</f>
        <v>#N/A</v>
      </c>
    </row>
    <row r="697">
      <c r="A697" s="1" t="s">
        <v>694</v>
      </c>
      <c r="C697" s="2" t="str">
        <f>HYPERLINK("http://4sq.com/9UvPoo","Memorial Park ")</f>
        <v>Memorial Park </v>
      </c>
      <c r="E697" t="str">
        <f>IFERROR(__xludf.DUMMYFUNCTION("REGEXEXTRACT(FORMULATEXT(D697),""center=([-0-9.]+,[-0-9.]+)"")"),"#N/A")</f>
        <v>#N/A</v>
      </c>
    </row>
    <row r="698">
      <c r="A698" s="1" t="s">
        <v>695</v>
      </c>
      <c r="C698" s="2" t="str">
        <f>HYPERLINK("http://4sq.com/a31n0L","Panera Bread ")</f>
        <v>Panera Bread </v>
      </c>
      <c r="E698" t="str">
        <f>IFERROR(__xludf.DUMMYFUNCTION("REGEXEXTRACT(FORMULATEXT(D698),""center=([-0-9.]+,[-0-9.]+)"")"),"#N/A")</f>
        <v>#N/A</v>
      </c>
    </row>
    <row r="699">
      <c r="A699" s="1" t="s">
        <v>696</v>
      </c>
      <c r="C699" s="2" t="str">
        <f>HYPERLINK("http://4sq.com/cKurX6","Pasadena Public Library - Central ")</f>
        <v>Pasadena Public Library - Central </v>
      </c>
      <c r="E699" t="str">
        <f>IFERROR(__xludf.DUMMYFUNCTION("REGEXEXTRACT(FORMULATEXT(D699),""center=([-0-9.]+,[-0-9.]+)"")"),"#N/A")</f>
        <v>#N/A</v>
      </c>
    </row>
    <row r="700">
      <c r="A700" s="1" t="s">
        <v>697</v>
      </c>
      <c r="C700" s="2" t="str">
        <f>HYPERLINK("http://4sq.com/9YKzI2","La Canada High School ")</f>
        <v>La Canada High School </v>
      </c>
      <c r="E700" t="str">
        <f>IFERROR(__xludf.DUMMYFUNCTION("REGEXEXTRACT(FORMULATEXT(D700),""center=([-0-9.]+,[-0-9.]+)"")"),"#N/A")</f>
        <v>#N/A</v>
      </c>
    </row>
    <row r="701">
      <c r="A701" s="1" t="s">
        <v>698</v>
      </c>
      <c r="C701" s="2" t="str">
        <f>HYPERLINK("http://4sq.com/8MALXZ","Los Gringos Locos ")</f>
        <v>Los Gringos Locos </v>
      </c>
      <c r="E701" t="str">
        <f>IFERROR(__xludf.DUMMYFUNCTION("REGEXEXTRACT(FORMULATEXT(D701),""center=([-0-9.]+,[-0-9.]+)"")"),"#N/A")</f>
        <v>#N/A</v>
      </c>
    </row>
    <row r="702">
      <c r="A702" s="1" t="s">
        <v>699</v>
      </c>
      <c r="C702" s="2" t="str">
        <f>HYPERLINK("http://4sq.com/1DbEVH","Rose Bowl Stadium ")</f>
        <v>Rose Bowl Stadium </v>
      </c>
      <c r="E702" t="str">
        <f>IFERROR(__xludf.DUMMYFUNCTION("REGEXEXTRACT(FORMULATEXT(D702),""center=([-0-9.]+,[-0-9.]+)"")"),"#N/A")</f>
        <v>#N/A</v>
      </c>
    </row>
    <row r="703">
      <c r="A703" s="1" t="s">
        <v>700</v>
      </c>
      <c r="C703" s="2" t="str">
        <f>HYPERLINK("http://4sq.com/7YHePY","Glendale Galleria ")</f>
        <v>Glendale Galleria </v>
      </c>
      <c r="E703" t="str">
        <f>IFERROR(__xludf.DUMMYFUNCTION("REGEXEXTRACT(FORMULATEXT(D703),""center=([-0-9.]+,[-0-9.]+)"")"),"#N/A")</f>
        <v>#N/A</v>
      </c>
    </row>
    <row r="704">
      <c r="A704" s="1" t="s">
        <v>701</v>
      </c>
      <c r="C704" s="2" t="str">
        <f>HYPERLINK("http://4sq.com/99KRJD","California Science Center ")</f>
        <v>California Science Center </v>
      </c>
      <c r="E704" t="str">
        <f>IFERROR(__xludf.DUMMYFUNCTION("REGEXEXTRACT(FORMULATEXT(D704),""center=([-0-9.]+,[-0-9.]+)"")"),"#N/A")</f>
        <v>#N/A</v>
      </c>
    </row>
    <row r="705">
      <c r="A705" s="1" t="s">
        <v>702</v>
      </c>
      <c r="C705" s="2" t="str">
        <f>HYPERLINK("http://4sq.com/brZDTa","Shell ")</f>
        <v>Shell </v>
      </c>
      <c r="E705" t="str">
        <f>IFERROR(__xludf.DUMMYFUNCTION("REGEXEXTRACT(FORMULATEXT(D705),""center=([-0-9.]+,[-0-9.]+)"")"),"#N/A")</f>
        <v>#N/A</v>
      </c>
    </row>
    <row r="706">
      <c r="A706" s="1" t="s">
        <v>703</v>
      </c>
      <c r="C706" s="2" t="str">
        <f>HYPERLINK("http://4sq.com/cKurX6","Pasadena Public Library - Central ")</f>
        <v>Pasadena Public Library - Central </v>
      </c>
      <c r="E706" t="str">
        <f>IFERROR(__xludf.DUMMYFUNCTION("REGEXEXTRACT(FORMULATEXT(D706),""center=([-0-9.]+,[-0-9.]+)"")"),"#N/A")</f>
        <v>#N/A</v>
      </c>
    </row>
    <row r="707">
      <c r="A707" s="1" t="s">
        <v>704</v>
      </c>
      <c r="C707" s="2" t="str">
        <f>HYPERLINK("http://4sq.com/4ORRsU","Midway Car Rental ")</f>
        <v>Midway Car Rental </v>
      </c>
      <c r="E707" t="str">
        <f>IFERROR(__xludf.DUMMYFUNCTION("REGEXEXTRACT(FORMULATEXT(D707),""center=([-0-9.]+,[-0-9.]+)"")"),"#N/A")</f>
        <v>#N/A</v>
      </c>
    </row>
    <row r="708">
      <c r="A708" s="1" t="s">
        <v>705</v>
      </c>
      <c r="C708" s="2" t="str">
        <f>HYPERLINK("http://4sq.com/a31n0L","Panera Bread ")</f>
        <v>Panera Bread </v>
      </c>
      <c r="E708" t="str">
        <f>IFERROR(__xludf.DUMMYFUNCTION("REGEXEXTRACT(FORMULATEXT(D708),""center=([-0-9.]+,[-0-9.]+)"")"),"#N/A")</f>
        <v>#N/A</v>
      </c>
    </row>
    <row r="709">
      <c r="A709" s="1" t="s">
        <v>706</v>
      </c>
      <c r="C709" s="2" t="str">
        <f>HYPERLINK("http://4sq.com/9UvPoo","Memorial Park ")</f>
        <v>Memorial Park </v>
      </c>
      <c r="E709" t="str">
        <f>IFERROR(__xludf.DUMMYFUNCTION("REGEXEXTRACT(FORMULATEXT(D709),""center=([-0-9.]+,[-0-9.]+)"")"),"#N/A")</f>
        <v>#N/A</v>
      </c>
    </row>
    <row r="710">
      <c r="A710" s="1" t="s">
        <v>707</v>
      </c>
      <c r="C710" s="2" t="str">
        <f>HYPERLINK("http://4sq.com/5nxBj4","Ralphs ")</f>
        <v>Ralphs </v>
      </c>
      <c r="E710" t="str">
        <f>IFERROR(__xludf.DUMMYFUNCTION("REGEXEXTRACT(FORMULATEXT(D710),""center=([-0-9.]+,[-0-9.]+)"")"),"#N/A")</f>
        <v>#N/A</v>
      </c>
    </row>
    <row r="711">
      <c r="A711" s="1" t="s">
        <v>708</v>
      </c>
      <c r="C711" s="2" t="str">
        <f>HYPERLINK("http://4sq.com/a2gFHH","El Capitan State Beach ")</f>
        <v>El Capitan State Beach </v>
      </c>
      <c r="E711" t="str">
        <f>IFERROR(__xludf.DUMMYFUNCTION("REGEXEXTRACT(FORMULATEXT(D711),""center=([-0-9.]+,[-0-9.]+)"")"),"#N/A")</f>
        <v>#N/A</v>
      </c>
    </row>
    <row r="712">
      <c r="A712" s="1" t="s">
        <v>709</v>
      </c>
      <c r="C712" s="2" t="str">
        <f>HYPERLINK("http://4sq.com/cBs8hb","Pismo State Beach ")</f>
        <v>Pismo State Beach </v>
      </c>
      <c r="E712" t="str">
        <f>IFERROR(__xludf.DUMMYFUNCTION("REGEXEXTRACT(FORMULATEXT(D712),""center=([-0-9.]+,[-0-9.]+)"")"),"#N/A")</f>
        <v>#N/A</v>
      </c>
    </row>
    <row r="713">
      <c r="A713" s="1" t="s">
        <v>710</v>
      </c>
      <c r="C713" s="2" t="str">
        <f>HYPERLINK("http://4sq.com/b35Vu3","SUBWAY ")</f>
        <v>SUBWAY </v>
      </c>
      <c r="E713" t="str">
        <f>IFERROR(__xludf.DUMMYFUNCTION("REGEXEXTRACT(FORMULATEXT(D713),""center=([-0-9.]+,[-0-9.]+)"")"),"#N/A")</f>
        <v>#N/A</v>
      </c>
    </row>
    <row r="714">
      <c r="A714" s="1" t="s">
        <v>711</v>
      </c>
      <c r="C714" s="2" t="str">
        <f>HYPERLINK("http://4sq.com/c3359T","Denny's ")</f>
        <v>Denny's </v>
      </c>
      <c r="E714" t="str">
        <f>IFERROR(__xludf.DUMMYFUNCTION("REGEXEXTRACT(FORMULATEXT(D714),""center=([-0-9.]+,[-0-9.]+)"")"),"#N/A")</f>
        <v>#N/A</v>
      </c>
    </row>
    <row r="715">
      <c r="A715" s="1" t="s">
        <v>712</v>
      </c>
      <c r="C715" s="2" t="str">
        <f>HYPERLINK("http://4sq.com/dhbISe","Morro Strand State Beach ")</f>
        <v>Morro Strand State Beach </v>
      </c>
      <c r="E715" t="str">
        <f>IFERROR(__xludf.DUMMYFUNCTION("REGEXEXTRACT(FORMULATEXT(D715),""center=([-0-9.]+,[-0-9.]+)"")"),"#N/A")</f>
        <v>#N/A</v>
      </c>
    </row>
    <row r="716">
      <c r="A716" s="1" t="s">
        <v>713</v>
      </c>
      <c r="C716" s="2" t="str">
        <f>HYPERLINK("http://4sq.com/ck7Erm","Shell ")</f>
        <v>Shell </v>
      </c>
      <c r="E716" t="str">
        <f>IFERROR(__xludf.DUMMYFUNCTION("REGEXEXTRACT(FORMULATEXT(D716),""center=([-0-9.]+,[-0-9.]+)"")"),"#N/A")</f>
        <v>#N/A</v>
      </c>
    </row>
    <row r="717">
      <c r="A717" s="1" t="s">
        <v>714</v>
      </c>
      <c r="C717" s="2" t="str">
        <f>HYPERLINK("http://4sq.com/hALGb1","Moonstone Beach ")</f>
        <v>Moonstone Beach </v>
      </c>
      <c r="E717" t="str">
        <f>IFERROR(__xludf.DUMMYFUNCTION("REGEXEXTRACT(FORMULATEXT(D717),""center=([-0-9.]+,[-0-9.]+)"")"),"#N/A")</f>
        <v>#N/A</v>
      </c>
    </row>
    <row r="718">
      <c r="A718" s="1" t="s">
        <v>715</v>
      </c>
      <c r="C718" s="2" t="str">
        <f>HYPERLINK("http://4sq.com/b6FrPC","Elephant Seal Vista Point ")</f>
        <v>Elephant Seal Vista Point </v>
      </c>
      <c r="E718" t="str">
        <f>IFERROR(__xludf.DUMMYFUNCTION("REGEXEXTRACT(FORMULATEXT(D718),""center=([-0-9.]+,[-0-9.]+)"")"),"#N/A")</f>
        <v>#N/A</v>
      </c>
    </row>
    <row r="719">
      <c r="A719" s="1" t="s">
        <v>716</v>
      </c>
      <c r="C719" s="2" t="str">
        <f>HYPERLINK("http://4sq.com/bdVash","Olympia Motor Lodge ")</f>
        <v>Olympia Motor Lodge </v>
      </c>
      <c r="E719" t="str">
        <f>IFERROR(__xludf.DUMMYFUNCTION("REGEXEXTRACT(FORMULATEXT(D719),""center=([-0-9.]+,[-0-9.]+)"")"),"#N/A")</f>
        <v>#N/A</v>
      </c>
    </row>
    <row r="720">
      <c r="A720" s="1" t="s">
        <v>717</v>
      </c>
      <c r="C720" s="2" t="str">
        <f>HYPERLINK("http://4sq.com/aGUnDw","John Denver Memorial ")</f>
        <v>John Denver Memorial </v>
      </c>
      <c r="E720" t="str">
        <f>IFERROR(__xludf.DUMMYFUNCTION("REGEXEXTRACT(FORMULATEXT(D720),""center=([-0-9.]+,[-0-9.]+)"")"),"#N/A")</f>
        <v>#N/A</v>
      </c>
    </row>
    <row r="721">
      <c r="A721" s="1" t="s">
        <v>718</v>
      </c>
      <c r="C721" s="2" t="str">
        <f>HYPERLINK("http://4sq.com/ci8dVA","Walmart ")</f>
        <v>Walmart </v>
      </c>
      <c r="E721" t="str">
        <f>IFERROR(__xludf.DUMMYFUNCTION("REGEXEXTRACT(FORMULATEXT(D721),""center=([-0-9.]+,[-0-9.]+)"")"),"#N/A")</f>
        <v>#N/A</v>
      </c>
    </row>
    <row r="722">
      <c r="A722" s="1" t="s">
        <v>719</v>
      </c>
      <c r="C722" s="2" t="str">
        <f>HYPERLINK("http://4sq.com/mGJldL","Carls Jr ")</f>
        <v>Carls Jr </v>
      </c>
      <c r="E722" t="str">
        <f>IFERROR(__xludf.DUMMYFUNCTION("REGEXEXTRACT(FORMULATEXT(D722),""center=([-0-9.]+,[-0-9.]+)"")"),"#N/A")</f>
        <v>#N/A</v>
      </c>
    </row>
    <row r="723">
      <c r="A723" s="1" t="s">
        <v>720</v>
      </c>
      <c r="C723" s="2" t="str">
        <f>HYPERLINK("http://4sq.com/10Id3cO","EZ Mart ")</f>
        <v>EZ Mart </v>
      </c>
      <c r="E723" t="str">
        <f>IFERROR(__xludf.DUMMYFUNCTION("REGEXEXTRACT(FORMULATEXT(D723),""center=([-0-9.]+,[-0-9.]+)"")"),"#N/A")</f>
        <v>#N/A</v>
      </c>
    </row>
    <row r="724">
      <c r="A724" s="1" t="s">
        <v>721</v>
      </c>
      <c r="C724" s="2" t="str">
        <f>HYPERLINK("http://4sq.com/1bage0T","Birdsong Creek Pony Retreat ")</f>
        <v>Birdsong Creek Pony Retreat </v>
      </c>
      <c r="E724" t="str">
        <f>IFERROR(__xludf.DUMMYFUNCTION("REGEXEXTRACT(FORMULATEXT(D724),""center=([-0-9.]+,[-0-9.]+)"")"),"#N/A")</f>
        <v>#N/A</v>
      </c>
    </row>
    <row r="725">
      <c r="A725" s="1" t="s">
        <v>722</v>
      </c>
      <c r="C725" s="2" t="str">
        <f>HYPERLINK("http://4sq.com/cnCxlR","Taste of China ")</f>
        <v>Taste of China </v>
      </c>
      <c r="E725" t="str">
        <f>IFERROR(__xludf.DUMMYFUNCTION("REGEXEXTRACT(FORMULATEXT(D725),""center=([-0-9.]+,[-0-9.]+)"")"),"#N/A")</f>
        <v>#N/A</v>
      </c>
    </row>
    <row r="726">
      <c r="A726" s="1" t="s">
        <v>723</v>
      </c>
      <c r="C726" s="2" t="str">
        <f>HYPERLINK("http://4sq.com/b8JzKm","Top Of Vernal Falls ")</f>
        <v>Top Of Vernal Falls </v>
      </c>
      <c r="E726" t="str">
        <f>IFERROR(__xludf.DUMMYFUNCTION("REGEXEXTRACT(FORMULATEXT(D726),""center=([-0-9.]+,[-0-9.]+)"")"),"#N/A")</f>
        <v>#N/A</v>
      </c>
    </row>
    <row r="727">
      <c r="A727" s="1" t="s">
        <v>724</v>
      </c>
      <c r="C727" s="2" t="str">
        <f>HYPERLINK("http://4sq.com/kUGOFp","Big B's Travel Center ")</f>
        <v>Big B's Travel Center </v>
      </c>
      <c r="E727" t="str">
        <f>IFERROR(__xludf.DUMMYFUNCTION("REGEXEXTRACT(FORMULATEXT(D727),""center=([-0-9.]+,[-0-9.]+)"")"),"#N/A")</f>
        <v>#N/A</v>
      </c>
    </row>
    <row r="728">
      <c r="A728" s="1" t="s">
        <v>725</v>
      </c>
      <c r="C728" s="2" t="str">
        <f>HYPERLINK("http://4sq.com/cIy7ui","Colonel Allensworth State Historical Park ")</f>
        <v>Colonel Allensworth State Historical Park </v>
      </c>
      <c r="E728" t="str">
        <f>IFERROR(__xludf.DUMMYFUNCTION("REGEXEXTRACT(FORMULATEXT(D728),""center=([-0-9.]+,[-0-9.]+)"")"),"#N/A")</f>
        <v>#N/A</v>
      </c>
    </row>
    <row r="729">
      <c r="A729" s="1" t="s">
        <v>726</v>
      </c>
      <c r="C729" s="2" t="str">
        <f>HYPERLINK("http://4sq.com/dbuBcw","Perko's ")</f>
        <v>Perko's </v>
      </c>
      <c r="E729" t="str">
        <f>IFERROR(__xludf.DUMMYFUNCTION("REGEXEXTRACT(FORMULATEXT(D729),""center=([-0-9.]+,[-0-9.]+)"")"),"#N/A")</f>
        <v>#N/A</v>
      </c>
    </row>
    <row r="730">
      <c r="A730" s="1" t="s">
        <v>727</v>
      </c>
      <c r="C730" s="2" t="str">
        <f>HYPERLINK("http://4sq.com/4Pgaig","Thai Boom ")</f>
        <v>Thai Boom </v>
      </c>
      <c r="E730" t="str">
        <f>IFERROR(__xludf.DUMMYFUNCTION("REGEXEXTRACT(FORMULATEXT(D730),""center=([-0-9.]+,[-0-9.]+)"")"),"#N/A")</f>
        <v>#N/A</v>
      </c>
    </row>
    <row r="731">
      <c r="A731" s="1" t="s">
        <v>728</v>
      </c>
      <c r="C731" s="2" t="str">
        <f>HYPERLINK("http://4sq.com/4MVkkB","Trader Joe's ")</f>
        <v>Trader Joe's </v>
      </c>
      <c r="E731" t="str">
        <f>IFERROR(__xludf.DUMMYFUNCTION("REGEXEXTRACT(FORMULATEXT(D731),""center=([-0-9.]+,[-0-9.]+)"")"),"#N/A")</f>
        <v>#N/A</v>
      </c>
    </row>
    <row r="732">
      <c r="A732" s="1" t="s">
        <v>729</v>
      </c>
      <c r="C732" s="2" t="str">
        <f>HYPERLINK("http://4sq.com/9G7unW","Pioneer Town ")</f>
        <v>Pioneer Town </v>
      </c>
      <c r="E732" t="str">
        <f>IFERROR(__xludf.DUMMYFUNCTION("REGEXEXTRACT(FORMULATEXT(D732),""center=([-0-9.]+,[-0-9.]+)"")"),"#N/A")</f>
        <v>#N/A</v>
      </c>
    </row>
    <row r="733">
      <c r="A733" s="1" t="s">
        <v>730</v>
      </c>
      <c r="C733" s="2" t="str">
        <f>HYPERLINK("http://4sq.com/1iwxkI1","Gonzo Tacos ")</f>
        <v>Gonzo Tacos </v>
      </c>
      <c r="E733" t="str">
        <f>IFERROR(__xludf.DUMMYFUNCTION("REGEXEXTRACT(FORMULATEXT(D733),""center=([-0-9.]+,[-0-9.]+)"")"),"#N/A")</f>
        <v>#N/A</v>
      </c>
    </row>
    <row r="734">
      <c r="A734" s="1" t="s">
        <v>731</v>
      </c>
      <c r="C734" s="2" t="str">
        <f>HYPERLINK("http://4sq.com/ennrGZ","Noah Purifoy Outdoor Desert Museum ")</f>
        <v>Noah Purifoy Outdoor Desert Museum </v>
      </c>
      <c r="E734" t="str">
        <f>IFERROR(__xludf.DUMMYFUNCTION("REGEXEXTRACT(FORMULATEXT(D734),""center=([-0-9.]+,[-0-9.]+)"")"),"#N/A")</f>
        <v>#N/A</v>
      </c>
    </row>
    <row r="735">
      <c r="A735" s="1" t="s">
        <v>732</v>
      </c>
      <c r="C735" s="2" t="str">
        <f>HYPERLINK("http://4sq.com/8AwZAf","Joshua Tree National Park ")</f>
        <v>Joshua Tree National Park </v>
      </c>
      <c r="E735" t="str">
        <f>IFERROR(__xludf.DUMMYFUNCTION("REGEXEXTRACT(FORMULATEXT(D735),""center=([-0-9.]+,[-0-9.]+)"")"),"#N/A")</f>
        <v>#N/A</v>
      </c>
    </row>
    <row r="736">
      <c r="A736" s="1" t="s">
        <v>733</v>
      </c>
      <c r="C736" s="2" t="str">
        <f>HYPERLINK("http://4sq.com/12X7otZ","Walmart Supercenter ")</f>
        <v>Walmart Supercenter </v>
      </c>
      <c r="E736" t="str">
        <f>IFERROR(__xludf.DUMMYFUNCTION("REGEXEXTRACT(FORMULATEXT(D736),""center=([-0-9.]+,[-0-9.]+)"")"),"#N/A")</f>
        <v>#N/A</v>
      </c>
    </row>
    <row r="737">
      <c r="A737" s="1" t="s">
        <v>734</v>
      </c>
      <c r="C737" s="2" t="str">
        <f>HYPERLINK("http://4sq.com/ciW7UB","District Surf/Skate Shop ")</f>
        <v>District Surf/Skate Shop </v>
      </c>
      <c r="E737" t="str">
        <f>IFERROR(__xludf.DUMMYFUNCTION("REGEXEXTRACT(FORMULATEXT(D737),""center=([-0-9.]+,[-0-9.]+)"")"),"#N/A")</f>
        <v>#N/A</v>
      </c>
    </row>
    <row r="738">
      <c r="A738" s="1" t="s">
        <v>735</v>
      </c>
      <c r="C738" s="2" t="str">
        <f>HYPERLINK("http://4sq.com/9sPD8j","Arbor ")</f>
        <v>Arbor </v>
      </c>
      <c r="E738" t="str">
        <f>IFERROR(__xludf.DUMMYFUNCTION("REGEXEXTRACT(FORMULATEXT(D738),""center=([-0-9.]+,[-0-9.]+)"")"),"#N/A")</f>
        <v>#N/A</v>
      </c>
    </row>
    <row r="739">
      <c r="A739" s="1" t="s">
        <v>736</v>
      </c>
      <c r="C739" s="2" t="str">
        <f>HYPERLINK("http://4sq.com/4ORRsU","Midway Car Rental ")</f>
        <v>Midway Car Rental </v>
      </c>
      <c r="E739" t="str">
        <f>IFERROR(__xludf.DUMMYFUNCTION("REGEXEXTRACT(FORMULATEXT(D739),""center=([-0-9.]+,[-0-9.]+)"")"),"#N/A")</f>
        <v>#N/A</v>
      </c>
    </row>
    <row r="740">
      <c r="A740" s="1" t="s">
        <v>737</v>
      </c>
      <c r="C740" s="2" t="str">
        <f>HYPERLINK("http://4sq.com/ahztwp","Tom Bradley International Terminal (TBIT) ")</f>
        <v>Tom Bradley International Terminal (TBIT) </v>
      </c>
      <c r="E740" t="str">
        <f>IFERROR(__xludf.DUMMYFUNCTION("REGEXEXTRACT(FORMULATEXT(D740),""center=([-0-9.]+,[-0-9.]+)"")"),"#N/A")</f>
        <v>#N/A</v>
      </c>
    </row>
    <row r="741">
      <c r="A741" s="1" t="s">
        <v>738</v>
      </c>
      <c r="C741" s="2" t="str">
        <f>HYPERLINK("http://4sq.com/71Y0ou","Guangzhou Baiyun Int'l Airport | CAN ")</f>
        <v>Guangzhou Baiyun Int'l Airport | CAN </v>
      </c>
      <c r="E741" t="str">
        <f>IFERROR(__xludf.DUMMYFUNCTION("REGEXEXTRACT(FORMULATEXT(D741),""center=([-0-9.]+,[-0-9.]+)"")"),"#N/A")</f>
        <v>#N/A</v>
      </c>
    </row>
    <row r="742">
      <c r="A742" s="1" t="s">
        <v>739</v>
      </c>
      <c r="C742" s="2" t="str">
        <f>HYPERLINK("http://4sq.com/gNh0Y9","ç¾æ¡åå¡ Blenz Coffee / Yeasun Coffee ")</f>
        <v>ç_x0099_¾æ_x0080_¡å_x0092__x0096_å_x0095_¡ Blenz Coffee / Yeasun Coffee </v>
      </c>
      <c r="E742" t="str">
        <f>IFERROR(__xludf.DUMMYFUNCTION("REGEXEXTRACT(FORMULATEXT(D742),""center=([-0-9.]+,[-0-9.]+)"")"),"#N/A")</f>
        <v>#N/A</v>
      </c>
    </row>
    <row r="743">
      <c r="A743" s="1" t="s">
        <v>740</v>
      </c>
      <c r="C743" s="2" t="str">
        <f>HYPERLINK("http://4sq.com/r1GwwC","Bangkok Burger Company ")</f>
        <v>Bangkok Burger Company </v>
      </c>
      <c r="E743" t="str">
        <f>IFERROR(__xludf.DUMMYFUNCTION("REGEXEXTRACT(FORMULATEXT(D743),""center=([-0-9.]+,[-0-9.]+)"")"),"#N/A")</f>
        <v>#N/A</v>
      </c>
    </row>
    <row r="744">
      <c r="A744" s="1" t="s">
        <v>741</v>
      </c>
      <c r="C744" s="2" t="str">
        <f>HYPERLINK("http://4sq.com/16zOpLa","Hint CafÃ© ")</f>
        <v>Hint CafÃ© </v>
      </c>
      <c r="E744" t="str">
        <f>IFERROR(__xludf.DUMMYFUNCTION("REGEXEXTRACT(FORMULATEXT(D744),""center=([-0-9.]+,[-0-9.]+)"")"),"#N/A")</f>
        <v>#N/A</v>
      </c>
    </row>
    <row r="745">
      <c r="A745" s="1" t="s">
        <v>742</v>
      </c>
      <c r="C745" s="2" t="str">
        <f>HYPERLINK("http://4sq.com/7csql3","Suvarnabhumi Airport (BKK) à¸à¹à¸²à¸­à¸²à¸à¸²à¸¨à¸¢à¸²à¸à¸ªà¸¸à¸§à¸£à¸£à¸à¸ à¸¹à¸¡à¸´ ")</f>
        <v>Suvarnabhumi Airport (BKK) à¸_x0097_à¹_x0088_à¸²à¸­à¸²à¸_x0081_à¸²à¸¨à¸¢à¸²à¸_x0099_à¸ªà¸¸à¸§à¸£à¸£à¸_x0093_à¸ à¸¹à¸¡à¸´ </v>
      </c>
      <c r="E745" t="str">
        <f>IFERROR(__xludf.DUMMYFUNCTION("REGEXEXTRACT(FORMULATEXT(D745),""center=([-0-9.]+,[-0-9.]+)"")"),"#N/A")</f>
        <v>#N/A</v>
      </c>
    </row>
    <row r="746">
      <c r="A746" s="1" t="s">
        <v>743</v>
      </c>
      <c r="C746" s="2" t="str">
        <f>HYPERLINK("http://4sq.com/dwbrHe","The Salad Concept ")</f>
        <v>The Salad Concept </v>
      </c>
      <c r="E746" t="str">
        <f>IFERROR(__xludf.DUMMYFUNCTION("REGEXEXTRACT(FORMULATEXT(D746),""center=([-0-9.]+,[-0-9.]+)"")"),"#N/A")</f>
        <v>#N/A</v>
      </c>
    </row>
    <row r="747">
      <c r="A747" s="1" t="s">
        <v>744</v>
      </c>
      <c r="C747" s="2" t="str">
        <f>HYPERLINK("http://4sq.com/7csql3","Suvarnabhumi Airport (BKK) à¸à¹à¸²à¸­à¸²à¸à¸²à¸¨à¸¢à¸²à¸à¸ªà¸¸à¸§à¸£à¸£à¸à¸ à¸¹à¸¡à¸´ ")</f>
        <v>Suvarnabhumi Airport (BKK) à¸_x0097_à¹_x0088_à¸²à¸­à¸²à¸_x0081_à¸²à¸¨à¸¢à¸²à¸_x0099_à¸ªà¸¸à¸§à¸£à¸£à¸_x0093_à¸ à¸¹à¸¡à¸´ </v>
      </c>
      <c r="E747" t="str">
        <f>IFERROR(__xludf.DUMMYFUNCTION("REGEXEXTRACT(FORMULATEXT(D747),""center=([-0-9.]+,[-0-9.]+)"")"),"#N/A")</f>
        <v>#N/A</v>
      </c>
    </row>
    <row r="748">
      <c r="A748" s="1" t="s">
        <v>745</v>
      </c>
      <c r="C748" s="2" t="str">
        <f>HYPERLINK("http://4sq.com/qlYCs2","The Royal Oak ")</f>
        <v>The Royal Oak </v>
      </c>
      <c r="E748" t="str">
        <f>IFERROR(__xludf.DUMMYFUNCTION("REGEXEXTRACT(FORMULATEXT(D748),""center=([-0-9.]+,[-0-9.]+)"")"),"#N/A")</f>
        <v>#N/A</v>
      </c>
    </row>
    <row r="749">
      <c r="A749" s="1" t="s">
        <v>746</v>
      </c>
      <c r="C749" s="2" t="str">
        <f>HYPERLINK("http://4sq.com/1bLmZrO","Superbdog Soi 53 ")</f>
        <v>Superbdog Soi 53 </v>
      </c>
      <c r="E749" t="str">
        <f>IFERROR(__xludf.DUMMYFUNCTION("REGEXEXTRACT(FORMULATEXT(D749),""center=([-0-9.]+,[-0-9.]+)"")"),"#N/A")</f>
        <v>#N/A</v>
      </c>
    </row>
    <row r="750">
      <c r="A750" s="1" t="s">
        <v>747</v>
      </c>
      <c r="C750" s="2" t="str">
        <f>HYPERLINK("http://4sq.com/9re5J6","Night Food Stall Street (à¸¨à¸¹à¸à¸¢à¹à¸­à¸²à¸«à¸²à¸£ à¸ªà¸¸à¸à¸¸à¸¡à¸§à¸´à¸38) ")</f>
        <v>Night Food Stall Street (à¸¨à¸¹à¸_x0099_à¸¢à¹_x008c_à¸­à¸²à¸«à¸²à¸£ à¸ªà¸¸à¸_x0082_à¸¸à¸¡à¸§à¸´à¸_x0097_38) </v>
      </c>
      <c r="E750" t="str">
        <f>IFERROR(__xludf.DUMMYFUNCTION("REGEXEXTRACT(FORMULATEXT(D750),""center=([-0-9.]+,[-0-9.]+)"")"),"#N/A")</f>
        <v>#N/A</v>
      </c>
    </row>
    <row r="751">
      <c r="A751" s="1" t="s">
        <v>748</v>
      </c>
      <c r="B751" s="1" t="s">
        <v>749</v>
      </c>
      <c r="C751" s="2" t="str">
        <f>HYPERLINK("http://4sq.com/1cCv6AO","Counting Sheep Corner ")</f>
        <v>Counting Sheep Corner </v>
      </c>
      <c r="E751" t="str">
        <f>IFERROR(__xludf.DUMMYFUNCTION("REGEXEXTRACT(FORMULATEXT(D751),""center=([-0-9.]+,[-0-9.]+)"")"),"#N/A")</f>
        <v>#N/A</v>
      </c>
    </row>
    <row r="752">
      <c r="A752" s="1" t="s">
        <v>750</v>
      </c>
      <c r="C752" s="2" t="str">
        <f>HYPERLINK("http://4sq.com/17SJnrY","The Missing Piece ")</f>
        <v>The Missing Piece </v>
      </c>
      <c r="E752" t="str">
        <f>IFERROR(__xludf.DUMMYFUNCTION("REGEXEXTRACT(FORMULATEXT(D752),""center=([-0-9.]+,[-0-9.]+)"")"),"#N/A")</f>
        <v>#N/A</v>
      </c>
    </row>
    <row r="753">
      <c r="A753" s="1" t="s">
        <v>751</v>
      </c>
      <c r="C753" s="2" t="str">
        <f>HYPERLINK("http://4sq.com/ynqN58","Burger Factory ")</f>
        <v>Burger Factory </v>
      </c>
      <c r="E753" t="str">
        <f>IFERROR(__xludf.DUMMYFUNCTION("REGEXEXTRACT(FORMULATEXT(D753),""center=([-0-9.]+,[-0-9.]+)"")"),"#N/A")</f>
        <v>#N/A</v>
      </c>
    </row>
    <row r="754">
      <c r="A754" s="1" t="s">
        <v>752</v>
      </c>
      <c r="C754" s="2" t="str">
        <f>HYPERLINK("http://4sq.com/88NMQc","Four Seasons Hotel Bangkok ")</f>
        <v>Four Seasons Hotel Bangkok </v>
      </c>
      <c r="E754" t="str">
        <f>IFERROR(__xludf.DUMMYFUNCTION("REGEXEXTRACT(FORMULATEXT(D754),""center=([-0-9.]+,[-0-9.]+)"")"),"#N/A")</f>
        <v>#N/A</v>
      </c>
    </row>
    <row r="755">
      <c r="A755" s="1" t="s">
        <v>753</v>
      </c>
      <c r="C755" s="2" t="str">
        <f>HYPERLINK("http://4sq.com/cB0spg","Sizzler (ซิซซ์เลอร์) ")</f>
        <v>Sizzler (ซิซซ์เลอร์) </v>
      </c>
      <c r="E755" t="str">
        <f>IFERROR(__xludf.DUMMYFUNCTION("REGEXEXTRACT(FORMULATEXT(D755),""center=([-0-9.]+,[-0-9.]+)"")"),"#N/A")</f>
        <v>#N/A</v>
      </c>
    </row>
    <row r="756">
      <c r="A756" s="1" t="s">
        <v>754</v>
      </c>
      <c r="C756" s="2" t="str">
        <f>HYPERLINK("http://4sq.com/9Mym8J","The Old Dutch ")</f>
        <v>The Old Dutch </v>
      </c>
      <c r="E756" t="str">
        <f>IFERROR(__xludf.DUMMYFUNCTION("REGEXEXTRACT(FORMULATEXT(D756),""center=([-0-9.]+,[-0-9.]+)"")"),"#N/A")</f>
        <v>#N/A</v>
      </c>
    </row>
    <row r="757">
      <c r="A757" s="1" t="s">
        <v>755</v>
      </c>
      <c r="C757" s="2" t="str">
        <f>HYPERLINK("http://4sq.com/1cCv6AO","Counting Sheep Corner ")</f>
        <v>Counting Sheep Corner </v>
      </c>
      <c r="E757" t="str">
        <f>IFERROR(__xludf.DUMMYFUNCTION("REGEXEXTRACT(FORMULATEXT(D757),""center=([-0-9.]+,[-0-9.]+)"")"),"#N/A")</f>
        <v>#N/A</v>
      </c>
    </row>
    <row r="758">
      <c r="A758" s="1" t="s">
        <v>756</v>
      </c>
      <c r="C758" s="2" t="str">
        <f>HYPERLINK("http://4sq.com/1clbjJW","The Gardens Palace ")</f>
        <v>The Gardens Palace </v>
      </c>
      <c r="E758" t="str">
        <f>IFERROR(__xludf.DUMMYFUNCTION("REGEXEXTRACT(FORMULATEXT(D758),""center=([-0-9.]+,[-0-9.]+)"")"),"#N/A")</f>
        <v>#N/A</v>
      </c>
    </row>
    <row r="759">
      <c r="A759" s="1" t="s">
        <v>757</v>
      </c>
      <c r="C759" s="2" t="str">
        <f>HYPERLINK("http://4sq.com/5TNFC5","Bourbon Street Bar &amp; Restaurant ")</f>
        <v>Bourbon Street Bar &amp; Restaurant </v>
      </c>
      <c r="E759" t="str">
        <f>IFERROR(__xludf.DUMMYFUNCTION("REGEXEXTRACT(FORMULATEXT(D759),""center=([-0-9.]+,[-0-9.]+)"")"),"#N/A")</f>
        <v>#N/A</v>
      </c>
    </row>
    <row r="760">
      <c r="A760" s="1" t="s">
        <v>758</v>
      </c>
      <c r="C760" s="2" t="str">
        <f>HYPERLINK("http://4sq.com/1krVtPc","Tokyo Joe ")</f>
        <v>Tokyo Joe </v>
      </c>
      <c r="E760" t="str">
        <f>IFERROR(__xludf.DUMMYFUNCTION("REGEXEXTRACT(FORMULATEXT(D760),""center=([-0-9.]+,[-0-9.]+)"")"),"#N/A")</f>
        <v>#N/A</v>
      </c>
    </row>
    <row r="761">
      <c r="A761" s="1" t="s">
        <v>759</v>
      </c>
      <c r="C761" s="2" t="str">
        <f>HYPERLINK("http://4sq.com/1kpNw1k","Swimming pool at Science Center for Education ")</f>
        <v>Swimming pool at Science Center for Education </v>
      </c>
      <c r="E761" t="str">
        <f>IFERROR(__xludf.DUMMYFUNCTION("REGEXEXTRACT(FORMULATEXT(D761),""center=([-0-9.]+,[-0-9.]+)"")"),"#N/A")</f>
        <v>#N/A</v>
      </c>
    </row>
    <row r="762">
      <c r="A762" s="1" t="s">
        <v>760</v>
      </c>
      <c r="C762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  <c r="E762" t="str">
        <f>IFERROR(__xludf.DUMMYFUNCTION("REGEXEXTRACT(FORMULATEXT(D762),""center=([-0-9.]+,[-0-9.]+)"")"),"#N/A")</f>
        <v>#N/A</v>
      </c>
    </row>
    <row r="763">
      <c r="A763" s="1" t="s">
        <v>761</v>
      </c>
      <c r="C763" s="2" t="str">
        <f>HYPERLINK("http://4sq.com/15BxxT7","OCTAVE Rooftop Lounge &amp; Bar ")</f>
        <v>OCTAVE Rooftop Lounge &amp; Bar </v>
      </c>
      <c r="E763" t="str">
        <f>IFERROR(__xludf.DUMMYFUNCTION("REGEXEXTRACT(FORMULATEXT(D763),""center=([-0-9.]+,[-0-9.]+)"")"),"#N/A")</f>
        <v>#N/A</v>
      </c>
    </row>
    <row r="764">
      <c r="A764" s="1" t="s">
        <v>762</v>
      </c>
      <c r="C764" s="2" t="str">
        <f>HYPERLINK("http://4sq.com/e3gDzA","Omu (โอมุ) おむ ")</f>
        <v>Omu (โอมุ) おむ </v>
      </c>
      <c r="E764" t="str">
        <f>IFERROR(__xludf.DUMMYFUNCTION("REGEXEXTRACT(FORMULATEXT(D764),""center=([-0-9.]+,[-0-9.]+)"")"),"#N/A")</f>
        <v>#N/A</v>
      </c>
    </row>
    <row r="765">
      <c r="A765" s="1" t="s">
        <v>763</v>
      </c>
      <c r="C765" s="2" t="str">
        <f>HYPERLINK("http://4sq.com/cccczl","สวนอาหารนาทอง (Nathong Restaurant) ")</f>
        <v>สวนอาหารนาทอง (Nathong Restaurant) </v>
      </c>
      <c r="E765" t="str">
        <f>IFERROR(__xludf.DUMMYFUNCTION("REGEXEXTRACT(FORMULATEXT(D765),""center=([-0-9.]+,[-0-9.]+)"")"),"#N/A")</f>
        <v>#N/A</v>
      </c>
    </row>
    <row r="766">
      <c r="A766" s="1" t="s">
        <v>764</v>
      </c>
      <c r="C766" s="2" t="str">
        <f>HYPERLINK("http://4sq.com/dXlI4f","Ocean Marina Yacht Club ")</f>
        <v>Ocean Marina Yacht Club </v>
      </c>
      <c r="E766" t="str">
        <f>IFERROR(__xludf.DUMMYFUNCTION("REGEXEXTRACT(FORMULATEXT(D766),""center=([-0-9.]+,[-0-9.]+)"")"),"#N/A")</f>
        <v>#N/A</v>
      </c>
    </row>
    <row r="767">
      <c r="A767" s="1" t="s">
        <v>765</v>
      </c>
      <c r="C767" s="2" t="str">
        <f>HYPERLINK("http://4sq.com/94gNfR","7/11บ้านอำเภอ ")</f>
        <v>7/11บ้านอำเภอ </v>
      </c>
      <c r="E767" t="str">
        <f>IFERROR(__xludf.DUMMYFUNCTION("REGEXEXTRACT(FORMULATEXT(D767),""center=([-0-9.]+,[-0-9.]+)"")"),"#N/A")</f>
        <v>#N/A</v>
      </c>
    </row>
    <row r="768">
      <c r="A768" s="1" t="s">
        <v>766</v>
      </c>
      <c r="C768" s="2" t="str">
        <f>HYPERLINK("http://4sq.com/9lM1QI","ท่าเรือนวลทิพย์ (Nuanthip Pier) ")</f>
        <v>ท่าเรือนวลทิพย์ (Nuanthip Pier) </v>
      </c>
      <c r="E768" t="str">
        <f>IFERROR(__xludf.DUMMYFUNCTION("REGEXEXTRACT(FORMULATEXT(D768),""center=([-0-9.]+,[-0-9.]+)"")"),"#N/A")</f>
        <v>#N/A</v>
      </c>
    </row>
    <row r="769">
      <c r="A769" s="1" t="s">
        <v>767</v>
      </c>
      <c r="C769" s="2" t="str">
        <f>HYPERLINK("http://4sq.com/aUw680","Koh Samet Pier (ท่าเรือเกาะเสม็ด) ")</f>
        <v>Koh Samet Pier (ท่าเรือเกาะเสม็ด) </v>
      </c>
      <c r="E769" t="str">
        <f>IFERROR(__xludf.DUMMYFUNCTION("REGEXEXTRACT(FORMULATEXT(D769),""center=([-0-9.]+,[-0-9.]+)"")"),"#N/A")</f>
        <v>#N/A</v>
      </c>
    </row>
    <row r="770">
      <c r="A770" s="1" t="s">
        <v>768</v>
      </c>
      <c r="C770" s="2" t="str">
        <f>HYPERLINK("http://4sq.com/9j3GM0","Vongdeuan Resort ")</f>
        <v>Vongdeuan Resort </v>
      </c>
      <c r="E770" t="str">
        <f>IFERROR(__xludf.DUMMYFUNCTION("REGEXEXTRACT(FORMULATEXT(D770),""center=([-0-9.]+,[-0-9.]+)"")"),"#N/A")</f>
        <v>#N/A</v>
      </c>
    </row>
    <row r="771">
      <c r="A771" s="1" t="s">
        <v>769</v>
      </c>
      <c r="C771" s="2" t="str">
        <f>HYPERLINK("http://4sq.com/vWVayL","Tubtim Resort (ทับทิมรีสอร์ท) ")</f>
        <v>Tubtim Resort (ทับทิมรีสอร์ท) </v>
      </c>
      <c r="E771" t="str">
        <f>IFERROR(__xludf.DUMMYFUNCTION("REGEXEXTRACT(FORMULATEXT(D771),""center=([-0-9.]+,[-0-9.]+)"")"),"#N/A")</f>
        <v>#N/A</v>
      </c>
    </row>
    <row r="772">
      <c r="A772" s="1" t="s">
        <v>770</v>
      </c>
      <c r="C772" s="2" t="str">
        <f>HYPERLINK("http://4sq.com/aC8K0d","โรงพยาบาลสัตว์เจริญสุข (Charoensuk Animal Hospital) ")</f>
        <v>โรงพยาบาลสัตว์เจริญสุข (Charoensuk Animal Hospital) </v>
      </c>
      <c r="E772" t="str">
        <f>IFERROR(__xludf.DUMMYFUNCTION("REGEXEXTRACT(FORMULATEXT(D772),""center=([-0-9.]+,[-0-9.]+)"")"),"#N/A")</f>
        <v>#N/A</v>
      </c>
    </row>
    <row r="773">
      <c r="A773" s="1" t="s">
        <v>771</v>
      </c>
      <c r="C773" s="2" t="str">
        <f>HYPERLINK("http://4sq.com/1fhA4Jq","The Shoppes Grand Rama 9 ")</f>
        <v>The Shoppes Grand Rama 9 </v>
      </c>
      <c r="E773" t="str">
        <f>IFERROR(__xludf.DUMMYFUNCTION("REGEXEXTRACT(FORMULATEXT(D773),""center=([-0-9.]+,[-0-9.]+)"")"),"#N/A")</f>
        <v>#N/A</v>
      </c>
    </row>
    <row r="774">
      <c r="A774" s="1" t="s">
        <v>771</v>
      </c>
      <c r="C774" s="2" t="str">
        <f>HYPERLINK("http://4sq.com/JDAKvL","mix restaurant &amp; bar ")</f>
        <v>mix restaurant &amp; bar </v>
      </c>
      <c r="E774" t="str">
        <f>IFERROR(__xludf.DUMMYFUNCTION("REGEXEXTRACT(FORMULATEXT(D774),""center=([-0-9.]+,[-0-9.]+)"")"),"#N/A")</f>
        <v>#N/A</v>
      </c>
    </row>
    <row r="775">
      <c r="A775" s="1" t="s">
        <v>772</v>
      </c>
      <c r="C775" s="2" t="str">
        <f>HYPERLINK("http://4sq.com/arto9u","ปตท. (PTT Petrol &amp; LPG) ")</f>
        <v>ปตท. (PTT Petrol &amp; LPG) </v>
      </c>
      <c r="E775" t="str">
        <f>IFERROR(__xludf.DUMMYFUNCTION("REGEXEXTRACT(FORMULATEXT(D775),""center=([-0-9.]+,[-0-9.]+)"")"),"#N/A")</f>
        <v>#N/A</v>
      </c>
    </row>
    <row r="776">
      <c r="A776" s="1" t="s">
        <v>773</v>
      </c>
      <c r="C776" s="2" t="str">
        <f>HYPERLINK("http://4sq.com/aUSG32","ปตท. (PTT) ")</f>
        <v>ปตท. (PTT) </v>
      </c>
      <c r="E776" t="str">
        <f>IFERROR(__xludf.DUMMYFUNCTION("REGEXEXTRACT(FORMULATEXT(D776),""center=([-0-9.]+,[-0-9.]+)"")"),"#N/A")</f>
        <v>#N/A</v>
      </c>
    </row>
    <row r="777">
      <c r="A777" s="1" t="s">
        <v>774</v>
      </c>
      <c r="C777" s="2" t="str">
        <f>HYPERLINK("http://4sq.com/aIdQTo","PTT (ปตท) ")</f>
        <v>PTT (ปตท) </v>
      </c>
      <c r="E777" t="str">
        <f>IFERROR(__xludf.DUMMYFUNCTION("REGEXEXTRACT(FORMULATEXT(D777),""center=([-0-9.]+,[-0-9.]+)"")"),"#N/A")</f>
        <v>#N/A</v>
      </c>
    </row>
    <row r="778">
      <c r="A778" s="1" t="s">
        <v>775</v>
      </c>
      <c r="C778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  <c r="E778" t="str">
        <f>IFERROR(__xludf.DUMMYFUNCTION("REGEXEXTRACT(FORMULATEXT(D778),""center=([-0-9.]+,[-0-9.]+)"")"),"#N/A")</f>
        <v>#N/A</v>
      </c>
    </row>
    <row r="779">
      <c r="A779" s="1" t="s">
        <v>776</v>
      </c>
      <c r="C779" s="2" t="str">
        <f>HYPERLINK("http://4sq.com/9QlUf2","Tesco Lotus (เทสโก้ โลตัส) ")</f>
        <v>Tesco Lotus (เทสโก้ โลตัส) </v>
      </c>
      <c r="E779" t="str">
        <f>IFERROR(__xludf.DUMMYFUNCTION("REGEXEXTRACT(FORMULATEXT(D779),""center=([-0-9.]+,[-0-9.]+)"")"),"#N/A")</f>
        <v>#N/A</v>
      </c>
    </row>
    <row r="780">
      <c r="A780" s="1" t="s">
        <v>777</v>
      </c>
      <c r="C780" s="2" t="str">
        <f>HYPERLINK("http://4sq.com/eVsk0p","Lalita restaurant ")</f>
        <v>Lalita restaurant </v>
      </c>
      <c r="E780" t="str">
        <f>IFERROR(__xludf.DUMMYFUNCTION("REGEXEXTRACT(FORMULATEXT(D780),""center=([-0-9.]+,[-0-9.]+)"")"),"#N/A")</f>
        <v>#N/A</v>
      </c>
    </row>
    <row r="781">
      <c r="A781" s="1" t="s">
        <v>778</v>
      </c>
      <c r="C781" s="2" t="str">
        <f>HYPERLINK("http://4sq.com/7JtRnI","Chiang Mai Rock Climbing Adventures ")</f>
        <v>Chiang Mai Rock Climbing Adventures </v>
      </c>
      <c r="E781" t="str">
        <f>IFERROR(__xludf.DUMMYFUNCTION("REGEXEXTRACT(FORMULATEXT(D781),""center=([-0-9.]+,[-0-9.]+)"")"),"#N/A")</f>
        <v>#N/A</v>
      </c>
    </row>
    <row r="782">
      <c r="A782" s="1" t="s">
        <v>779</v>
      </c>
      <c r="C782" s="2" t="str">
        <f>HYPERLINK("http://4sq.com/exsQiR","Thawepaan Wood Flooring ")</f>
        <v>Thawepaan Wood Flooring </v>
      </c>
      <c r="E782" t="str">
        <f>IFERROR(__xludf.DUMMYFUNCTION("REGEXEXTRACT(FORMULATEXT(D782),""center=([-0-9.]+,[-0-9.]+)"")"),"#N/A")</f>
        <v>#N/A</v>
      </c>
    </row>
    <row r="783">
      <c r="A783" s="1" t="s">
        <v>780</v>
      </c>
      <c r="C783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  <c r="E783" t="str">
        <f>IFERROR(__xludf.DUMMYFUNCTION("REGEXEXTRACT(FORMULATEXT(D783),""center=([-0-9.]+,[-0-9.]+)"")"),"#N/A")</f>
        <v>#N/A</v>
      </c>
    </row>
    <row r="784">
      <c r="A784" s="1" t="s">
        <v>781</v>
      </c>
      <c r="C784" s="2" t="str">
        <f>HYPERLINK("http://4sq.com/9XDopM","Chiang Mai Zoo (สวนสัตว์เชียงใหม่) ")</f>
        <v>Chiang Mai Zoo (สวนสัตว์เชียงใหม่) </v>
      </c>
      <c r="E784" t="str">
        <f>IFERROR(__xludf.DUMMYFUNCTION("REGEXEXTRACT(FORMULATEXT(D784),""center=([-0-9.]+,[-0-9.]+)"")"),"#N/A")</f>
        <v>#N/A</v>
      </c>
    </row>
    <row r="785">
      <c r="A785" s="1" t="s">
        <v>782</v>
      </c>
      <c r="C785" s="2" t="str">
        <f>HYPERLINK("http://4sq.com/ygQbU1","ร้านทีเทน T-ten Cafe'(หน้าม.ช) ")</f>
        <v>ร้านทีเทน T-ten Cafe'(หน้าม.ช) </v>
      </c>
      <c r="E785" t="str">
        <f>IFERROR(__xludf.DUMMYFUNCTION("REGEXEXTRACT(FORMULATEXT(D785),""center=([-0-9.]+,[-0-9.]+)"")"),"#N/A")</f>
        <v>#N/A</v>
      </c>
    </row>
    <row r="786">
      <c r="A786" s="1" t="s">
        <v>783</v>
      </c>
      <c r="C786" s="2" t="str">
        <f>HYPERLINK("http://4sq.com/1hVXHYn","and ann coffee ")</f>
        <v>and ann coffee </v>
      </c>
      <c r="E786" t="str">
        <f>IFERROR(__xludf.DUMMYFUNCTION("REGEXEXTRACT(FORMULATEXT(D786),""center=([-0-9.]+,[-0-9.]+)"")"),"#N/A")</f>
        <v>#N/A</v>
      </c>
    </row>
    <row r="787">
      <c r="A787" s="1" t="s">
        <v>784</v>
      </c>
      <c r="C787" s="2" t="str">
        <f>HYPERLINK("http://4sq.com/VuG5rl","Steak Of The Day ")</f>
        <v>Steak Of The Day </v>
      </c>
      <c r="E787" t="str">
        <f>IFERROR(__xludf.DUMMYFUNCTION("REGEXEXTRACT(FORMULATEXT(D787),""center=([-0-9.]+,[-0-9.]+)"")"),"#N/A")</f>
        <v>#N/A</v>
      </c>
    </row>
    <row r="788">
      <c r="A788" s="1" t="s">
        <v>785</v>
      </c>
      <c r="C788" s="2" t="str">
        <f>HYPERLINK("http://4sq.com/9dAeh7","Boat (โบ๊ต) ")</f>
        <v>Boat (โบ๊ต) </v>
      </c>
      <c r="E788" t="str">
        <f>IFERROR(__xludf.DUMMYFUNCTION("REGEXEXTRACT(FORMULATEXT(D788),""center=([-0-9.]+,[-0-9.]+)"")"),"#N/A")</f>
        <v>#N/A</v>
      </c>
    </row>
    <row r="789">
      <c r="A789" s="1" t="s">
        <v>786</v>
      </c>
      <c r="C789" s="2" t="str">
        <f>HYPERLINK("http://4sq.com/b7UbPs","MIX (มิกซ์) ")</f>
        <v>MIX (มิกซ์) </v>
      </c>
      <c r="E789" t="str">
        <f>IFERROR(__xludf.DUMMYFUNCTION("REGEXEXTRACT(FORMULATEXT(D789),""center=([-0-9.]+,[-0-9.]+)"")"),"#N/A")</f>
        <v>#N/A</v>
      </c>
    </row>
    <row r="790">
      <c r="A790" s="1" t="s">
        <v>787</v>
      </c>
      <c r="C790" s="2" t="str">
        <f>HYPERLINK("http://4sq.com/9Xt3FL","ห้วยตึงเฒ่า (Huay Tueng Tao) ")</f>
        <v>ห้วยตึงเฒ่า (Huay Tueng Tao) </v>
      </c>
      <c r="E790" t="str">
        <f>IFERROR(__xludf.DUMMYFUNCTION("REGEXEXTRACT(FORMULATEXT(D790),""center=([-0-9.]+,[-0-9.]+)"")"),"#N/A")</f>
        <v>#N/A</v>
      </c>
    </row>
    <row r="791">
      <c r="A791" s="1" t="s">
        <v>788</v>
      </c>
      <c r="C791" s="2" t="str">
        <f>HYPERLINK("http://4sq.com/tp675L","700 Year Stadium, Swimming Pool ")</f>
        <v>700 Year Stadium, Swimming Pool </v>
      </c>
      <c r="E791" t="str">
        <f>IFERROR(__xludf.DUMMYFUNCTION("REGEXEXTRACT(FORMULATEXT(D791),""center=([-0-9.]+,[-0-9.]+)"")"),"#N/A")</f>
        <v>#N/A</v>
      </c>
    </row>
    <row r="792">
      <c r="A792" s="1" t="s">
        <v>789</v>
      </c>
      <c r="C792" s="2" t="str">
        <f>HYPERLINK("http://4sq.com/goItYH","เฮือนสุนทรี เวชานนท์ (Huen Soontaree Vechanont) ")</f>
        <v>เฮือนสุนทรี เวชานนท์ (Huen Soontaree Vechanont) </v>
      </c>
      <c r="E792" t="str">
        <f>IFERROR(__xludf.DUMMYFUNCTION("REGEXEXTRACT(FORMULATEXT(D792),""center=([-0-9.]+,[-0-9.]+)"")"),"#N/A")</f>
        <v>#N/A</v>
      </c>
    </row>
    <row r="793">
      <c r="A793" s="1" t="s">
        <v>790</v>
      </c>
      <c r="C793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793" t="str">
        <f>IFERROR(__xludf.DUMMYFUNCTION("REGEXEXTRACT(FORMULATEXT(D793),""center=([-0-9.]+,[-0-9.]+)"")"),"#N/A")</f>
        <v>#N/A</v>
      </c>
    </row>
    <row r="794">
      <c r="A794" s="1" t="s">
        <v>791</v>
      </c>
      <c r="C794" s="2" t="str">
        <f>HYPERLINK("http://4sq.com/c5cHpN","ข้าวมันไก่โกเฮง ")</f>
        <v>ข้าวมันไก่โกเฮง </v>
      </c>
      <c r="E794" t="str">
        <f>IFERROR(__xludf.DUMMYFUNCTION("REGEXEXTRACT(FORMULATEXT(D794),""center=([-0-9.]+,[-0-9.]+)"")"),"#N/A")</f>
        <v>#N/A</v>
      </c>
    </row>
    <row r="795">
      <c r="A795" s="1" t="s">
        <v>792</v>
      </c>
      <c r="C795" s="2" t="str">
        <f>HYPERLINK("http://4sq.com/dwBNev","แกงร้อนบ้านสวน (Kang Ron Baan Suan) ")</f>
        <v>แกงร้อนบ้านสวน (Kang Ron Baan Suan) </v>
      </c>
      <c r="E795" t="str">
        <f>IFERROR(__xludf.DUMMYFUNCTION("REGEXEXTRACT(FORMULATEXT(D795),""center=([-0-9.]+,[-0-9.]+)"")"),"#N/A")</f>
        <v>#N/A</v>
      </c>
    </row>
    <row r="796">
      <c r="A796" s="1" t="s">
        <v>793</v>
      </c>
      <c r="C796" s="2" t="str">
        <f>HYPERLINK("http://4sq.com/tp675L","700 Year Stadium, Swimming Pool ")</f>
        <v>700 Year Stadium, Swimming Pool </v>
      </c>
      <c r="E796" t="str">
        <f>IFERROR(__xludf.DUMMYFUNCTION("REGEXEXTRACT(FORMULATEXT(D796),""center=([-0-9.]+,[-0-9.]+)"")"),"#N/A")</f>
        <v>#N/A</v>
      </c>
    </row>
    <row r="797">
      <c r="A797" s="1" t="s">
        <v>794</v>
      </c>
      <c r="C797" s="2" t="str">
        <f>HYPERLINK("http://4sq.com/co3YC5","โรงพยาบาลลานนา (Lanna Hospital) ")</f>
        <v>โรงพยาบาลลานนา (Lanna Hospital) </v>
      </c>
      <c r="E797" t="str">
        <f>IFERROR(__xludf.DUMMYFUNCTION("REGEXEXTRACT(FORMULATEXT(D797),""center=([-0-9.]+,[-0-9.]+)"")"),"#N/A")</f>
        <v>#N/A</v>
      </c>
    </row>
    <row r="798">
      <c r="A798" s="1" t="s">
        <v>795</v>
      </c>
      <c r="C798" s="2" t="str">
        <f>HYPERLINK("http://4sq.com/rMFGBm","Baan tawai Creative village ")</f>
        <v>Baan tawai Creative village </v>
      </c>
      <c r="E798" t="str">
        <f>IFERROR(__xludf.DUMMYFUNCTION("REGEXEXTRACT(FORMULATEXT(D798),""center=([-0-9.]+,[-0-9.]+)"")"),"#N/A")</f>
        <v>#N/A</v>
      </c>
    </row>
    <row r="799">
      <c r="A799" s="1" t="s">
        <v>796</v>
      </c>
      <c r="C799" s="2" t="str">
        <f>HYPERLINK("http://4sq.com/c6ht6E","Pankled Coffee Corner ")</f>
        <v>Pankled Coffee Corner </v>
      </c>
      <c r="E799" t="str">
        <f>IFERROR(__xludf.DUMMYFUNCTION("REGEXEXTRACT(FORMULATEXT(D799),""center=([-0-9.]+,[-0-9.]+)"")"),"#N/A")</f>
        <v>#N/A</v>
      </c>
    </row>
    <row r="800">
      <c r="A800" s="1" t="s">
        <v>797</v>
      </c>
      <c r="C800" s="2" t="str">
        <f>HYPERLINK("http://4sq.com/1semVF4","เสพย์ศิลป์ กลิ่นกาแฟบ้านนอก ")</f>
        <v>เสพย์ศิลป์ กลิ่นกาแฟบ้านนอก </v>
      </c>
      <c r="E800" t="str">
        <f>IFERROR(__xludf.DUMMYFUNCTION("REGEXEXTRACT(FORMULATEXT(D800),""center=([-0-9.]+,[-0-9.]+)"")"),"#N/A")</f>
        <v>#N/A</v>
      </c>
    </row>
    <row r="801">
      <c r="A801" s="1" t="s">
        <v>798</v>
      </c>
      <c r="C801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E801" t="str">
        <f>IFERROR(__xludf.DUMMYFUNCTION("REGEXEXTRACT(FORMULATEXT(D801),""center=([-0-9.]+,[-0-9.]+)"")"),"#N/A")</f>
        <v>#N/A</v>
      </c>
    </row>
    <row r="802">
      <c r="A802" s="1" t="s">
        <v>799</v>
      </c>
      <c r="C802" s="2" t="str">
        <f>HYPERLINK("http://4sq.com/1avBSgL","Coffee Monster ")</f>
        <v>Coffee Monster </v>
      </c>
      <c r="E802" t="str">
        <f>IFERROR(__xludf.DUMMYFUNCTION("REGEXEXTRACT(FORMULATEXT(D802),""center=([-0-9.]+,[-0-9.]+)"")"),"#N/A")</f>
        <v>#N/A</v>
      </c>
    </row>
    <row r="803">
      <c r="A803" s="1" t="s">
        <v>800</v>
      </c>
      <c r="C803" s="2" t="str">
        <f>HYPERLINK("http://4sq.com/tp675L","700 Year Stadium, Swimming Pool ")</f>
        <v>700 Year Stadium, Swimming Pool </v>
      </c>
      <c r="E803" t="str">
        <f>IFERROR(__xludf.DUMMYFUNCTION("REGEXEXTRACT(FORMULATEXT(D803),""center=([-0-9.]+,[-0-9.]+)"")"),"#N/A")</f>
        <v>#N/A</v>
      </c>
    </row>
    <row r="804">
      <c r="A804" s="1" t="s">
        <v>801</v>
      </c>
      <c r="C804" s="2" t="str">
        <f>HYPERLINK("http://4sq.com/aPleE1","Mae Rim Post Office ")</f>
        <v>Mae Rim Post Office </v>
      </c>
      <c r="E804" t="str">
        <f>IFERROR(__xludf.DUMMYFUNCTION("REGEXEXTRACT(FORMULATEXT(D804),""center=([-0-9.]+,[-0-9.]+)"")"),"#N/A")</f>
        <v>#N/A</v>
      </c>
    </row>
    <row r="805">
      <c r="A805" s="1" t="s">
        <v>802</v>
      </c>
      <c r="C805" s="2" t="str">
        <f>HYPERLINK("http://4sq.com/1nmYvJJ","661 Foods &amp; Craft ")</f>
        <v>661 Foods &amp; Craft </v>
      </c>
      <c r="E805" t="str">
        <f>IFERROR(__xludf.DUMMYFUNCTION("REGEXEXTRACT(FORMULATEXT(D805),""center=([-0-9.]+,[-0-9.]+)"")"),"#N/A")</f>
        <v>#N/A</v>
      </c>
    </row>
    <row r="806">
      <c r="A806" s="1" t="s">
        <v>803</v>
      </c>
      <c r="C806" s="2" t="str">
        <f>HYPERLINK("http://4sq.com/ggUj4S","D2Pai Resort ")</f>
        <v>D2Pai Resort </v>
      </c>
      <c r="E806" t="str">
        <f>IFERROR(__xludf.DUMMYFUNCTION("REGEXEXTRACT(FORMULATEXT(D806),""center=([-0-9.]+,[-0-9.]+)"")"),"#N/A")</f>
        <v>#N/A</v>
      </c>
    </row>
    <row r="807">
      <c r="A807" s="1" t="s">
        <v>804</v>
      </c>
      <c r="C807" s="2" t="str">
        <f>HYPERLINK("http://4sq.com/1nmYvJJ","661 Foods &amp; Craft ")</f>
        <v>661 Foods &amp; Craft </v>
      </c>
      <c r="E807" t="str">
        <f>IFERROR(__xludf.DUMMYFUNCTION("REGEXEXTRACT(FORMULATEXT(D807),""center=([-0-9.]+,[-0-9.]+)"")"),"#N/A")</f>
        <v>#N/A</v>
      </c>
    </row>
    <row r="808">
      <c r="A808" s="1" t="s">
        <v>805</v>
      </c>
      <c r="C808" s="2" t="str">
        <f>HYPERLINK("http://4sq.com/gG7TyK","Cafe'd'tist ")</f>
        <v>Cafe'd'tist </v>
      </c>
      <c r="E808" t="str">
        <f>IFERROR(__xludf.DUMMYFUNCTION("REGEXEXTRACT(FORMULATEXT(D808),""center=([-0-9.]+,[-0-9.]+)"")"),"#N/A")</f>
        <v>#N/A</v>
      </c>
    </row>
    <row r="809">
      <c r="A809" s="1" t="s">
        <v>806</v>
      </c>
      <c r="C809" s="2" t="str">
        <f>HYPERLINK("http://4sq.com/i7U1v4","Pairadise ")</f>
        <v>Pairadise </v>
      </c>
      <c r="E809" t="str">
        <f>IFERROR(__xludf.DUMMYFUNCTION("REGEXEXTRACT(FORMULATEXT(D809),""center=([-0-9.]+,[-0-9.]+)"")"),"#N/A")</f>
        <v>#N/A</v>
      </c>
    </row>
    <row r="810">
      <c r="A810" s="1" t="s">
        <v>807</v>
      </c>
      <c r="C810" s="2" t="str">
        <f>HYPERLINK("http://4sq.com/10SdwaI","Reverie Siam ")</f>
        <v>Reverie Siam </v>
      </c>
      <c r="E810" t="str">
        <f>IFERROR(__xludf.DUMMYFUNCTION("REGEXEXTRACT(FORMULATEXT(D810),""center=([-0-9.]+,[-0-9.]+)"")"),"#N/A")</f>
        <v>#N/A</v>
      </c>
    </row>
    <row r="811">
      <c r="A811" s="1" t="s">
        <v>808</v>
      </c>
      <c r="C811" s="2" t="str">
        <f>HYPERLINK("http://4sq.com/YvAJJq","Khunnaiternsai Guesthouse ")</f>
        <v>Khunnaiternsai Guesthouse </v>
      </c>
      <c r="E811" t="str">
        <f>IFERROR(__xludf.DUMMYFUNCTION("REGEXEXTRACT(FORMULATEXT(D811),""center=([-0-9.]+,[-0-9.]+)"")"),"#N/A")</f>
        <v>#N/A</v>
      </c>
    </row>
    <row r="812">
      <c r="A812" s="1" t="s">
        <v>809</v>
      </c>
      <c r="C812" s="2" t="str">
        <f>HYPERLINK("http://4sq.com/vVSGPv","จุดตรวจแม่ยะ ")</f>
        <v>จุดตรวจแม่ยะ </v>
      </c>
      <c r="E812" t="str">
        <f>IFERROR(__xludf.DUMMYFUNCTION("REGEXEXTRACT(FORMULATEXT(D812),""center=([-0-9.]+,[-0-9.]+)"")"),"#N/A")</f>
        <v>#N/A</v>
      </c>
    </row>
    <row r="813">
      <c r="A813" s="1" t="s">
        <v>810</v>
      </c>
      <c r="C813" s="2" t="str">
        <f>HYPERLINK("http://4sq.com/mNtm2L","32 Coffee Hill ")</f>
        <v>32 Coffee Hill </v>
      </c>
      <c r="E813" t="str">
        <f>IFERROR(__xludf.DUMMYFUNCTION("REGEXEXTRACT(FORMULATEXT(D813),""center=([-0-9.]+,[-0-9.]+)"")"),"#N/A")</f>
        <v>#N/A</v>
      </c>
    </row>
    <row r="814">
      <c r="A814" s="1" t="s">
        <v>811</v>
      </c>
      <c r="C814" s="2" t="str">
        <f>HYPERLINK("http://4sq.com/SGmMxm","I Don't know ")</f>
        <v>I Don't know </v>
      </c>
      <c r="E814" t="str">
        <f>IFERROR(__xludf.DUMMYFUNCTION("REGEXEXTRACT(FORMULATEXT(D814),""center=([-0-9.]+,[-0-9.]+)"")"),"#N/A")</f>
        <v>#N/A</v>
      </c>
    </row>
    <row r="815">
      <c r="A815" s="1" t="s">
        <v>812</v>
      </c>
      <c r="C815" s="2" t="str">
        <f>HYPERLINK("http://4sq.com/eF8Lbu","มีโชคพลาซ่า (Meechok Plaza) ")</f>
        <v>มีโชคพลาซ่า (Meechok Plaza) </v>
      </c>
      <c r="E815" t="str">
        <f>IFERROR(__xludf.DUMMYFUNCTION("REGEXEXTRACT(FORMULATEXT(D815),""center=([-0-9.]+,[-0-9.]+)"")"),"#N/A")</f>
        <v>#N/A</v>
      </c>
    </row>
    <row r="816">
      <c r="A816" s="1" t="s">
        <v>813</v>
      </c>
      <c r="C816" s="2" t="str">
        <f>HYPERLINK("http://4sq.com/QCp9y2","Velocity ")</f>
        <v>Velocity </v>
      </c>
      <c r="E816" t="str">
        <f>IFERROR(__xludf.DUMMYFUNCTION("REGEXEXTRACT(FORMULATEXT(D816),""center=([-0-9.]+,[-0-9.]+)"")"),"#N/A")</f>
        <v>#N/A</v>
      </c>
    </row>
    <row r="817">
      <c r="A817" s="1" t="s">
        <v>814</v>
      </c>
      <c r="C817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  <c r="E817" t="str">
        <f>IFERROR(__xludf.DUMMYFUNCTION("REGEXEXTRACT(FORMULATEXT(D817),""center=([-0-9.]+,[-0-9.]+)"")"),"#N/A")</f>
        <v>#N/A</v>
      </c>
    </row>
    <row r="818">
      <c r="A818" s="1" t="s">
        <v>815</v>
      </c>
      <c r="C818" s="2" t="str">
        <f>HYPERLINK("http://4sq.com/ddc64z","Bake &amp; Bite ")</f>
        <v>Bake &amp; Bite </v>
      </c>
      <c r="E818" t="str">
        <f>IFERROR(__xludf.DUMMYFUNCTION("REGEXEXTRACT(FORMULATEXT(D818),""center=([-0-9.]+,[-0-9.]+)"")"),"#N/A")</f>
        <v>#N/A</v>
      </c>
    </row>
    <row r="819">
      <c r="A819" s="1" t="s">
        <v>816</v>
      </c>
      <c r="C819" s="2" t="str">
        <f>HYPERLINK("http://4sq.com/goItYH","เฮือนสุนทรี เวชานนท์ (Huen Soontaree Vechanont) ")</f>
        <v>เฮือนสุนทรี เวชานนท์ (Huen Soontaree Vechanont) </v>
      </c>
      <c r="E819" t="str">
        <f>IFERROR(__xludf.DUMMYFUNCTION("REGEXEXTRACT(FORMULATEXT(D819),""center=([-0-9.]+,[-0-9.]+)"")"),"#N/A")</f>
        <v>#N/A</v>
      </c>
    </row>
    <row r="820">
      <c r="A820" s="1" t="s">
        <v>817</v>
      </c>
      <c r="C820" s="2" t="str">
        <f>HYPERLINK("http://4sq.com/u2BLI0","Ptt maerim ")</f>
        <v>Ptt maerim </v>
      </c>
      <c r="E820" t="str">
        <f>IFERROR(__xludf.DUMMYFUNCTION("REGEXEXTRACT(FORMULATEXT(D820),""center=([-0-9.]+,[-0-9.]+)"")"),"#N/A")</f>
        <v>#N/A</v>
      </c>
    </row>
    <row r="821">
      <c r="A821" s="1" t="s">
        <v>818</v>
      </c>
      <c r="C82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821" t="str">
        <f>IFERROR(__xludf.DUMMYFUNCTION("REGEXEXTRACT(FORMULATEXT(D821),""center=([-0-9.]+,[-0-9.]+)"")"),"#N/A")</f>
        <v>#N/A</v>
      </c>
    </row>
    <row r="822">
      <c r="A822" s="1" t="s">
        <v>819</v>
      </c>
      <c r="C822" s="2" t="str">
        <f>HYPERLINK("http://4sq.com/9LQcv4","Visa Division ")</f>
        <v>Visa Division </v>
      </c>
      <c r="E822" t="str">
        <f>IFERROR(__xludf.DUMMYFUNCTION("REGEXEXTRACT(FORMULATEXT(D822),""center=([-0-9.]+,[-0-9.]+)"")"),"#N/A")</f>
        <v>#N/A</v>
      </c>
    </row>
    <row r="823">
      <c r="A823" s="1" t="s">
        <v>820</v>
      </c>
      <c r="C823" s="2" t="str">
        <f t="shared" ref="C823:C824" si="30">HYPERLINK("http://4sq.com/aeDVYJ","Pullman Bangkok King Power ")</f>
        <v>Pullman Bangkok King Power </v>
      </c>
      <c r="E823" t="str">
        <f>IFERROR(__xludf.DUMMYFUNCTION("REGEXEXTRACT(FORMULATEXT(D823),""center=([-0-9.]+,[-0-9.]+)"")"),"#N/A")</f>
        <v>#N/A</v>
      </c>
    </row>
    <row r="824">
      <c r="A824" s="1" t="s">
        <v>821</v>
      </c>
      <c r="C824" s="2" t="str">
        <f t="shared" si="30"/>
        <v>Pullman Bangkok King Power </v>
      </c>
      <c r="E824" t="str">
        <f>IFERROR(__xludf.DUMMYFUNCTION("REGEXEXTRACT(FORMULATEXT(D824),""center=([-0-9.]+,[-0-9.]+)"")"),"#N/A")</f>
        <v>#N/A</v>
      </c>
    </row>
    <row r="825">
      <c r="A825" s="1" t="s">
        <v>822</v>
      </c>
      <c r="C825" s="2" t="str">
        <f>HYPERLINK("http://4sq.com/t6ficc","Family Mart  Ladprao 35 ")</f>
        <v>Family Mart  Ladprao 35 </v>
      </c>
      <c r="E825" t="str">
        <f>IFERROR(__xludf.DUMMYFUNCTION("REGEXEXTRACT(FORMULATEXT(D825),""center=([-0-9.]+,[-0-9.]+)"")"),"#N/A")</f>
        <v>#N/A</v>
      </c>
    </row>
    <row r="826">
      <c r="A826" s="1" t="s">
        <v>823</v>
      </c>
      <c r="C826" s="2" t="str">
        <f>HYPERLINK("http://4sq.com/7CHzIY","JW Marriott Hotel Bangkok ")</f>
        <v>JW Marriott Hotel Bangkok </v>
      </c>
      <c r="E826" t="str">
        <f>IFERROR(__xludf.DUMMYFUNCTION("REGEXEXTRACT(FORMULATEXT(D826),""center=([-0-9.]+,[-0-9.]+)"")"),"#N/A")</f>
        <v>#N/A</v>
      </c>
    </row>
    <row r="827">
      <c r="A827" s="1" t="s">
        <v>824</v>
      </c>
      <c r="C827" s="2" t="str">
        <f>HYPERLINK("http://4sq.com/KmW7xy","Dry you by Ginney ")</f>
        <v>Dry you by Ginney </v>
      </c>
      <c r="E827" t="str">
        <f>IFERROR(__xludf.DUMMYFUNCTION("REGEXEXTRACT(FORMULATEXT(D827),""center=([-0-9.]+,[-0-9.]+)"")"),"#N/A")</f>
        <v>#N/A</v>
      </c>
    </row>
    <row r="828">
      <c r="A828" s="1" t="s">
        <v>825</v>
      </c>
      <c r="C828" s="2" t="str">
        <f>HYPERLINK("http://4sq.com/e1dncS","สบายใจเก็บตะวัน (Sabaijai Kebtawan) ")</f>
        <v>สบายใจเก็บตะวัน (Sabaijai Kebtawan) </v>
      </c>
      <c r="E828" t="str">
        <f>IFERROR(__xludf.DUMMYFUNCTION("REGEXEXTRACT(FORMULATEXT(D828),""center=([-0-9.]+,[-0-9.]+)"")"),"#N/A")</f>
        <v>#N/A</v>
      </c>
    </row>
    <row r="829">
      <c r="A829" s="1" t="s">
        <v>826</v>
      </c>
      <c r="C829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E829" t="str">
        <f>IFERROR(__xludf.DUMMYFUNCTION("REGEXEXTRACT(FORMULATEXT(D829),""center=([-0-9.]+,[-0-9.]+)"")"),"#N/A")</f>
        <v>#N/A</v>
      </c>
    </row>
    <row r="830">
      <c r="A830" s="1" t="s">
        <v>827</v>
      </c>
      <c r="C830" s="2" t="str">
        <f>HYPERLINK("http://4sq.com/dOkJJO","神舟数码大厦 ")</f>
        <v>神舟数码大厦 </v>
      </c>
      <c r="E830" t="str">
        <f>IFERROR(__xludf.DUMMYFUNCTION("REGEXEXTRACT(FORMULATEXT(D830),""center=([-0-9.]+,[-0-9.]+)"")"),"#N/A")</f>
        <v>#N/A</v>
      </c>
    </row>
    <row r="831">
      <c r="A831" s="1" t="s">
        <v>828</v>
      </c>
      <c r="C831" s="2" t="str">
        <f>HYPERLINK("http://4sq.com/1aOJ7ze","Wallmart 望京店 ")</f>
        <v>Wallmart 望京店 </v>
      </c>
      <c r="E831" t="str">
        <f>IFERROR(__xludf.DUMMYFUNCTION("REGEXEXTRACT(FORMULATEXT(D831),""center=([-0-9.]+,[-0-9.]+)"")"),"#N/A")</f>
        <v>#N/A</v>
      </c>
    </row>
    <row r="832">
      <c r="A832" s="1" t="s">
        <v>829</v>
      </c>
      <c r="C832" s="2" t="str">
        <f>HYPERLINK("http://4sq.com/eyMlmD","国都酒店 ")</f>
        <v>国都酒店 </v>
      </c>
      <c r="E832" t="str">
        <f>IFERROR(__xludf.DUMMYFUNCTION("REGEXEXTRACT(FORMULATEXT(D832),""center=([-0-9.]+,[-0-9.]+)"")"),"#N/A")</f>
        <v>#N/A</v>
      </c>
    </row>
    <row r="833">
      <c r="A833" s="1" t="s">
        <v>830</v>
      </c>
      <c r="C833" s="2" t="str">
        <f>HYPERLINK("http://4sq.com/gPsGIH","CITIC Hotel Beijing Airport ")</f>
        <v>CITIC Hotel Beijing Airport </v>
      </c>
      <c r="E833" t="str">
        <f>IFERROR(__xludf.DUMMYFUNCTION("REGEXEXTRACT(FORMULATEXT(D833),""center=([-0-9.]+,[-0-9.]+)"")"),"#N/A")</f>
        <v>#N/A</v>
      </c>
    </row>
    <row r="834">
      <c r="A834" s="1" t="s">
        <v>831</v>
      </c>
      <c r="C834" s="2" t="str">
        <f>HYPERLINK("http://4sq.com/5fHrLd","J Avenue (เจ อเวนิว) ")</f>
        <v>J Avenue (เจ อเวนิว) </v>
      </c>
      <c r="E834" t="str">
        <f>IFERROR(__xludf.DUMMYFUNCTION("REGEXEXTRACT(FORMULATEXT(D834),""center=([-0-9.]+,[-0-9.]+)"")"),"#N/A")</f>
        <v>#N/A</v>
      </c>
    </row>
    <row r="835">
      <c r="A835" s="1" t="s">
        <v>832</v>
      </c>
      <c r="C835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E835" t="str">
        <f>IFERROR(__xludf.DUMMYFUNCTION("REGEXEXTRACT(FORMULATEXT(D835),""center=([-0-9.]+,[-0-9.]+)"")"),"#N/A")</f>
        <v>#N/A</v>
      </c>
    </row>
    <row r="836">
      <c r="A836" s="1" t="s">
        <v>833</v>
      </c>
      <c r="C836" s="2" t="str">
        <f>HYPERLINK("http://4sq.com/QCp9y2","Velocity ")</f>
        <v>Velocity </v>
      </c>
      <c r="E836" t="str">
        <f>IFERROR(__xludf.DUMMYFUNCTION("REGEXEXTRACT(FORMULATEXT(D836),""center=([-0-9.]+,[-0-9.]+)"")"),"#N/A")</f>
        <v>#N/A</v>
      </c>
    </row>
    <row r="837">
      <c r="A837" s="1" t="s">
        <v>834</v>
      </c>
      <c r="C837" s="2" t="str">
        <f>HYPERLINK("http://4sq.com/T9NSfF","The Harbour (เดอะ ฮาร์เบอร์) ")</f>
        <v>The Harbour (เดอะ ฮาร์เบอร์) </v>
      </c>
      <c r="E837" t="str">
        <f>IFERROR(__xludf.DUMMYFUNCTION("REGEXEXTRACT(FORMULATEXT(D837),""center=([-0-9.]+,[-0-9.]+)"")"),"#N/A")</f>
        <v>#N/A</v>
      </c>
    </row>
    <row r="838">
      <c r="A838" s="1" t="s">
        <v>835</v>
      </c>
      <c r="C838" s="2" t="str">
        <f>HYPERLINK("http://4sq.com/1avBSgL","Coffee Monster ")</f>
        <v>Coffee Monster </v>
      </c>
      <c r="E838" t="str">
        <f>IFERROR(__xludf.DUMMYFUNCTION("REGEXEXTRACT(FORMULATEXT(D838),""center=([-0-9.]+,[-0-9.]+)"")"),"#N/A")</f>
        <v>#N/A</v>
      </c>
    </row>
    <row r="839">
      <c r="A839" s="1" t="s">
        <v>836</v>
      </c>
      <c r="C839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  <c r="E839" t="str">
        <f>IFERROR(__xludf.DUMMYFUNCTION("REGEXEXTRACT(FORMULATEXT(D839),""center=([-0-9.]+,[-0-9.]+)"")"),"#N/A")</f>
        <v>#N/A</v>
      </c>
    </row>
    <row r="840">
      <c r="A840" s="1" t="s">
        <v>837</v>
      </c>
      <c r="C840" s="2" t="str">
        <f>HYPERLINK("http://4sq.com/9neU3W","Phaholyothin Place (พหลโยธินเพลส) ")</f>
        <v>Phaholyothin Place (พหลโยธินเพลส) </v>
      </c>
      <c r="E840" t="str">
        <f>IFERROR(__xludf.DUMMYFUNCTION("REGEXEXTRACT(FORMULATEXT(D840),""center=([-0-9.]+,[-0-9.]+)"")"),"#N/A")</f>
        <v>#N/A</v>
      </c>
    </row>
    <row r="841">
      <c r="A841" s="1" t="s">
        <v>838</v>
      </c>
      <c r="C841" s="2" t="str">
        <f>HYPERLINK("http://4sq.com/bB9l7L","AIS (เอไอเอส) ")</f>
        <v>AIS (เอไอเอส) </v>
      </c>
      <c r="E841" t="str">
        <f>IFERROR(__xludf.DUMMYFUNCTION("REGEXEXTRACT(FORMULATEXT(D841),""center=([-0-9.]+,[-0-9.]+)"")"),"#N/A")</f>
        <v>#N/A</v>
      </c>
    </row>
    <row r="842">
      <c r="A842" s="1" t="s">
        <v>839</v>
      </c>
      <c r="C842" s="2" t="str">
        <f>HYPERLINK("http://4sq.com/bQmOKd","สถานีตำรวจนครบาลบางซื่อ (Bang Sue Police Station) ")</f>
        <v>สถานีตำรวจนครบาลบางซื่อ (Bang Sue Police Station) </v>
      </c>
      <c r="E842" t="str">
        <f>IFERROR(__xludf.DUMMYFUNCTION("REGEXEXTRACT(FORMULATEXT(D842),""center=([-0-9.]+,[-0-9.]+)"")"),"#N/A")</f>
        <v>#N/A</v>
      </c>
    </row>
    <row r="843">
      <c r="A843" s="1" t="s">
        <v>840</v>
      </c>
      <c r="C843" s="2" t="str">
        <f>HYPERLINK("http://4sq.com/dzSaYA","HomePro (โฮมโปร) ")</f>
        <v>HomePro (โฮมโปร) </v>
      </c>
      <c r="E843" t="str">
        <f>IFERROR(__xludf.DUMMYFUNCTION("REGEXEXTRACT(FORMULATEXT(D843),""center=([-0-9.]+,[-0-9.]+)"")"),"#N/A")</f>
        <v>#N/A</v>
      </c>
    </row>
    <row r="844">
      <c r="A844" s="1" t="s">
        <v>841</v>
      </c>
      <c r="C84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844" t="str">
        <f>IFERROR(__xludf.DUMMYFUNCTION("REGEXEXTRACT(FORMULATEXT(D844),""center=([-0-9.]+,[-0-9.]+)"")"),"#N/A")</f>
        <v>#N/A</v>
      </c>
    </row>
    <row r="845">
      <c r="A845" s="1" t="s">
        <v>842</v>
      </c>
      <c r="C84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845" t="str">
        <f>IFERROR(__xludf.DUMMYFUNCTION("REGEXEXTRACT(FORMULATEXT(D845),""center=([-0-9.]+,[-0-9.]+)"")"),"#N/A")</f>
        <v>#N/A</v>
      </c>
    </row>
    <row r="846">
      <c r="A846" s="1" t="s">
        <v>843</v>
      </c>
      <c r="C846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  <c r="E846" t="str">
        <f>IFERROR(__xludf.DUMMYFUNCTION("REGEXEXTRACT(FORMULATEXT(D846),""center=([-0-9.]+,[-0-9.]+)"")"),"#N/A")</f>
        <v>#N/A</v>
      </c>
    </row>
    <row r="847">
      <c r="A847" s="1" t="s">
        <v>844</v>
      </c>
      <c r="C847" s="2" t="str">
        <f>HYPERLINK("http://4sq.com/dI7wwO","iberry Garden (ไอเบอร์รี่ การ์เด้น) ")</f>
        <v>iberry Garden (ไอเบอร์รี่ การ์เด้น) </v>
      </c>
      <c r="E847" t="str">
        <f>IFERROR(__xludf.DUMMYFUNCTION("REGEXEXTRACT(FORMULATEXT(D847),""center=([-0-9.]+,[-0-9.]+)"")"),"#N/A")</f>
        <v>#N/A</v>
      </c>
    </row>
    <row r="848">
      <c r="A848" s="1" t="s">
        <v>845</v>
      </c>
      <c r="C848" s="2" t="str">
        <f>HYPERLINK("http://4sq.com/d4fT1r","Computer Plaza ")</f>
        <v>Computer Plaza </v>
      </c>
      <c r="E848" t="str">
        <f>IFERROR(__xludf.DUMMYFUNCTION("REGEXEXTRACT(FORMULATEXT(D848),""center=([-0-9.]+,[-0-9.]+)"")"),"#N/A")</f>
        <v>#N/A</v>
      </c>
    </row>
    <row r="849">
      <c r="A849" s="1" t="s">
        <v>846</v>
      </c>
      <c r="C849" s="2" t="str">
        <f>HYPERLINK("http://4sq.com/1nqEUD6","Subway ")</f>
        <v>Subway </v>
      </c>
      <c r="E849" t="str">
        <f>IFERROR(__xludf.DUMMYFUNCTION("REGEXEXTRACT(FORMULATEXT(D849),""center=([-0-9.]+,[-0-9.]+)"")"),"#N/A")</f>
        <v>#N/A</v>
      </c>
    </row>
    <row r="850">
      <c r="A850" s="1" t="s">
        <v>847</v>
      </c>
      <c r="C850" s="2" t="str">
        <f>HYPERLINK("http://4sq.com/gzBkmg","U.S. Consulate General Chiang Mai สถานกงสุลสหรัฐอเมริกา ")</f>
        <v>U.S. Consulate General Chiang Mai สถานกงสุลสหรัฐอเมริกา </v>
      </c>
      <c r="E850" t="str">
        <f>IFERROR(__xludf.DUMMYFUNCTION("REGEXEXTRACT(FORMULATEXT(D850),""center=([-0-9.]+,[-0-9.]+)"")"),"#N/A")</f>
        <v>#N/A</v>
      </c>
    </row>
    <row r="851">
      <c r="A851" s="1" t="s">
        <v>848</v>
      </c>
      <c r="C851" s="2" t="str">
        <f>HYPERLINK("http://4sq.com/aLSzSY","McCormick Hospital (โรงพยาบาลแมคคอร์มิค) ")</f>
        <v>McCormick Hospital (โรงพยาบาลแมคคอร์มิค) </v>
      </c>
      <c r="E851" t="str">
        <f>IFERROR(__xludf.DUMMYFUNCTION("REGEXEXTRACT(FORMULATEXT(D851),""center=([-0-9.]+,[-0-9.]+)"")"),"#N/A")</f>
        <v>#N/A</v>
      </c>
    </row>
    <row r="852">
      <c r="A852" s="1" t="s">
        <v>849</v>
      </c>
      <c r="C852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  <c r="E852" t="str">
        <f>IFERROR(__xludf.DUMMYFUNCTION("REGEXEXTRACT(FORMULATEXT(D852),""center=([-0-9.]+,[-0-9.]+)"")"),"#N/A")</f>
        <v>#N/A</v>
      </c>
    </row>
    <row r="853">
      <c r="A853" s="1" t="s">
        <v>850</v>
      </c>
      <c r="C853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853" t="str">
        <f>IFERROR(__xludf.DUMMYFUNCTION("REGEXEXTRACT(FORMULATEXT(D853),""center=([-0-9.]+,[-0-9.]+)"")"),"#N/A")</f>
        <v>#N/A</v>
      </c>
    </row>
    <row r="854">
      <c r="A854" s="1" t="s">
        <v>851</v>
      </c>
      <c r="C85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854" t="str">
        <f>IFERROR(__xludf.DUMMYFUNCTION("REGEXEXTRACT(FORMULATEXT(D854),""center=([-0-9.]+,[-0-9.]+)"")"),"#N/A")</f>
        <v>#N/A</v>
      </c>
    </row>
    <row r="855">
      <c r="A855" s="1" t="s">
        <v>852</v>
      </c>
      <c r="C855" s="2" t="str">
        <f>HYPERLINK("http://4sq.com/bB9l7L","AIS (เอไอเอส) ")</f>
        <v>AIS (เอไอเอส) </v>
      </c>
      <c r="E855" t="str">
        <f>IFERROR(__xludf.DUMMYFUNCTION("REGEXEXTRACT(FORMULATEXT(D855),""center=([-0-9.]+,[-0-9.]+)"")"),"#N/A")</f>
        <v>#N/A</v>
      </c>
    </row>
    <row r="856">
      <c r="A856" s="1" t="s">
        <v>853</v>
      </c>
      <c r="C856" s="2" t="str">
        <f>HYPERLINK("http://4sq.com/15Dhfsy","กรมการขนส่งทางบก อาคาร 4 ชั้น 2 ")</f>
        <v>กรมการขนส่งทางบก อาคาร 4 ชั้น 2 </v>
      </c>
      <c r="E856" t="str">
        <f>IFERROR(__xludf.DUMMYFUNCTION("REGEXEXTRACT(FORMULATEXT(D856),""center=([-0-9.]+,[-0-9.]+)"")"),"#N/A")</f>
        <v>#N/A</v>
      </c>
    </row>
    <row r="857">
      <c r="A857" s="1" t="s">
        <v>854</v>
      </c>
      <c r="C857" s="2" t="str">
        <f>HYPERLINK("http://4sq.com/aVUyRr","Fortune Town (ฟอร์จูนทาวน์) ")</f>
        <v>Fortune Town (ฟอร์จูนทาวน์) </v>
      </c>
      <c r="E857" t="str">
        <f>IFERROR(__xludf.DUMMYFUNCTION("REGEXEXTRACT(FORMULATEXT(D857),""center=([-0-9.]+,[-0-9.]+)"")"),"#N/A")</f>
        <v>#N/A</v>
      </c>
    </row>
    <row r="858">
      <c r="A858" s="1" t="s">
        <v>855</v>
      </c>
      <c r="C858" s="2" t="str">
        <f>HYPERLINK("http://4sq.com/7cOC2g","The Robin Hood ")</f>
        <v>The Robin Hood </v>
      </c>
      <c r="E858" t="str">
        <f>IFERROR(__xludf.DUMMYFUNCTION("REGEXEXTRACT(FORMULATEXT(D858),""center=([-0-9.]+,[-0-9.]+)"")"),"#N/A")</f>
        <v>#N/A</v>
      </c>
    </row>
    <row r="859">
      <c r="A859" s="1" t="s">
        <v>856</v>
      </c>
      <c r="C859" s="2" t="str">
        <f>HYPERLINK("http://4sq.com/fpZcUp","7-11 สาขาสุพรรณบุรี-ป่าโมก ")</f>
        <v>7-11 สาขาสุพรรณบุรี-ป่าโมก </v>
      </c>
      <c r="E859" t="str">
        <f>IFERROR(__xludf.DUMMYFUNCTION("REGEXEXTRACT(FORMULATEXT(D859),""center=([-0-9.]+,[-0-9.]+)"")"),"#N/A")</f>
        <v>#N/A</v>
      </c>
    </row>
    <row r="860">
      <c r="A860" s="1" t="s">
        <v>857</v>
      </c>
      <c r="C860" s="2" t="str">
        <f>HYPERLINK("http://4sq.com/i3rUPp","ห้วยขาแข้ง คันทรีโฮมรีสอร์ท ")</f>
        <v>ห้วยขาแข้ง คันทรีโฮมรีสอร์ท </v>
      </c>
      <c r="E860" t="str">
        <f>IFERROR(__xludf.DUMMYFUNCTION("REGEXEXTRACT(FORMULATEXT(D860),""center=([-0-9.]+,[-0-9.]+)"")"),"#N/A")</f>
        <v>#N/A</v>
      </c>
    </row>
    <row r="861">
      <c r="A861" s="1" t="s">
        <v>858</v>
      </c>
      <c r="C861" s="2" t="str">
        <f>HYPERLINK("http://4sq.com/1gl2DFS","สงบการยาง ")</f>
        <v>สงบการยาง </v>
      </c>
      <c r="E861" t="str">
        <f>IFERROR(__xludf.DUMMYFUNCTION("REGEXEXTRACT(FORMULATEXT(D861),""center=([-0-9.]+,[-0-9.]+)"")"),"#N/A")</f>
        <v>#N/A</v>
      </c>
    </row>
    <row r="862">
      <c r="A862" s="1" t="s">
        <v>859</v>
      </c>
      <c r="C862" s="2" t="str">
        <f>HYPERLINK("http://4sq.com/V6ruWp","Holiday Hotel ")</f>
        <v>Holiday Hotel </v>
      </c>
      <c r="E862" t="str">
        <f>IFERROR(__xludf.DUMMYFUNCTION("REGEXEXTRACT(FORMULATEXT(D862),""center=([-0-9.]+,[-0-9.]+)"")"),"#N/A")</f>
        <v>#N/A</v>
      </c>
    </row>
    <row r="863">
      <c r="A863" s="1" t="s">
        <v>860</v>
      </c>
      <c r="C863" s="2" t="str">
        <f>HYPERLINK("http://4sq.com/ZQT2Aj","Rassarin Thai massage ")</f>
        <v>Rassarin Thai massage </v>
      </c>
      <c r="E863" t="str">
        <f>IFERROR(__xludf.DUMMYFUNCTION("REGEXEXTRACT(FORMULATEXT(D863),""center=([-0-9.]+,[-0-9.]+)"")"),"#N/A")</f>
        <v>#N/A</v>
      </c>
    </row>
    <row r="864">
      <c r="A864" s="1" t="s">
        <v>861</v>
      </c>
      <c r="C864" s="2" t="str">
        <f>HYPERLINK("http://4sq.com/fqCa6p","นั่งเล่น ")</f>
        <v>นั่งเล่น </v>
      </c>
      <c r="E864" t="str">
        <f>IFERROR(__xludf.DUMMYFUNCTION("REGEXEXTRACT(FORMULATEXT(D864),""center=([-0-9.]+,[-0-9.]+)"")"),"#N/A")</f>
        <v>#N/A</v>
      </c>
    </row>
    <row r="865">
      <c r="A865" s="1" t="s">
        <v>862</v>
      </c>
      <c r="C865" s="2" t="str">
        <f>HYPERLINK("http://4sq.com/kqzwob","Oasis Bar&amp;Restauntrent ")</f>
        <v>Oasis Bar&amp;Restauntrent </v>
      </c>
      <c r="E865" t="str">
        <f>IFERROR(__xludf.DUMMYFUNCTION("REGEXEXTRACT(FORMULATEXT(D865),""center=([-0-9.]+,[-0-9.]+)"")"),"#N/A")</f>
        <v>#N/A</v>
      </c>
    </row>
    <row r="866">
      <c r="A866" s="1" t="s">
        <v>863</v>
      </c>
      <c r="B866" s="1" t="s">
        <v>864</v>
      </c>
      <c r="C866" s="2" t="str">
        <f>HYPERLINK("http://4sq.com/1sL1bRN","Tak Treehouse ")</f>
        <v>Tak Treehouse </v>
      </c>
      <c r="E866" t="str">
        <f>IFERROR(__xludf.DUMMYFUNCTION("REGEXEXTRACT(FORMULATEXT(D866),""center=([-0-9.]+,[-0-9.]+)"")"),"#N/A")</f>
        <v>#N/A</v>
      </c>
    </row>
    <row r="867">
      <c r="A867" s="1" t="s">
        <v>865</v>
      </c>
      <c r="C867" s="2" t="str">
        <f>HYPERLINK("http://4sq.com/cqAyc5","เขื่อนภูมิพล (Bhumibol Dam) ")</f>
        <v>เขื่อนภูมิพล (Bhumibol Dam) </v>
      </c>
      <c r="E867" t="str">
        <f>IFERROR(__xludf.DUMMYFUNCTION("REGEXEXTRACT(FORMULATEXT(D867),""center=([-0-9.]+,[-0-9.]+)"")"),"#N/A")</f>
        <v>#N/A</v>
      </c>
    </row>
    <row r="868">
      <c r="A868" s="1" t="s">
        <v>866</v>
      </c>
      <c r="C868" s="2" t="str">
        <f>HYPERLINK("http://4sq.com/ha9bAM","ปตท. (PTT) ")</f>
        <v>ปตท. (PTT) </v>
      </c>
      <c r="E868" t="str">
        <f>IFERROR(__xludf.DUMMYFUNCTION("REGEXEXTRACT(FORMULATEXT(D868),""center=([-0-9.]+,[-0-9.]+)"")"),"#N/A")</f>
        <v>#N/A</v>
      </c>
    </row>
    <row r="869">
      <c r="A869" s="1" t="s">
        <v>867</v>
      </c>
      <c r="C869" s="2" t="str">
        <f>HYPERLINK("http://4sq.com/kNKg9E","โรงแรมลำพูนวิลล์ (Lamphun Will Hotel) ")</f>
        <v>โรงแรมลำพูนวิลล์ (Lamphun Will Hotel) </v>
      </c>
      <c r="E869" t="str">
        <f>IFERROR(__xludf.DUMMYFUNCTION("REGEXEXTRACT(FORMULATEXT(D869),""center=([-0-9.]+,[-0-9.]+)"")"),"#N/A")</f>
        <v>#N/A</v>
      </c>
    </row>
    <row r="870">
      <c r="A870" s="1" t="s">
        <v>868</v>
      </c>
      <c r="C870" s="2" t="str">
        <f>HYPERLINK("http://4sq.com/12arsMn","ร้านสเต็กริมทาง ")</f>
        <v>ร้านสเต็กริมทาง </v>
      </c>
      <c r="E870" t="str">
        <f>IFERROR(__xludf.DUMMYFUNCTION("REGEXEXTRACT(FORMULATEXT(D870),""center=([-0-9.]+,[-0-9.]+)"")"),"#N/A")</f>
        <v>#N/A</v>
      </c>
    </row>
    <row r="871">
      <c r="A871" s="1" t="s">
        <v>869</v>
      </c>
      <c r="C871" s="2" t="str">
        <f>HYPERLINK("http://4sq.com/9JgJvL","วัดจามเทวี (Wat Chamadevi) ")</f>
        <v>วัดจามเทวี (Wat Chamadevi) </v>
      </c>
      <c r="E871" t="str">
        <f>IFERROR(__xludf.DUMMYFUNCTION("REGEXEXTRACT(FORMULATEXT(D871),""center=([-0-9.]+,[-0-9.]+)"")"),"#N/A")</f>
        <v>#N/A</v>
      </c>
    </row>
    <row r="872">
      <c r="A872" s="1" t="s">
        <v>870</v>
      </c>
      <c r="C872" s="2" t="str">
        <f>HYPERLINK("http://4sq.com/SGmMxm","I Don't know ")</f>
        <v>I Don't know </v>
      </c>
      <c r="E872" t="str">
        <f>IFERROR(__xludf.DUMMYFUNCTION("REGEXEXTRACT(FORMULATEXT(D872),""center=([-0-9.]+,[-0-9.]+)"")"),"#N/A")</f>
        <v>#N/A</v>
      </c>
    </row>
    <row r="873">
      <c r="A873" s="1" t="s">
        <v>871</v>
      </c>
      <c r="C873" s="2" t="str">
        <f>HYPERLINK("http://4sq.com/VuG5rl","Steak Of The Day ")</f>
        <v>Steak Of The Day </v>
      </c>
      <c r="E873" t="str">
        <f>IFERROR(__xludf.DUMMYFUNCTION("REGEXEXTRACT(FORMULATEXT(D873),""center=([-0-9.]+,[-0-9.]+)"")"),"#N/A")</f>
        <v>#N/A</v>
      </c>
    </row>
    <row r="874">
      <c r="A874" s="1" t="s">
        <v>872</v>
      </c>
      <c r="C874" s="2" t="str">
        <f>HYPERLINK("http://4sq.com/crUrtj","ราดหน้าข้างแมค ")</f>
        <v>ราดหน้าข้างแมค </v>
      </c>
      <c r="E874" t="str">
        <f>IFERROR(__xludf.DUMMYFUNCTION("REGEXEXTRACT(FORMULATEXT(D874),""center=([-0-9.]+,[-0-9.]+)"")"),"#N/A")</f>
        <v>#N/A</v>
      </c>
    </row>
    <row r="875">
      <c r="A875" s="1" t="s">
        <v>873</v>
      </c>
      <c r="C875" s="2" t="str">
        <f>HYPERLINK("http://4sq.com/b0oGmp","Home Sukkapan (โฮมสุขภัณฑ์) ")</f>
        <v>Home Sukkapan (โฮมสุขภัณฑ์) </v>
      </c>
      <c r="E875" t="str">
        <f>IFERROR(__xludf.DUMMYFUNCTION("REGEXEXTRACT(FORMULATEXT(D875),""center=([-0-9.]+,[-0-9.]+)"")"),"#N/A")</f>
        <v>#N/A</v>
      </c>
    </row>
    <row r="876">
      <c r="A876" s="1" t="s">
        <v>874</v>
      </c>
      <c r="C876" s="2" t="str">
        <f>HYPERLINK("http://4sq.com/batEOn","ศูนย์ประชุมและแสดงสินค้านานาชาติฯ (Chiangmai International Convention Center) ")</f>
        <v>ศูนย์ประชุมและแสดงสินค้านานาชาติฯ (Chiangmai International Convention Center) </v>
      </c>
      <c r="E876" t="str">
        <f>IFERROR(__xludf.DUMMYFUNCTION("REGEXEXTRACT(FORMULATEXT(D876),""center=([-0-9.]+,[-0-9.]+)"")"),"#N/A")</f>
        <v>#N/A</v>
      </c>
    </row>
    <row r="877">
      <c r="A877" s="1" t="s">
        <v>875</v>
      </c>
      <c r="C877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877" t="str">
        <f>IFERROR(__xludf.DUMMYFUNCTION("REGEXEXTRACT(FORMULATEXT(D877),""center=([-0-9.]+,[-0-9.]+)"")"),"#N/A")</f>
        <v>#N/A</v>
      </c>
    </row>
    <row r="878">
      <c r="A878" s="1" t="s">
        <v>876</v>
      </c>
      <c r="C878" s="2" t="str">
        <f>HYPERLINK("http://4sq.com/ddc64z","Bake &amp; Bite ")</f>
        <v>Bake &amp; Bite </v>
      </c>
      <c r="E878" t="str">
        <f>IFERROR(__xludf.DUMMYFUNCTION("REGEXEXTRACT(FORMULATEXT(D878),""center=([-0-9.]+,[-0-9.]+)"")"),"#N/A")</f>
        <v>#N/A</v>
      </c>
    </row>
    <row r="879">
      <c r="A879" s="1" t="s">
        <v>877</v>
      </c>
      <c r="C879" s="2" t="str">
        <f>HYPERLINK("http://4sq.com/eOWfg5","Babylon Bar ")</f>
        <v>Babylon Bar </v>
      </c>
      <c r="E879" t="str">
        <f>IFERROR(__xludf.DUMMYFUNCTION("REGEXEXTRACT(FORMULATEXT(D879),""center=([-0-9.]+,[-0-9.]+)"")"),"#N/A")</f>
        <v>#N/A</v>
      </c>
    </row>
    <row r="880">
      <c r="A880" s="1" t="s">
        <v>878</v>
      </c>
      <c r="C880" s="2" t="str">
        <f>HYPERLINK("http://4sq.com/darGol","Global House (โกลบอลเฮ้าส์) ")</f>
        <v>Global House (โกลบอลเฮ้าส์) </v>
      </c>
      <c r="E880" t="str">
        <f>IFERROR(__xludf.DUMMYFUNCTION("REGEXEXTRACT(FORMULATEXT(D880),""center=([-0-9.]+,[-0-9.]+)"")"),"#N/A")</f>
        <v>#N/A</v>
      </c>
    </row>
    <row r="881">
      <c r="A881" s="1" t="s">
        <v>879</v>
      </c>
      <c r="C881" s="2" t="str">
        <f>HYPERLINK("http://4sq.com/fRrzwD","ศูนย์ฝึกว่ายน้ำกิตติยะ เชียงใหม่ ")</f>
        <v>ศูนย์ฝึกว่ายน้ำกิตติยะ เชียงใหม่ </v>
      </c>
      <c r="E881" t="str">
        <f>IFERROR(__xludf.DUMMYFUNCTION("REGEXEXTRACT(FORMULATEXT(D881),""center=([-0-9.]+,[-0-9.]+)"")"),"#N/A")</f>
        <v>#N/A</v>
      </c>
    </row>
    <row r="882">
      <c r="A882" s="1" t="s">
        <v>880</v>
      </c>
      <c r="C882" s="2" t="str">
        <f>HYPERLINK("http://4sq.com/boPlpu","เขื่อนแม่งัดสมบูรณ์ชล (Mae-Ngad Dam) ")</f>
        <v>เขื่อนแม่งัดสมบูรณ์ชล (Mae-Ngad Dam) </v>
      </c>
      <c r="E882" t="str">
        <f>IFERROR(__xludf.DUMMYFUNCTION("REGEXEXTRACT(FORMULATEXT(D882),""center=([-0-9.]+,[-0-9.]+)"")"),"#N/A")</f>
        <v>#N/A</v>
      </c>
    </row>
    <row r="883">
      <c r="A883" s="1" t="s">
        <v>881</v>
      </c>
      <c r="C883" s="2" t="str">
        <f>HYPERLINK("http://4sq.com/myR2lB","Sala Café (ศาลากาแฟ) ")</f>
        <v>Sala Café (ศาลากาแฟ) </v>
      </c>
      <c r="E883" t="str">
        <f>IFERROR(__xludf.DUMMYFUNCTION("REGEXEXTRACT(FORMULATEXT(D883),""center=([-0-9.]+,[-0-9.]+)"")"),"#N/A")</f>
        <v>#N/A</v>
      </c>
    </row>
    <row r="884">
      <c r="A884" s="1" t="s">
        <v>882</v>
      </c>
      <c r="C884" s="2" t="str">
        <f>HYPERLINK("http://4sq.com/1yMAGvP","Mountain Float ภูเขาลอยน้ำ ")</f>
        <v>Mountain Float ภูเขาลอยน้ำ </v>
      </c>
      <c r="E884" t="str">
        <f>IFERROR(__xludf.DUMMYFUNCTION("REGEXEXTRACT(FORMULATEXT(D884),""center=([-0-9.]+,[-0-9.]+)"")"),"#N/A")</f>
        <v>#N/A</v>
      </c>
    </row>
    <row r="885">
      <c r="A885" s="1" t="s">
        <v>883</v>
      </c>
      <c r="C885" s="2" t="str">
        <f>HYPERLINK("http://4sq.com/1nqEUD6","Subway ")</f>
        <v>Subway </v>
      </c>
      <c r="E885" t="str">
        <f>IFERROR(__xludf.DUMMYFUNCTION("REGEXEXTRACT(FORMULATEXT(D885),""center=([-0-9.]+,[-0-9.]+)"")"),"#N/A")</f>
        <v>#N/A</v>
      </c>
    </row>
    <row r="886">
      <c r="A886" s="1" t="s">
        <v>884</v>
      </c>
      <c r="C886" s="2" t="str">
        <f>HYPERLINK("http://4sq.com/I28LVE","Café de Oasis | คาเฟ่ เดอ โอเอซิส ")</f>
        <v>Café de Oasis | คาเฟ่ เดอ โอเอซิส </v>
      </c>
      <c r="E886" t="str">
        <f>IFERROR(__xludf.DUMMYFUNCTION("REGEXEXTRACT(FORMULATEXT(D886),""center=([-0-9.]+,[-0-9.]+)"")"),"#N/A")</f>
        <v>#N/A</v>
      </c>
    </row>
    <row r="887">
      <c r="A887" s="1" t="s">
        <v>885</v>
      </c>
      <c r="C887" s="2" t="str">
        <f>HYPERLINK("http://4sq.com/17M6fyE","Lhong-Pa | หลงป่า ")</f>
        <v>Lhong-Pa | หลงป่า </v>
      </c>
      <c r="E887" t="str">
        <f>IFERROR(__xludf.DUMMYFUNCTION("REGEXEXTRACT(FORMULATEXT(D887),""center=([-0-9.]+,[-0-9.]+)"")"),"#N/A")</f>
        <v>#N/A</v>
      </c>
    </row>
    <row r="888">
      <c r="A888" s="1" t="s">
        <v>886</v>
      </c>
      <c r="C888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888" t="str">
        <f>IFERROR(__xludf.DUMMYFUNCTION("REGEXEXTRACT(FORMULATEXT(D888),""center=([-0-9.]+,[-0-9.]+)"")"),"#N/A")</f>
        <v>#N/A</v>
      </c>
    </row>
    <row r="889">
      <c r="A889" s="1" t="s">
        <v>887</v>
      </c>
      <c r="C889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889" t="str">
        <f>IFERROR(__xludf.DUMMYFUNCTION("REGEXEXTRACT(FORMULATEXT(D889),""center=([-0-9.]+,[-0-9.]+)"")"),"#N/A")</f>
        <v>#N/A</v>
      </c>
    </row>
    <row r="890">
      <c r="A890" s="1" t="s">
        <v>888</v>
      </c>
      <c r="C890" s="2" t="str">
        <f>HYPERLINK("http://4sq.com/IsCfJk","Interactive Group Co.Ltd ")</f>
        <v>Interactive Group Co.Ltd </v>
      </c>
      <c r="E890" t="str">
        <f>IFERROR(__xludf.DUMMYFUNCTION("REGEXEXTRACT(FORMULATEXT(D890),""center=([-0-9.]+,[-0-9.]+)"")"),"#N/A")</f>
        <v>#N/A</v>
      </c>
    </row>
    <row r="891">
      <c r="A891" s="1" t="s">
        <v>889</v>
      </c>
      <c r="C891" s="2" t="str">
        <f>HYPERLINK("http://4sq.com/XNoqwI","Superbdog ")</f>
        <v>Superbdog </v>
      </c>
      <c r="E891" t="str">
        <f>IFERROR(__xludf.DUMMYFUNCTION("REGEXEXTRACT(FORMULATEXT(D891),""center=([-0-9.]+,[-0-9.]+)"")"),"#N/A")</f>
        <v>#N/A</v>
      </c>
    </row>
    <row r="892">
      <c r="A892" s="1" t="s">
        <v>890</v>
      </c>
      <c r="C892" s="2" t="str">
        <f>HYPERLINK("http://4sq.com/1egrGGW","SWAY ")</f>
        <v>SWAY </v>
      </c>
      <c r="E892" t="str">
        <f>IFERROR(__xludf.DUMMYFUNCTION("REGEXEXTRACT(FORMULATEXT(D892),""center=([-0-9.]+,[-0-9.]+)"")"),"#N/A")</f>
        <v>#N/A</v>
      </c>
    </row>
    <row r="893">
      <c r="A893" s="1" t="s">
        <v>891</v>
      </c>
      <c r="C893" s="2" t="str">
        <f>HYPERLINK("http://4sq.com/a5UBsA","Starbucks (สตาร์บัคส์) ")</f>
        <v>Starbucks (สตาร์บัคส์) </v>
      </c>
      <c r="E893" t="str">
        <f>IFERROR(__xludf.DUMMYFUNCTION("REGEXEXTRACT(FORMULATEXT(D893),""center=([-0-9.]+,[-0-9.]+)"")"),"#N/A")</f>
        <v>#N/A</v>
      </c>
    </row>
    <row r="894">
      <c r="A894" s="1" t="s">
        <v>892</v>
      </c>
      <c r="C894" s="2" t="str">
        <f>HYPERLINK("http://4sq.com/4SKUa9","Emporium (เอ็มโพเรียม) ")</f>
        <v>Emporium (เอ็มโพเรียม) </v>
      </c>
      <c r="E894" t="str">
        <f>IFERROR(__xludf.DUMMYFUNCTION("REGEXEXTRACT(FORMULATEXT(D894),""center=([-0-9.]+,[-0-9.]+)"")"),"#N/A")</f>
        <v>#N/A</v>
      </c>
    </row>
    <row r="895">
      <c r="A895" s="1" t="s">
        <v>893</v>
      </c>
      <c r="C895" s="2" t="str">
        <f>HYPERLINK("http://4sq.com/fAWkjh","Chu Chocolate Bar &amp; Café ")</f>
        <v>Chu Chocolate Bar &amp; Café </v>
      </c>
      <c r="E895" t="str">
        <f>IFERROR(__xludf.DUMMYFUNCTION("REGEXEXTRACT(FORMULATEXT(D895),""center=([-0-9.]+,[-0-9.]+)"")"),"#N/A")</f>
        <v>#N/A</v>
      </c>
    </row>
    <row r="896">
      <c r="A896" s="1" t="s">
        <v>894</v>
      </c>
      <c r="C896" s="2" t="str">
        <f>HYPERLINK("http://4sq.com/10MrWa9","The Continent Hotel ")</f>
        <v>The Continent Hotel </v>
      </c>
      <c r="E896" t="str">
        <f>IFERROR(__xludf.DUMMYFUNCTION("REGEXEXTRACT(FORMULATEXT(D896),""center=([-0-9.]+,[-0-9.]+)"")"),"#N/A")</f>
        <v>#N/A</v>
      </c>
    </row>
    <row r="897">
      <c r="A897" s="1" t="s">
        <v>895</v>
      </c>
      <c r="C897" s="2" t="str">
        <f>HYPERLINK("http://4sq.com/bzeUlZ","Pantaree Restaurant ")</f>
        <v>Pantaree Restaurant </v>
      </c>
      <c r="E897" t="str">
        <f>IFERROR(__xludf.DUMMYFUNCTION("REGEXEXTRACT(FORMULATEXT(D897),""center=([-0-9.]+,[-0-9.]+)"")"),"#N/A")</f>
        <v>#N/A</v>
      </c>
    </row>
    <row r="898">
      <c r="A898" s="1" t="s">
        <v>896</v>
      </c>
      <c r="C898" s="2" t="str">
        <f>HYPERLINK("http://4sq.com/9haDUi","Long Table ")</f>
        <v>Long Table </v>
      </c>
      <c r="E898" t="str">
        <f>IFERROR(__xludf.DUMMYFUNCTION("REGEXEXTRACT(FORMULATEXT(D898),""center=([-0-9.]+,[-0-9.]+)"")"),"#N/A")</f>
        <v>#N/A</v>
      </c>
    </row>
    <row r="899">
      <c r="A899" s="1" t="s">
        <v>897</v>
      </c>
      <c r="C899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899" t="str">
        <f>IFERROR(__xludf.DUMMYFUNCTION("REGEXEXTRACT(FORMULATEXT(D899),""center=([-0-9.]+,[-0-9.]+)"")"),"#N/A")</f>
        <v>#N/A</v>
      </c>
    </row>
    <row r="900">
      <c r="A900" s="1" t="s">
        <v>898</v>
      </c>
      <c r="C900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900" t="str">
        <f>IFERROR(__xludf.DUMMYFUNCTION("REGEXEXTRACT(FORMULATEXT(D900),""center=([-0-9.]+,[-0-9.]+)"")"),"#N/A")</f>
        <v>#N/A</v>
      </c>
    </row>
    <row r="901">
      <c r="A901" s="1" t="s">
        <v>899</v>
      </c>
      <c r="C901" s="2" t="str">
        <f>HYPERLINK("http://4sq.com/bk1lzZ","ฝ้ายเบเกอรี่ (Fai Bakery &amp; Restaurant) ")</f>
        <v>ฝ้ายเบเกอรี่ (Fai Bakery &amp; Restaurant) </v>
      </c>
      <c r="E901" t="str">
        <f>IFERROR(__xludf.DUMMYFUNCTION("REGEXEXTRACT(FORMULATEXT(D901),""center=([-0-9.]+,[-0-9.]+)"")"),"#N/A")</f>
        <v>#N/A</v>
      </c>
    </row>
    <row r="902">
      <c r="A902" s="1" t="s">
        <v>900</v>
      </c>
      <c r="C902" s="2" t="str">
        <f>HYPERLINK("http://4sq.com/tp675L","700 Year Stadium, Swimming Pool ")</f>
        <v>700 Year Stadium, Swimming Pool </v>
      </c>
      <c r="E902" t="str">
        <f>IFERROR(__xludf.DUMMYFUNCTION("REGEXEXTRACT(FORMULATEXT(D902),""center=([-0-9.]+,[-0-9.]+)"")"),"#N/A")</f>
        <v>#N/A</v>
      </c>
    </row>
    <row r="903">
      <c r="A903" s="1" t="s">
        <v>901</v>
      </c>
      <c r="C903" s="2" t="str">
        <f>HYPERLINK("http://4sq.com/1nqEUD6","Subway ")</f>
        <v>Subway </v>
      </c>
      <c r="E903" t="str">
        <f>IFERROR(__xludf.DUMMYFUNCTION("REGEXEXTRACT(FORMULATEXT(D903),""center=([-0-9.]+,[-0-9.]+)"")"),"#N/A")</f>
        <v>#N/A</v>
      </c>
    </row>
    <row r="904">
      <c r="A904" s="1" t="s">
        <v>902</v>
      </c>
      <c r="C904" s="2" t="str">
        <f>HYPERLINK("http://4sq.com/ddc64z","Bake &amp; Bite ")</f>
        <v>Bake &amp; Bite </v>
      </c>
      <c r="E904" t="str">
        <f>IFERROR(__xludf.DUMMYFUNCTION("REGEXEXTRACT(FORMULATEXT(D904),""center=([-0-9.]+,[-0-9.]+)"")"),"#N/A")</f>
        <v>#N/A</v>
      </c>
    </row>
    <row r="905">
      <c r="A905" s="1" t="s">
        <v>903</v>
      </c>
      <c r="C905" s="2" t="str">
        <f>HYPERLINK("http://4sq.com/w1CbeE","3BB Mae Rim ")</f>
        <v>3BB Mae Rim </v>
      </c>
      <c r="E905" t="str">
        <f>IFERROR(__xludf.DUMMYFUNCTION("REGEXEXTRACT(FORMULATEXT(D905),""center=([-0-9.]+,[-0-9.]+)"")"),"#N/A")</f>
        <v>#N/A</v>
      </c>
    </row>
    <row r="906">
      <c r="A906" s="1" t="s">
        <v>904</v>
      </c>
      <c r="C906" s="2" t="str">
        <f>HYPERLINK("http://4sq.com/1p7PUHk","Hmong Hillside Convenience store ")</f>
        <v>Hmong Hillside Convenience store </v>
      </c>
      <c r="E906" t="str">
        <f>IFERROR(__xludf.DUMMYFUNCTION("REGEXEXTRACT(FORMULATEXT(D906),""center=([-0-9.]+,[-0-9.]+)"")"),"#N/A")</f>
        <v>#N/A</v>
      </c>
    </row>
    <row r="907">
      <c r="A907" s="1" t="s">
        <v>905</v>
      </c>
      <c r="C907" s="2" t="str">
        <f>HYPERLINK("http://4sq.com/b5BzeX","Le Méridien Chiang Mai ")</f>
        <v>Le Méridien Chiang Mai </v>
      </c>
      <c r="E907" t="str">
        <f>IFERROR(__xludf.DUMMYFUNCTION("REGEXEXTRACT(FORMULATEXT(D907),""center=([-0-9.]+,[-0-9.]+)"")"),"#N/A")</f>
        <v>#N/A</v>
      </c>
    </row>
    <row r="908">
      <c r="A908" s="1" t="s">
        <v>906</v>
      </c>
      <c r="C908" s="2" t="str">
        <f>HYPERLINK("http://4sq.com/Sw7Gr3","The Glasshouse Chiangmai ")</f>
        <v>The Glasshouse Chiangmai </v>
      </c>
      <c r="E908" t="str">
        <f>IFERROR(__xludf.DUMMYFUNCTION("REGEXEXTRACT(FORMULATEXT(D908),""center=([-0-9.]+,[-0-9.]+)"")"),"#N/A")</f>
        <v>#N/A</v>
      </c>
    </row>
    <row r="909">
      <c r="A909" s="1" t="s">
        <v>907</v>
      </c>
      <c r="C909" s="2" t="str">
        <f>HYPERLINK("http://4sq.com/J3DDTY","ไทวัสดุ สาขาเชียงใหม่ ")</f>
        <v>ไทวัสดุ สาขาเชียงใหม่ </v>
      </c>
      <c r="E909" t="str">
        <f>IFERROR(__xludf.DUMMYFUNCTION("REGEXEXTRACT(FORMULATEXT(D909),""center=([-0-9.]+,[-0-9.]+)"")"),"#N/A")</f>
        <v>#N/A</v>
      </c>
    </row>
    <row r="910">
      <c r="A910" s="1" t="s">
        <v>908</v>
      </c>
      <c r="C910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E910" t="str">
        <f>IFERROR(__xludf.DUMMYFUNCTION("REGEXEXTRACT(FORMULATEXT(D910),""center=([-0-9.]+,[-0-9.]+)"")"),"#N/A")</f>
        <v>#N/A</v>
      </c>
    </row>
    <row r="911">
      <c r="A911" s="1" t="s">
        <v>909</v>
      </c>
      <c r="C911" s="2" t="str">
        <f>HYPERLINK("http://4sq.com/vR2jCG","บ้านสวนกาแฟ (Baan-Suan-Ka-Fé) ")</f>
        <v>บ้านสวนกาแฟ (Baan-Suan-Ka-Fé) </v>
      </c>
      <c r="E911" t="str">
        <f>IFERROR(__xludf.DUMMYFUNCTION("REGEXEXTRACT(FORMULATEXT(D911),""center=([-0-9.]+,[-0-9.]+)"")"),"#N/A")</f>
        <v>#N/A</v>
      </c>
    </row>
    <row r="912">
      <c r="A912" s="1" t="s">
        <v>910</v>
      </c>
      <c r="C912" s="2" t="str">
        <f>HYPERLINK("http://4sq.com/9v7H1W","Extreme Sport Center ")</f>
        <v>Extreme Sport Center </v>
      </c>
      <c r="E912" t="str">
        <f>IFERROR(__xludf.DUMMYFUNCTION("REGEXEXTRACT(FORMULATEXT(D912),""center=([-0-9.]+,[-0-9.]+)"")"),"#N/A")</f>
        <v>#N/A</v>
      </c>
    </row>
    <row r="913">
      <c r="A913" s="1" t="s">
        <v>911</v>
      </c>
      <c r="C913" s="2" t="str">
        <f>HYPERLINK("http://4sq.com/dXIc5D","ปตท. (PTT Gas Station) ")</f>
        <v>ปตท. (PTT Gas Station) </v>
      </c>
      <c r="E913" t="str">
        <f>IFERROR(__xludf.DUMMYFUNCTION("REGEXEXTRACT(FORMULATEXT(D913),""center=([-0-9.]+,[-0-9.]+)"")"),"#N/A")</f>
        <v>#N/A</v>
      </c>
    </row>
    <row r="914">
      <c r="A914" s="1" t="s">
        <v>912</v>
      </c>
      <c r="C914" s="2" t="str">
        <f>HYPERLINK("http://4sq.com/mEqJRt","ร้านก๋วยจั๊บ ตลาดหนองหอย ")</f>
        <v>ร้านก๋วยจั๊บ ตลาดหนองหอย </v>
      </c>
      <c r="E914" t="str">
        <f>IFERROR(__xludf.DUMMYFUNCTION("REGEXEXTRACT(FORMULATEXT(D914),""center=([-0-9.]+,[-0-9.]+)"")"),"#N/A")</f>
        <v>#N/A</v>
      </c>
    </row>
    <row r="915">
      <c r="A915" s="1" t="s">
        <v>913</v>
      </c>
      <c r="C915" s="2" t="str">
        <f>HYPERLINK("http://4sq.com/1nBoJDC","The BBQ ")</f>
        <v>The BBQ </v>
      </c>
      <c r="E915" t="str">
        <f>IFERROR(__xludf.DUMMYFUNCTION("REGEXEXTRACT(FORMULATEXT(D915),""center=([-0-9.]+,[-0-9.]+)"")"),"#N/A")</f>
        <v>#N/A</v>
      </c>
    </row>
    <row r="916">
      <c r="A916" s="1" t="s">
        <v>914</v>
      </c>
      <c r="C916" s="2" t="str">
        <f>HYPERLINK("http://4sq.com/pa8psl","Mac Café ")</f>
        <v>Mac Café </v>
      </c>
      <c r="E916" t="str">
        <f>IFERROR(__xludf.DUMMYFUNCTION("REGEXEXTRACT(FORMULATEXT(D916),""center=([-0-9.]+,[-0-9.]+)"")"),"#N/A")</f>
        <v>#N/A</v>
      </c>
    </row>
    <row r="917">
      <c r="A917" s="1" t="s">
        <v>915</v>
      </c>
      <c r="C917" s="2" t="str">
        <f>HYPERLINK("http://4sq.com/9ZbQXR","ปตท. (PTT) ")</f>
        <v>ปตท. (PTT) </v>
      </c>
      <c r="E917" t="str">
        <f>IFERROR(__xludf.DUMMYFUNCTION("REGEXEXTRACT(FORMULATEXT(D917),""center=([-0-9.]+,[-0-9.]+)"")"),"#N/A")</f>
        <v>#N/A</v>
      </c>
    </row>
    <row r="918">
      <c r="A918" s="1" t="s">
        <v>916</v>
      </c>
      <c r="C918" s="2" t="str">
        <f>HYPERLINK("http://4sq.com/ZSvKDx","Inbox Coffee Bar ")</f>
        <v>Inbox Coffee Bar </v>
      </c>
      <c r="E918" t="str">
        <f>IFERROR(__xludf.DUMMYFUNCTION("REGEXEXTRACT(FORMULATEXT(D918),""center=([-0-9.]+,[-0-9.]+)"")"),"#N/A")</f>
        <v>#N/A</v>
      </c>
    </row>
    <row r="919">
      <c r="A919" s="1" t="s">
        <v>917</v>
      </c>
      <c r="C919" s="2" t="str">
        <f>HYPERLINK("http://4sq.com/9v5uys","ม่อนแจ่ม (Mon Cham) ")</f>
        <v>ม่อนแจ่ม (Mon Cham) </v>
      </c>
      <c r="E919" t="str">
        <f>IFERROR(__xludf.DUMMYFUNCTION("REGEXEXTRACT(FORMULATEXT(D919),""center=([-0-9.]+,[-0-9.]+)"")"),"#N/A")</f>
        <v>#N/A</v>
      </c>
    </row>
    <row r="920">
      <c r="A920" s="1" t="s">
        <v>918</v>
      </c>
      <c r="C920" s="2" t="str">
        <f>HYPERLINK("http://4sq.com/1p7PUHk","Hmong Hillside Convenience store ")</f>
        <v>Hmong Hillside Convenience store </v>
      </c>
      <c r="E920" t="str">
        <f>IFERROR(__xludf.DUMMYFUNCTION("REGEXEXTRACT(FORMULATEXT(D920),""center=([-0-9.]+,[-0-9.]+)"")"),"#N/A")</f>
        <v>#N/A</v>
      </c>
    </row>
    <row r="921">
      <c r="A921" s="1" t="s">
        <v>919</v>
      </c>
      <c r="C921" s="2" t="str">
        <f>HYPERLINK("http://4sq.com/dzcSrH","9 Salon ")</f>
        <v>9 Salon </v>
      </c>
      <c r="E921" t="str">
        <f>IFERROR(__xludf.DUMMYFUNCTION("REGEXEXTRACT(FORMULATEXT(D921),""center=([-0-9.]+,[-0-9.]+)"")"),"#N/A")</f>
        <v>#N/A</v>
      </c>
    </row>
    <row r="922">
      <c r="A922" s="1" t="s">
        <v>920</v>
      </c>
      <c r="C922" s="2" t="str">
        <f>HYPERLINK("http://4sq.com/I28LVE","Café de Oasis | คาเฟ่ เดอ โอเอซิส ")</f>
        <v>Café de Oasis | คาเฟ่ เดอ โอเอซิส </v>
      </c>
      <c r="E922" t="str">
        <f>IFERROR(__xludf.DUMMYFUNCTION("REGEXEXTRACT(FORMULATEXT(D922),""center=([-0-9.]+,[-0-9.]+)"")"),"#N/A")</f>
        <v>#N/A</v>
      </c>
    </row>
    <row r="923">
      <c r="A923" s="1" t="s">
        <v>921</v>
      </c>
      <c r="C923" s="2" t="str">
        <f>HYPERLINK("http://4sq.com/1hVXHYn","and ann coffee ")</f>
        <v>and ann coffee </v>
      </c>
      <c r="E923" t="str">
        <f>IFERROR(__xludf.DUMMYFUNCTION("REGEXEXTRACT(FORMULATEXT(D923),""center=([-0-9.]+,[-0-9.]+)"")"),"#N/A")</f>
        <v>#N/A</v>
      </c>
    </row>
    <row r="924">
      <c r="A924" s="1" t="s">
        <v>922</v>
      </c>
      <c r="C924" s="2" t="str">
        <f>HYPERLINK("http://4sq.com/amzSVo","ริมปิง (Rimping Supermarket) ")</f>
        <v>ริมปิง (Rimping Supermarket) </v>
      </c>
      <c r="E924" t="str">
        <f>IFERROR(__xludf.DUMMYFUNCTION("REGEXEXTRACT(FORMULATEXT(D924),""center=([-0-9.]+,[-0-9.]+)"")"),"#N/A")</f>
        <v>#N/A</v>
      </c>
    </row>
    <row r="925">
      <c r="A925" s="1" t="s">
        <v>923</v>
      </c>
      <c r="C925" s="2" t="str">
        <f>HYPERLINK("http://4sq.com/1lYB3D8","Homepro ")</f>
        <v>Homepro </v>
      </c>
      <c r="E925" t="str">
        <f>IFERROR(__xludf.DUMMYFUNCTION("REGEXEXTRACT(FORMULATEXT(D925),""center=([-0-9.]+,[-0-9.]+)"")"),"#N/A")</f>
        <v>#N/A</v>
      </c>
    </row>
    <row r="926">
      <c r="A926" s="1" t="s">
        <v>924</v>
      </c>
      <c r="C926" s="2" t="str">
        <f>HYPERLINK("http://4sq.com/darGol","Global House (โกลบอลเฮ้าส์) ")</f>
        <v>Global House (โกลบอลเฮ้าส์) </v>
      </c>
      <c r="E926" t="str">
        <f>IFERROR(__xludf.DUMMYFUNCTION("REGEXEXTRACT(FORMULATEXT(D926),""center=([-0-9.]+,[-0-9.]+)"")"),"#N/A")</f>
        <v>#N/A</v>
      </c>
    </row>
    <row r="927">
      <c r="A927" s="1" t="s">
        <v>925</v>
      </c>
      <c r="C927" s="2" t="str">
        <f>HYPERLINK("http://4sq.com/cTCMbh","ปตท. (PTT) ")</f>
        <v>ปตท. (PTT) </v>
      </c>
      <c r="E927" t="str">
        <f>IFERROR(__xludf.DUMMYFUNCTION("REGEXEXTRACT(FORMULATEXT(D927),""center=([-0-9.]+,[-0-9.]+)"")"),"#N/A")</f>
        <v>#N/A</v>
      </c>
    </row>
    <row r="928">
      <c r="A928" s="1" t="s">
        <v>926</v>
      </c>
      <c r="C928" s="2" t="str">
        <f>HYPERLINK("http://4sq.com/dwPPw7","กรีนเลค รีสอร์ท  (Green Lake Resort) ")</f>
        <v>กรีนเลค รีสอร์ท  (Green Lake Resort) </v>
      </c>
      <c r="E928" t="str">
        <f>IFERROR(__xludf.DUMMYFUNCTION("REGEXEXTRACT(FORMULATEXT(D928),""center=([-0-9.]+,[-0-9.]+)"")"),"#N/A")</f>
        <v>#N/A</v>
      </c>
    </row>
    <row r="929">
      <c r="A929" s="1" t="s">
        <v>927</v>
      </c>
      <c r="C929" s="2" t="str">
        <f>HYPERLINK("http://4sq.com/1ln165h","Kawasaki แสงสัยธุรกิจยานยนต์ ")</f>
        <v>Kawasaki แสงสัยธุรกิจยานยนต์ </v>
      </c>
      <c r="E929" t="str">
        <f>IFERROR(__xludf.DUMMYFUNCTION("REGEXEXTRACT(FORMULATEXT(D929),""center=([-0-9.]+,[-0-9.]+)"")"),"#N/A")</f>
        <v>#N/A</v>
      </c>
    </row>
    <row r="930">
      <c r="A930" s="1" t="s">
        <v>928</v>
      </c>
      <c r="C930" s="2" t="str">
        <f>HYPERLINK("http://4sq.com/eTNgs9","BikeCafe ")</f>
        <v>BikeCafe </v>
      </c>
      <c r="E930" t="str">
        <f>IFERROR(__xludf.DUMMYFUNCTION("REGEXEXTRACT(FORMULATEXT(D930),""center=([-0-9.]+,[-0-9.]+)"")"),"#N/A")</f>
        <v>#N/A</v>
      </c>
    </row>
    <row r="931">
      <c r="A931" s="1" t="s">
        <v>929</v>
      </c>
      <c r="C931" s="2" t="str">
        <f>HYPERLINK("http://4sq.com/kZ9PQB","Shell Gas Station : Mae Taeng ")</f>
        <v>Shell Gas Station : Mae Taeng </v>
      </c>
      <c r="E931" t="str">
        <f>IFERROR(__xludf.DUMMYFUNCTION("REGEXEXTRACT(FORMULATEXT(D931),""center=([-0-9.]+,[-0-9.]+)"")"),"#N/A")</f>
        <v>#N/A</v>
      </c>
    </row>
    <row r="932">
      <c r="A932" s="1" t="s">
        <v>930</v>
      </c>
      <c r="C932" s="2" t="str">
        <f>HYPERLINK("http://4sq.com/dhkOHN","Pankled Coffee Corner ")</f>
        <v>Pankled Coffee Corner </v>
      </c>
      <c r="E932" t="str">
        <f>IFERROR(__xludf.DUMMYFUNCTION("REGEXEXTRACT(FORMULATEXT(D932),""center=([-0-9.]+,[-0-9.]+)"")"),"#N/A")</f>
        <v>#N/A</v>
      </c>
    </row>
    <row r="933">
      <c r="A933" s="1" t="s">
        <v>931</v>
      </c>
      <c r="C933" s="2" t="str">
        <f>HYPERLINK("http://4sq.com/9gv9Cc","Coffee in Love (ค๊อฟฟี่อินเลิฟ) ")</f>
        <v>Coffee in Love (ค๊อฟฟี่อินเลิฟ) </v>
      </c>
      <c r="E933" t="str">
        <f>IFERROR(__xludf.DUMMYFUNCTION("REGEXEXTRACT(FORMULATEXT(D933),""center=([-0-9.]+,[-0-9.]+)"")"),"#N/A")</f>
        <v>#N/A</v>
      </c>
    </row>
    <row r="934">
      <c r="A934" s="1" t="s">
        <v>932</v>
      </c>
      <c r="C934" s="2" t="str">
        <f>HYPERLINK("http://4sq.com/aoSA0n","Brook View Pai ")</f>
        <v>Brook View Pai </v>
      </c>
      <c r="E934" t="str">
        <f>IFERROR(__xludf.DUMMYFUNCTION("REGEXEXTRACT(FORMULATEXT(D934),""center=([-0-9.]+,[-0-9.]+)"")"),"#N/A")</f>
        <v>#N/A</v>
      </c>
    </row>
    <row r="935">
      <c r="A935" s="1" t="s">
        <v>933</v>
      </c>
      <c r="C935" s="2" t="str">
        <f>HYPERLINK("http://4sq.com/NpFcbr","Piranha Park ")</f>
        <v>Piranha Park </v>
      </c>
      <c r="E935" t="str">
        <f>IFERROR(__xludf.DUMMYFUNCTION("REGEXEXTRACT(FORMULATEXT(D935),""center=([-0-9.]+,[-0-9.]+)"")"),"#N/A")</f>
        <v>#N/A</v>
      </c>
    </row>
    <row r="936">
      <c r="A936" s="1" t="s">
        <v>934</v>
      </c>
      <c r="C936" s="2" t="str">
        <f>HYPERLINK("http://4sq.com/gG7TyK","Cafe'd'tist ")</f>
        <v>Cafe'd'tist </v>
      </c>
      <c r="E936" t="str">
        <f>IFERROR(__xludf.DUMMYFUNCTION("REGEXEXTRACT(FORMULATEXT(D936),""center=([-0-9.]+,[-0-9.]+)"")"),"#N/A")</f>
        <v>#N/A</v>
      </c>
    </row>
    <row r="937">
      <c r="A937" s="1" t="s">
        <v>935</v>
      </c>
      <c r="C937" s="2" t="str">
        <f>HYPERLINK("http://4sq.com/a38yNX","Yellow Sun ")</f>
        <v>Yellow Sun </v>
      </c>
      <c r="E937" t="str">
        <f>IFERROR(__xludf.DUMMYFUNCTION("REGEXEXTRACT(FORMULATEXT(D937),""center=([-0-9.]+,[-0-9.]+)"")"),"#N/A")</f>
        <v>#N/A</v>
      </c>
    </row>
    <row r="938">
      <c r="A938" s="1" t="s">
        <v>936</v>
      </c>
      <c r="C938" s="2" t="str">
        <f>HYPERLINK("http://4sq.com/dW98v9","Puripai Villa ภูริปายวิลล่า ")</f>
        <v>Puripai Villa ภูริปายวิลล่า </v>
      </c>
      <c r="E938" t="str">
        <f>IFERROR(__xludf.DUMMYFUNCTION("REGEXEXTRACT(FORMULATEXT(D938),""center=([-0-9.]+,[-0-9.]+)"")"),"#N/A")</f>
        <v>#N/A</v>
      </c>
    </row>
    <row r="939">
      <c r="A939" s="1" t="s">
        <v>937</v>
      </c>
      <c r="C939" s="2" t="str">
        <f>HYPERLINK("http://4sq.com/aH3gi2","ร้านน้องเบียร์ (Nong Beer Restaurant) ")</f>
        <v>ร้านน้องเบียร์ (Nong Beer Restaurant) </v>
      </c>
      <c r="E939" t="str">
        <f>IFERROR(__xludf.DUMMYFUNCTION("REGEXEXTRACT(FORMULATEXT(D939),""center=([-0-9.]+,[-0-9.]+)"")"),"#N/A")</f>
        <v>#N/A</v>
      </c>
    </row>
    <row r="940">
      <c r="A940" s="1" t="s">
        <v>938</v>
      </c>
      <c r="C940" s="2" t="str">
        <f>HYPERLINK("http://4sq.com/c3iHZs","ข้าวซอยลําดวน ฟ้าฮ่าม (Kao Soi Lamduan Fa Ham) ")</f>
        <v>ข้าวซอยลําดวน ฟ้าฮ่าม (Kao Soi Lamduan Fa Ham) </v>
      </c>
      <c r="E940" t="str">
        <f>IFERROR(__xludf.DUMMYFUNCTION("REGEXEXTRACT(FORMULATEXT(D940),""center=([-0-9.]+,[-0-9.]+)"")"),"#N/A")</f>
        <v>#N/A</v>
      </c>
    </row>
    <row r="941">
      <c r="A941" s="1" t="s">
        <v>939</v>
      </c>
      <c r="C941" s="2" t="str">
        <f>HYPERLINK("http://4sq.com/13FRMmV","Joe's Bike Team ")</f>
        <v>Joe's Bike Team </v>
      </c>
      <c r="E941" t="str">
        <f>IFERROR(__xludf.DUMMYFUNCTION("REGEXEXTRACT(FORMULATEXT(D941),""center=([-0-9.]+,[-0-9.]+)"")"),"#N/A")</f>
        <v>#N/A</v>
      </c>
    </row>
    <row r="942">
      <c r="A942" s="1" t="s">
        <v>940</v>
      </c>
      <c r="C942" s="2" t="str">
        <f>HYPERLINK("http://4sq.com/IFAMLM","Kireethara Wine Bar &amp; Restaurant ")</f>
        <v>Kireethara Wine Bar &amp; Restaurant </v>
      </c>
      <c r="E942" t="str">
        <f>IFERROR(__xludf.DUMMYFUNCTION("REGEXEXTRACT(FORMULATEXT(D942),""center=([-0-9.]+,[-0-9.]+)"")"),"#N/A")</f>
        <v>#N/A</v>
      </c>
    </row>
    <row r="943">
      <c r="A943" s="1" t="s">
        <v>941</v>
      </c>
      <c r="C943" s="2" t="str">
        <f>HYPERLINK("http://4sq.com/19MFNPc","baan&amp;BEYOND Home Department Store (บ้านแอนด์บียอนด์) ")</f>
        <v>baan&amp;BEYOND Home Department Store (บ้านแอนด์บียอนด์) </v>
      </c>
      <c r="E943" t="str">
        <f>IFERROR(__xludf.DUMMYFUNCTION("REGEXEXTRACT(FORMULATEXT(D943),""center=([-0-9.]+,[-0-9.]+)"")"),"#N/A")</f>
        <v>#N/A</v>
      </c>
    </row>
    <row r="944">
      <c r="A944" s="1" t="s">
        <v>942</v>
      </c>
      <c r="C944" s="2" t="str">
        <f>HYPERLINK("http://4sq.com/vR2jCG","บ้านสวนกาแฟ (Baan-Suan-Ka-Fé) ")</f>
        <v>บ้านสวนกาแฟ (Baan-Suan-Ka-Fé) </v>
      </c>
      <c r="E944" t="str">
        <f>IFERROR(__xludf.DUMMYFUNCTION("REGEXEXTRACT(FORMULATEXT(D944),""center=([-0-9.]+,[-0-9.]+)"")"),"#N/A")</f>
        <v>#N/A</v>
      </c>
    </row>
    <row r="945">
      <c r="A945" s="1" t="s">
        <v>943</v>
      </c>
      <c r="C94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945" t="str">
        <f>IFERROR(__xludf.DUMMYFUNCTION("REGEXEXTRACT(FORMULATEXT(D945),""center=([-0-9.]+,[-0-9.]+)"")"),"#N/A")</f>
        <v>#N/A</v>
      </c>
    </row>
    <row r="946">
      <c r="A946" s="1" t="s">
        <v>944</v>
      </c>
      <c r="C946" s="2" t="str">
        <f>HYPERLINK("http://4sq.com/runusw","ครัวฟ้าใส (ฟ้าใสการ์เด้น) ")</f>
        <v>ครัวฟ้าใส (ฟ้าใสการ์เด้น) </v>
      </c>
      <c r="E946" t="str">
        <f>IFERROR(__xludf.DUMMYFUNCTION("REGEXEXTRACT(FORMULATEXT(D946),""center=([-0-9.]+,[-0-9.]+)"")"),"#N/A")</f>
        <v>#N/A</v>
      </c>
    </row>
    <row r="947">
      <c r="A947" s="1" t="s">
        <v>945</v>
      </c>
      <c r="C947" s="2" t="str">
        <f>HYPERLINK("http://4sq.com/bk1lzZ","ฝ้ายเบเกอรี่ (Fai Bakery &amp; Restaurant) ")</f>
        <v>ฝ้ายเบเกอรี่ (Fai Bakery &amp; Restaurant) </v>
      </c>
      <c r="E947" t="str">
        <f>IFERROR(__xludf.DUMMYFUNCTION("REGEXEXTRACT(FORMULATEXT(D947),""center=([-0-9.]+,[-0-9.]+)"")"),"#N/A")</f>
        <v>#N/A</v>
      </c>
    </row>
    <row r="948">
      <c r="A948" s="1" t="s">
        <v>946</v>
      </c>
      <c r="C948" s="2" t="str">
        <f>HYPERLINK("http://4sq.com/VuG5rl","Steak Of The Day ")</f>
        <v>Steak Of The Day </v>
      </c>
      <c r="E948" t="str">
        <f>IFERROR(__xludf.DUMMYFUNCTION("REGEXEXTRACT(FORMULATEXT(D948),""center=([-0-9.]+,[-0-9.]+)"")"),"#N/A")</f>
        <v>#N/A</v>
      </c>
    </row>
    <row r="949">
      <c r="A949" s="1" t="s">
        <v>947</v>
      </c>
      <c r="C949" s="2" t="str">
        <f>HYPERLINK("http://4sq.com/iQnC0E","Kamonlaput•Coffee•Swim• ")</f>
        <v>Kamonlaput•Coffee•Swim• </v>
      </c>
      <c r="E949" t="str">
        <f>IFERROR(__xludf.DUMMYFUNCTION("REGEXEXTRACT(FORMULATEXT(D949),""center=([-0-9.]+,[-0-9.]+)"")"),"#N/A")</f>
        <v>#N/A</v>
      </c>
    </row>
    <row r="950">
      <c r="A950" s="1" t="s">
        <v>948</v>
      </c>
      <c r="C950" s="2" t="str">
        <f>HYPERLINK("http://4sq.com/a6bcUk","Smoothie Blues ")</f>
        <v>Smoothie Blues </v>
      </c>
      <c r="E950" t="str">
        <f>IFERROR(__xludf.DUMMYFUNCTION("REGEXEXTRACT(FORMULATEXT(D950),""center=([-0-9.]+,[-0-9.]+)"")"),"#N/A")</f>
        <v>#N/A</v>
      </c>
    </row>
    <row r="951">
      <c r="A951" s="1" t="s">
        <v>949</v>
      </c>
      <c r="C951" s="2" t="str">
        <f>HYPERLINK("http://4sq.com/qoSKTO","CM Furnituremall ")</f>
        <v>CM Furnituremall </v>
      </c>
      <c r="E951" t="str">
        <f>IFERROR(__xludf.DUMMYFUNCTION("REGEXEXTRACT(FORMULATEXT(D951),""center=([-0-9.]+,[-0-9.]+)"")"),"#N/A")</f>
        <v>#N/A</v>
      </c>
    </row>
    <row r="952">
      <c r="A952" s="1" t="s">
        <v>950</v>
      </c>
      <c r="C952" s="2" t="str">
        <f>HYPERLINK("http://4sq.com/eey04s","The Ring ")</f>
        <v>The Ring </v>
      </c>
      <c r="E952" t="str">
        <f>IFERROR(__xludf.DUMMYFUNCTION("REGEXEXTRACT(FORMULATEXT(D952),""center=([-0-9.]+,[-0-9.]+)"")"),"#N/A")</f>
        <v>#N/A</v>
      </c>
    </row>
    <row r="953">
      <c r="A953" s="1" t="s">
        <v>951</v>
      </c>
      <c r="C953" s="2" t="str">
        <f>HYPERLINK("http://4sq.com/1tyRfsO","ร้านเบอร์ 19 ")</f>
        <v>ร้านเบอร์ 19 </v>
      </c>
      <c r="E953" t="str">
        <f>IFERROR(__xludf.DUMMYFUNCTION("REGEXEXTRACT(FORMULATEXT(D953),""center=([-0-9.]+,[-0-9.]+)"")"),"#N/A")</f>
        <v>#N/A</v>
      </c>
    </row>
    <row r="954">
      <c r="A954" s="1" t="s">
        <v>952</v>
      </c>
      <c r="C954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954" t="str">
        <f>IFERROR(__xludf.DUMMYFUNCTION("REGEXEXTRACT(FORMULATEXT(D954),""center=([-0-9.]+,[-0-9.]+)"")"),"#N/A")</f>
        <v>#N/A</v>
      </c>
    </row>
    <row r="955">
      <c r="A955" s="1" t="s">
        <v>953</v>
      </c>
      <c r="C955" s="2" t="str">
        <f>HYPERLINK("http://4sq.com/9fhu0n","El Diablo Burritos ")</f>
        <v>El Diablo Burritos </v>
      </c>
      <c r="E955" t="str">
        <f>IFERROR(__xludf.DUMMYFUNCTION("REGEXEXTRACT(FORMULATEXT(D955),""center=([-0-9.]+,[-0-9.]+)"")"),"#N/A")</f>
        <v>#N/A</v>
      </c>
    </row>
    <row r="956">
      <c r="A956" s="1" t="s">
        <v>954</v>
      </c>
      <c r="C956" s="2" t="str">
        <f>HYPERLINK("http://4sq.com/z0VWog","Sweet Heart Bar ")</f>
        <v>Sweet Heart Bar </v>
      </c>
      <c r="E956" t="str">
        <f>IFERROR(__xludf.DUMMYFUNCTION("REGEXEXTRACT(FORMULATEXT(D956),""center=([-0-9.]+,[-0-9.]+)"")"),"#N/A")</f>
        <v>#N/A</v>
      </c>
    </row>
    <row r="957">
      <c r="A957" s="1" t="s">
        <v>955</v>
      </c>
      <c r="C957" s="2" t="str">
        <f>HYPERLINK("http://4sq.com/dN5I8e","ปิโตรนาส สาขา เชียงใหม่ แม่ริม (ปั๊มเหรียญทอง 3 ปี ซ้อน) ")</f>
        <v>ปิโตรนาส สาขา เชียงใหม่ แม่ริม (ปั๊มเหรียญทอง 3 ปี ซ้อน) </v>
      </c>
      <c r="E957" t="str">
        <f>IFERROR(__xludf.DUMMYFUNCTION("REGEXEXTRACT(FORMULATEXT(D957),""center=([-0-9.]+,[-0-9.]+)"")"),"#N/A")</f>
        <v>#N/A</v>
      </c>
    </row>
    <row r="958">
      <c r="A958" s="1" t="s">
        <v>956</v>
      </c>
      <c r="C958" s="2" t="str">
        <f>HYPERLINK("http://4sq.com/96C3Ox","น้ำตกแม่สา ")</f>
        <v>น้ำตกแม่สา </v>
      </c>
      <c r="E958" t="str">
        <f>IFERROR(__xludf.DUMMYFUNCTION("REGEXEXTRACT(FORMULATEXT(D958),""center=([-0-9.]+,[-0-9.]+)"")"),"#N/A")</f>
        <v>#N/A</v>
      </c>
    </row>
    <row r="959">
      <c r="A959" s="1" t="s">
        <v>957</v>
      </c>
      <c r="C959" s="2" t="str">
        <f>HYPERLINK("http://4sq.com/gp45OA","Charin Pie ")</f>
        <v>Charin Pie </v>
      </c>
      <c r="E959" t="str">
        <f>IFERROR(__xludf.DUMMYFUNCTION("REGEXEXTRACT(FORMULATEXT(D959),""center=([-0-9.]+,[-0-9.]+)"")"),"#N/A")</f>
        <v>#N/A</v>
      </c>
    </row>
    <row r="960">
      <c r="A960" s="1" t="s">
        <v>958</v>
      </c>
      <c r="C960" s="2" t="str">
        <f>HYPERLINK("http://4sq.com/9dAeh7","Boat (โบ๊ต) ")</f>
        <v>Boat (โบ๊ต) </v>
      </c>
      <c r="E960" t="str">
        <f>IFERROR(__xludf.DUMMYFUNCTION("REGEXEXTRACT(FORMULATEXT(D960),""center=([-0-9.]+,[-0-9.]+)"")"),"#N/A")</f>
        <v>#N/A</v>
      </c>
    </row>
    <row r="961">
      <c r="A961" s="1" t="s">
        <v>959</v>
      </c>
      <c r="C96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961" t="str">
        <f>IFERROR(__xludf.DUMMYFUNCTION("REGEXEXTRACT(FORMULATEXT(D961),""center=([-0-9.]+,[-0-9.]+)"")"),"#N/A")</f>
        <v>#N/A</v>
      </c>
    </row>
    <row r="962">
      <c r="A962" s="1" t="s">
        <v>960</v>
      </c>
      <c r="C962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962" t="str">
        <f>IFERROR(__xludf.DUMMYFUNCTION("REGEXEXTRACT(FORMULATEXT(D962),""center=([-0-9.]+,[-0-9.]+)"")"),"#N/A")</f>
        <v>#N/A</v>
      </c>
    </row>
    <row r="963">
      <c r="A963" s="1" t="s">
        <v>961</v>
      </c>
      <c r="C963" s="2" t="str">
        <f>HYPERLINK("http://4sq.com/9QUhFp","Lumpini Place Phahon-Saphankhwai (ลุมพินี เพลส พหล-สะพานควาย) ")</f>
        <v>Lumpini Place Phahon-Saphankhwai (ลุมพินี เพลส พหล-สะพานควาย) </v>
      </c>
      <c r="E963" t="str">
        <f>IFERROR(__xludf.DUMMYFUNCTION("REGEXEXTRACT(FORMULATEXT(D963),""center=([-0-9.]+,[-0-9.]+)"")"),"#N/A")</f>
        <v>#N/A</v>
      </c>
    </row>
    <row r="964">
      <c r="A964" s="1" t="s">
        <v>962</v>
      </c>
      <c r="C964" s="2" t="str">
        <f>HYPERLINK("http://4sq.com/1eaimr8","Green Parrot ")</f>
        <v>Green Parrot </v>
      </c>
      <c r="E964" t="str">
        <f>IFERROR(__xludf.DUMMYFUNCTION("REGEXEXTRACT(FORMULATEXT(D964),""center=([-0-9.]+,[-0-9.]+)"")"),"#N/A")</f>
        <v>#N/A</v>
      </c>
    </row>
    <row r="965">
      <c r="A965" s="1" t="s">
        <v>963</v>
      </c>
      <c r="C965" s="2" t="str">
        <f>HYPERLINK("http://4sq.com/fAWkjh","Chu Chocolate Bar &amp; Café ")</f>
        <v>Chu Chocolate Bar &amp; Café </v>
      </c>
      <c r="E965" t="str">
        <f>IFERROR(__xludf.DUMMYFUNCTION("REGEXEXTRACT(FORMULATEXT(D965),""center=([-0-9.]+,[-0-9.]+)"")"),"#N/A")</f>
        <v>#N/A</v>
      </c>
    </row>
    <row r="966">
      <c r="A966" s="1" t="s">
        <v>964</v>
      </c>
      <c r="C966" s="2" t="str">
        <f>HYPERLINK("http://4sq.com/9haDUi","Long Table ")</f>
        <v>Long Table </v>
      </c>
      <c r="E966" t="str">
        <f>IFERROR(__xludf.DUMMYFUNCTION("REGEXEXTRACT(FORMULATEXT(D966),""center=([-0-9.]+,[-0-9.]+)"")"),"#N/A")</f>
        <v>#N/A</v>
      </c>
    </row>
    <row r="967">
      <c r="A967" s="1" t="s">
        <v>965</v>
      </c>
      <c r="C967" s="2" t="str">
        <f>HYPERLINK("http://4sq.com/jpHn27","Liberty Garden Hotel ")</f>
        <v>Liberty Garden Hotel </v>
      </c>
      <c r="E967" t="str">
        <f>IFERROR(__xludf.DUMMYFUNCTION("REGEXEXTRACT(FORMULATEXT(D967),""center=([-0-9.]+,[-0-9.]+)"")"),"#N/A")</f>
        <v>#N/A</v>
      </c>
    </row>
    <row r="968">
      <c r="A968" s="1" t="s">
        <v>966</v>
      </c>
      <c r="C968" s="2" t="str">
        <f>HYPERLINK("http://4sq.com/ynqN58","Burger Factory ")</f>
        <v>Burger Factory </v>
      </c>
      <c r="E968" t="str">
        <f>IFERROR(__xludf.DUMMYFUNCTION("REGEXEXTRACT(FORMULATEXT(D968),""center=([-0-9.]+,[-0-9.]+)"")"),"#N/A")</f>
        <v>#N/A</v>
      </c>
    </row>
    <row r="969">
      <c r="A969" s="1" t="s">
        <v>967</v>
      </c>
      <c r="C969" s="2" t="str">
        <f>HYPERLINK("http://4sq.com/19LYqoD","I'm Cafe &amp; Bistro ")</f>
        <v>I'm Cafe &amp; Bistro </v>
      </c>
      <c r="E969" t="str">
        <f>IFERROR(__xludf.DUMMYFUNCTION("REGEXEXTRACT(FORMULATEXT(D969),""center=([-0-9.]+,[-0-9.]+)"")"),"#N/A")</f>
        <v>#N/A</v>
      </c>
    </row>
    <row r="970">
      <c r="A970" s="1" t="s">
        <v>968</v>
      </c>
      <c r="C970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970" t="str">
        <f>IFERROR(__xludf.DUMMYFUNCTION("REGEXEXTRACT(FORMULATEXT(D970),""center=([-0-9.]+,[-0-9.]+)"")"),"#N/A")</f>
        <v>#N/A</v>
      </c>
    </row>
    <row r="971">
      <c r="A971" s="1" t="s">
        <v>969</v>
      </c>
      <c r="C971" s="2" t="str">
        <f>HYPERLINK("http://4sq.com/eUrm4H","The Hideaway Cafe &amp; Restaurant ")</f>
        <v>The Hideaway Cafe &amp; Restaurant </v>
      </c>
      <c r="E971" t="str">
        <f>IFERROR(__xludf.DUMMYFUNCTION("REGEXEXTRACT(FORMULATEXT(D971),""center=([-0-9.]+,[-0-9.]+)"")"),"#N/A")</f>
        <v>#N/A</v>
      </c>
    </row>
    <row r="972">
      <c r="A972" s="1" t="s">
        <v>970</v>
      </c>
      <c r="C972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972" t="str">
        <f>IFERROR(__xludf.DUMMYFUNCTION("REGEXEXTRACT(FORMULATEXT(D972),""center=([-0-9.]+,[-0-9.]+)"")"),"#N/A")</f>
        <v>#N/A</v>
      </c>
    </row>
    <row r="973">
      <c r="A973" s="1" t="s">
        <v>971</v>
      </c>
      <c r="C973" s="2" t="str">
        <f>HYPERLINK("http://4sq.com/9Xt3FL","ห้วยตึงเฒ่า (Huay Tueng Tao) ")</f>
        <v>ห้วยตึงเฒ่า (Huay Tueng Tao) </v>
      </c>
      <c r="E973" t="str">
        <f>IFERROR(__xludf.DUMMYFUNCTION("REGEXEXTRACT(FORMULATEXT(D973),""center=([-0-9.]+,[-0-9.]+)"")"),"#N/A")</f>
        <v>#N/A</v>
      </c>
    </row>
    <row r="974">
      <c r="A974" s="1" t="s">
        <v>972</v>
      </c>
      <c r="C974" s="2" t="str">
        <f>HYPERLINK("http://4sq.com/17M6fyE","หลงป่า (Lhong-Pa) ")</f>
        <v>หลงป่า (Lhong-Pa) </v>
      </c>
      <c r="E974" t="str">
        <f>IFERROR(__xludf.DUMMYFUNCTION("REGEXEXTRACT(FORMULATEXT(D974),""center=([-0-9.]+,[-0-9.]+)"")"),"#N/A")</f>
        <v>#N/A</v>
      </c>
    </row>
    <row r="975">
      <c r="A975" s="1" t="s">
        <v>973</v>
      </c>
      <c r="C975" s="2" t="str">
        <f>HYPERLINK("http://4sq.com/1nqEUD6","Subway ")</f>
        <v>Subway </v>
      </c>
      <c r="E975" t="str">
        <f>IFERROR(__xludf.DUMMYFUNCTION("REGEXEXTRACT(FORMULATEXT(D975),""center=([-0-9.]+,[-0-9.]+)"")"),"#N/A")</f>
        <v>#N/A</v>
      </c>
    </row>
    <row r="976">
      <c r="A976" s="1" t="s">
        <v>974</v>
      </c>
      <c r="C976" s="2" t="str">
        <f>HYPERLINK("http://4sq.com/1a6WsSl","Sizzler (ซิซซ์เล่อร์) ")</f>
        <v>Sizzler (ซิซซ์เล่อร์) </v>
      </c>
      <c r="E976" t="str">
        <f>IFERROR(__xludf.DUMMYFUNCTION("REGEXEXTRACT(FORMULATEXT(D976),""center=([-0-9.]+,[-0-9.]+)"")"),"#N/A")</f>
        <v>#N/A</v>
      </c>
    </row>
    <row r="977">
      <c r="A977" s="1" t="s">
        <v>975</v>
      </c>
      <c r="C977" s="2" t="str">
        <f>HYPERLINK("http://4sq.com/eey04s","The Ring ")</f>
        <v>The Ring </v>
      </c>
      <c r="E977" t="str">
        <f>IFERROR(__xludf.DUMMYFUNCTION("REGEXEXTRACT(FORMULATEXT(D977),""center=([-0-9.]+,[-0-9.]+)"")"),"#N/A")</f>
        <v>#N/A</v>
      </c>
    </row>
    <row r="978">
      <c r="A978" s="1" t="s">
        <v>976</v>
      </c>
      <c r="C978" s="2" t="str">
        <f>HYPERLINK("http://4sq.com/VxOScK","Curry Scoop ")</f>
        <v>Curry Scoop </v>
      </c>
      <c r="E978" t="str">
        <f>IFERROR(__xludf.DUMMYFUNCTION("REGEXEXTRACT(FORMULATEXT(D978),""center=([-0-9.]+,[-0-9.]+)"")"),"#N/A")</f>
        <v>#N/A</v>
      </c>
    </row>
    <row r="979">
      <c r="A979" s="1" t="s">
        <v>977</v>
      </c>
      <c r="C979" s="2" t="str">
        <f>HYPERLINK("http://4sq.com/mX3A2Y","คั่วไก่นิมมาน (Kua-Kai Nimman) ")</f>
        <v>คั่วไก่นิมมาน (Kua-Kai Nimman) </v>
      </c>
      <c r="E979" t="str">
        <f>IFERROR(__xludf.DUMMYFUNCTION("REGEXEXTRACT(FORMULATEXT(D979),""center=([-0-9.]+,[-0-9.]+)"")"),"#N/A")</f>
        <v>#N/A</v>
      </c>
    </row>
    <row r="980">
      <c r="A980" s="1" t="s">
        <v>978</v>
      </c>
      <c r="B980" s="1" t="s">
        <v>979</v>
      </c>
      <c r="C980" s="2" t="str">
        <f>HYPERLINK("http://4sq.com/9Xt3FL","ห้วยตึงเฒ่า (Huay Tueng Tao) ")</f>
        <v>ห้วยตึงเฒ่า (Huay Tueng Tao) </v>
      </c>
      <c r="E980" t="str">
        <f>IFERROR(__xludf.DUMMYFUNCTION("REGEXEXTRACT(FORMULATEXT(D980),""center=([-0-9.]+,[-0-9.]+)"")"),"#N/A")</f>
        <v>#N/A</v>
      </c>
    </row>
    <row r="981">
      <c r="A981" s="1" t="s">
        <v>980</v>
      </c>
      <c r="C981" s="2" t="str">
        <f>HYPERLINK("http://4sq.com/1eCpkTQ","MAYA (เมญ่า) ")</f>
        <v>MAYA (เมญ่า) </v>
      </c>
      <c r="E981" t="str">
        <f>IFERROR(__xludf.DUMMYFUNCTION("REGEXEXTRACT(FORMULATEXT(D981),""center=([-0-9.]+,[-0-9.]+)"")"),"#N/A")</f>
        <v>#N/A</v>
      </c>
    </row>
    <row r="982">
      <c r="A982" s="1" t="s">
        <v>981</v>
      </c>
      <c r="C982" s="2" t="str">
        <f>HYPERLINK("http://4sq.com/gOIJij","Panviman Chiang Mai Spa Resort | ปานวิมาน เชียงใหม่ สปา รีสอร์ท ")</f>
        <v>Panviman Chiang Mai Spa Resort | ปานวิมาน เชียงใหม่ สปา รีสอร์ท </v>
      </c>
      <c r="E982" t="str">
        <f>IFERROR(__xludf.DUMMYFUNCTION("REGEXEXTRACT(FORMULATEXT(D982),""center=([-0-9.]+,[-0-9.]+)"")"),"#N/A")</f>
        <v>#N/A</v>
      </c>
    </row>
    <row r="983">
      <c r="A983" s="1" t="s">
        <v>982</v>
      </c>
      <c r="C983" s="2" t="str">
        <f>HYPERLINK("http://4sq.com/dwBNev","แกงร้อนบ้านสวน (Kang Ron Baan Suan) ")</f>
        <v>แกงร้อนบ้านสวน (Kang Ron Baan Suan) </v>
      </c>
      <c r="E983" t="str">
        <f>IFERROR(__xludf.DUMMYFUNCTION("REGEXEXTRACT(FORMULATEXT(D983),""center=([-0-9.]+,[-0-9.]+)"")"),"#N/A")</f>
        <v>#N/A</v>
      </c>
    </row>
    <row r="984">
      <c r="A984" s="1" t="s">
        <v>983</v>
      </c>
      <c r="C984" s="2" t="str">
        <f>HYPERLINK("http://4sq.com/1llaXZg","Rock Me Burger &amp; Bar ")</f>
        <v>Rock Me Burger &amp; Bar </v>
      </c>
      <c r="E984" t="str">
        <f>IFERROR(__xludf.DUMMYFUNCTION("REGEXEXTRACT(FORMULATEXT(D984),""center=([-0-9.]+,[-0-9.]+)"")"),"#N/A")</f>
        <v>#N/A</v>
      </c>
    </row>
    <row r="985">
      <c r="A985" s="1" t="s">
        <v>984</v>
      </c>
      <c r="C985" s="2" t="str">
        <f>HYPERLINK("http://4sq.com/XLdWOP","Penguin Ghetto | Coffee and Beverage | Chiangmai ")</f>
        <v>Penguin Ghetto | Coffee and Beverage | Chiangmai </v>
      </c>
      <c r="E985" t="str">
        <f>IFERROR(__xludf.DUMMYFUNCTION("REGEXEXTRACT(FORMULATEXT(D985),""center=([-0-9.]+,[-0-9.]+)"")"),"#N/A")</f>
        <v>#N/A</v>
      </c>
    </row>
    <row r="986">
      <c r="A986" s="1" t="s">
        <v>985</v>
      </c>
      <c r="C986" s="2" t="str">
        <f>HYPERLINK("http://4sq.com/9fhu0n","El Diablo Burritos ")</f>
        <v>El Diablo Burritos </v>
      </c>
      <c r="E986" t="str">
        <f>IFERROR(__xludf.DUMMYFUNCTION("REGEXEXTRACT(FORMULATEXT(D986),""center=([-0-9.]+,[-0-9.]+)"")"),"#N/A")</f>
        <v>#N/A</v>
      </c>
    </row>
    <row r="987">
      <c r="A987" s="1" t="s">
        <v>986</v>
      </c>
      <c r="C987" s="2" t="str">
        <f>HYPERLINK("http://4sq.com/gWOYsV","The Windmill (บ้านกังหัน) ")</f>
        <v>The Windmill (บ้านกังหัน) </v>
      </c>
      <c r="E987" t="str">
        <f>IFERROR(__xludf.DUMMYFUNCTION("REGEXEXTRACT(FORMULATEXT(D987),""center=([-0-9.]+,[-0-9.]+)"")"),"#N/A")</f>
        <v>#N/A</v>
      </c>
    </row>
    <row r="988">
      <c r="A988" s="1" t="s">
        <v>987</v>
      </c>
      <c r="C988" s="2" t="str">
        <f>HYPERLINK("http://4sq.com/17M6fyE","หลงป่า (Lhong-Pa) ")</f>
        <v>หลงป่า (Lhong-Pa) </v>
      </c>
      <c r="E988" t="str">
        <f>IFERROR(__xludf.DUMMYFUNCTION("REGEXEXTRACT(FORMULATEXT(D988),""center=([-0-9.]+,[-0-9.]+)"")"),"#N/A")</f>
        <v>#N/A</v>
      </c>
    </row>
    <row r="989">
      <c r="A989" s="1" t="s">
        <v>988</v>
      </c>
      <c r="C989" s="2" t="str">
        <f>HYPERLINK("http://4sq.com/clDjfZ","พิพิธภัณฑ์สวนสัตว์แมลงสยาม (Siam Insect Zoo &amp; Museum) ")</f>
        <v>พิพิธภัณฑ์สวนสัตว์แมลงสยาม (Siam Insect Zoo &amp; Museum) </v>
      </c>
      <c r="E989" t="str">
        <f>IFERROR(__xludf.DUMMYFUNCTION("REGEXEXTRACT(FORMULATEXT(D989),""center=([-0-9.]+,[-0-9.]+)"")"),"#N/A")</f>
        <v>#N/A</v>
      </c>
    </row>
    <row r="990">
      <c r="A990" s="1" t="s">
        <v>989</v>
      </c>
      <c r="C990" s="2" t="str">
        <f>HYPERLINK("http://4sq.com/96C3Ox","น้ำตกแม่สา ")</f>
        <v>น้ำตกแม่สา </v>
      </c>
      <c r="E990" t="str">
        <f>IFERROR(__xludf.DUMMYFUNCTION("REGEXEXTRACT(FORMULATEXT(D990),""center=([-0-9.]+,[-0-9.]+)"")"),"#N/A")</f>
        <v>#N/A</v>
      </c>
    </row>
    <row r="991">
      <c r="A991" s="1" t="s">
        <v>990</v>
      </c>
      <c r="C991" s="2" t="str">
        <f>HYPERLINK("http://4sq.com/ddc64z","Bake &amp; Bite ")</f>
        <v>Bake &amp; Bite </v>
      </c>
      <c r="E991" t="str">
        <f>IFERROR(__xludf.DUMMYFUNCTION("REGEXEXTRACT(FORMULATEXT(D991),""center=([-0-9.]+,[-0-9.]+)"")"),"#N/A")</f>
        <v>#N/A</v>
      </c>
    </row>
    <row r="992">
      <c r="A992" s="1" t="s">
        <v>991</v>
      </c>
      <c r="C992" s="2" t="str">
        <f>HYPERLINK("http://4sq.com/1g8wZw0","สวนโอขิ สวนองุ่น ")</f>
        <v>สวนโอขิ สวนองุ่น </v>
      </c>
      <c r="E992" t="str">
        <f>IFERROR(__xludf.DUMMYFUNCTION("REGEXEXTRACT(FORMULATEXT(D992),""center=([-0-9.]+,[-0-9.]+)"")"),"#N/A")</f>
        <v>#N/A</v>
      </c>
    </row>
    <row r="993">
      <c r="A993" s="1" t="s">
        <v>992</v>
      </c>
      <c r="C993" s="2" t="str">
        <f>HYPERLINK("http://4sq.com/1p7PUHk","Hmong Hillside Convenience store ")</f>
        <v>Hmong Hillside Convenience store </v>
      </c>
      <c r="E993" t="str">
        <f>IFERROR(__xludf.DUMMYFUNCTION("REGEXEXTRACT(FORMULATEXT(D993),""center=([-0-9.]+,[-0-9.]+)"")"),"#N/A")</f>
        <v>#N/A</v>
      </c>
    </row>
    <row r="994">
      <c r="A994" s="1" t="s">
        <v>993</v>
      </c>
      <c r="C994" s="2" t="str">
        <f>HYPERLINK("http://4sq.com/1e541eT","อุ๊ยแก้วกาแฟ ")</f>
        <v>อุ๊ยแก้วกาแฟ </v>
      </c>
      <c r="E994" t="str">
        <f>IFERROR(__xludf.DUMMYFUNCTION("REGEXEXTRACT(FORMULATEXT(D994),""center=([-0-9.]+,[-0-9.]+)"")"),"#N/A")</f>
        <v>#N/A</v>
      </c>
    </row>
    <row r="995">
      <c r="A995" s="1" t="s">
        <v>994</v>
      </c>
      <c r="C995" s="2" t="str">
        <f>HYPERLINK("http://4sq.com/1llaXZg","Rock Me Burger &amp; Bar ")</f>
        <v>Rock Me Burger &amp; Bar </v>
      </c>
      <c r="E995" t="str">
        <f>IFERROR(__xludf.DUMMYFUNCTION("REGEXEXTRACT(FORMULATEXT(D995),""center=([-0-9.]+,[-0-9.]+)"")"),"#N/A")</f>
        <v>#N/A</v>
      </c>
    </row>
    <row r="996">
      <c r="A996" s="1" t="s">
        <v>995</v>
      </c>
      <c r="C996" s="2" t="str">
        <f>HYPERLINK("http://4sq.com/1dpQIFZ","The Chai Lai Orchid Cafe' ")</f>
        <v>The Chai Lai Orchid Cafe' </v>
      </c>
      <c r="E996" t="str">
        <f>IFERROR(__xludf.DUMMYFUNCTION("REGEXEXTRACT(FORMULATEXT(D996),""center=([-0-9.]+,[-0-9.]+)"")"),"#N/A")</f>
        <v>#N/A</v>
      </c>
    </row>
    <row r="997">
      <c r="A997" s="1" t="s">
        <v>996</v>
      </c>
      <c r="C997" s="2" t="str">
        <f>HYPERLINK("http://4sq.com/yoYW7r","สิริภูมิ ")</f>
        <v>สิริภูมิ </v>
      </c>
      <c r="E997" t="str">
        <f>IFERROR(__xludf.DUMMYFUNCTION("REGEXEXTRACT(FORMULATEXT(D997),""center=([-0-9.]+,[-0-9.]+)"")"),"#N/A")</f>
        <v>#N/A</v>
      </c>
    </row>
    <row r="998">
      <c r="A998" s="1" t="s">
        <v>997</v>
      </c>
      <c r="C998" s="2" t="str">
        <f>HYPERLINK("http://4sq.com/g0hZeg","ร้านอาหารอินทนนท์ (Inthanon Restaurant) ")</f>
        <v>ร้านอาหารอินทนนท์ (Inthanon Restaurant) </v>
      </c>
      <c r="E998" t="str">
        <f>IFERROR(__xludf.DUMMYFUNCTION("REGEXEXTRACT(FORMULATEXT(D998),""center=([-0-9.]+,[-0-9.]+)"")"),"#N/A")</f>
        <v>#N/A</v>
      </c>
    </row>
    <row r="999">
      <c r="A999" s="1" t="s">
        <v>998</v>
      </c>
      <c r="C999" s="2" t="str">
        <f>HYPERLINK("http://4sq.com/9eOCQH","สถานีเกษตรหลวงอินทนนท์ (Royal Agricultural Station - Inthanon) ")</f>
        <v>สถานีเกษตรหลวงอินทนนท์ (Royal Agricultural Station - Inthanon) </v>
      </c>
      <c r="E999" t="str">
        <f>IFERROR(__xludf.DUMMYFUNCTION("REGEXEXTRACT(FORMULATEXT(D999),""center=([-0-9.]+,[-0-9.]+)"")"),"#N/A")</f>
        <v>#N/A</v>
      </c>
    </row>
    <row r="1000">
      <c r="A1000" s="1" t="s">
        <v>999</v>
      </c>
      <c r="C1000" s="2" t="str">
        <f>HYPERLINK("http://4sq.com/i9zvng","PTT แม่สะเรียง ")</f>
        <v>PTT แม่สะเรียง </v>
      </c>
      <c r="E1000" t="str">
        <f>IFERROR(__xludf.DUMMYFUNCTION("REGEXEXTRACT(FORMULATEXT(D1000),""center=([-0-9.]+,[-0-9.]+)"")"),"#N/A")</f>
        <v>#N/A</v>
      </c>
    </row>
    <row r="1001">
      <c r="A1001" s="1" t="s">
        <v>1000</v>
      </c>
      <c r="C1001" s="2" t="str">
        <f>HYPERLINK("http://4sq.com/h00loX","Northwest Guesthouse ")</f>
        <v>Northwest Guesthouse </v>
      </c>
      <c r="E1001" t="str">
        <f>IFERROR(__xludf.DUMMYFUNCTION("REGEXEXTRACT(FORMULATEXT(D1001),""center=([-0-9.]+,[-0-9.]+)"")"),"#N/A")</f>
        <v>#N/A</v>
      </c>
    </row>
    <row r="1002">
      <c r="A1002" s="1" t="s">
        <v>1001</v>
      </c>
      <c r="C1002" s="2" t="str">
        <f>HYPERLINK("http://4sq.com/y3Hafk","อนุสรณ์สถานมิตรภาพไทย-ญี่ปุ่น (Thailand-Japan Friendship Memorial) ")</f>
        <v>อนุสรณ์สถานมิตรภาพไทย-ญี่ปุ่น (Thailand-Japan Friendship Memorial) </v>
      </c>
      <c r="E1002" t="str">
        <f>IFERROR(__xludf.DUMMYFUNCTION("REGEXEXTRACT(FORMULATEXT(D1002),""center=([-0-9.]+,[-0-9.]+)"")"),"#N/A")</f>
        <v>#N/A</v>
      </c>
    </row>
    <row r="1003">
      <c r="A1003" s="1" t="s">
        <v>1002</v>
      </c>
      <c r="C1003" s="2" t="str">
        <f>HYPERLINK("http://4sq.com/hw7Zu0","วัดจองคำ (Wat Chong Kham) ")</f>
        <v>วัดจองคำ (Wat Chong Kham) </v>
      </c>
      <c r="E1003" t="str">
        <f>IFERROR(__xludf.DUMMYFUNCTION("REGEXEXTRACT(FORMULATEXT(D1003),""center=([-0-9.]+,[-0-9.]+)"")"),"#N/A")</f>
        <v>#N/A</v>
      </c>
    </row>
    <row r="1004">
      <c r="A1004" s="1" t="s">
        <v>1003</v>
      </c>
      <c r="C1004" s="2" t="str">
        <f>HYPERLINK("http://4sq.com/cT20LK","CrossRoads ")</f>
        <v>CrossRoads </v>
      </c>
      <c r="E1004" t="str">
        <f>IFERROR(__xludf.DUMMYFUNCTION("REGEXEXTRACT(FORMULATEXT(D1004),""center=([-0-9.]+,[-0-9.]+)"")"),"#N/A")</f>
        <v>#N/A</v>
      </c>
    </row>
    <row r="1005">
      <c r="A1005" s="1" t="s">
        <v>1004</v>
      </c>
      <c r="C1005" s="2" t="str">
        <f>HYPERLINK("http://4sq.com/c2Qei3","Coffee Morning (คอฟฟี่ มอร์นิ่ง) ")</f>
        <v>Coffee Morning (คอฟฟี่ มอร์นิ่ง) </v>
      </c>
      <c r="E1005" t="str">
        <f>IFERROR(__xludf.DUMMYFUNCTION("REGEXEXTRACT(FORMULATEXT(D1005),""center=([-0-9.]+,[-0-9.]+)"")"),"#N/A")</f>
        <v>#N/A</v>
      </c>
    </row>
    <row r="1006">
      <c r="A1006" s="1" t="s">
        <v>1005</v>
      </c>
      <c r="C1006" s="2" t="str">
        <f>HYPERLINK("http://4sq.com/J4waiR","PTT Maehongson ")</f>
        <v>PTT Maehongson </v>
      </c>
      <c r="E1006" t="str">
        <f>IFERROR(__xludf.DUMMYFUNCTION("REGEXEXTRACT(FORMULATEXT(D1006),""center=([-0-9.]+,[-0-9.]+)"")"),"#N/A")</f>
        <v>#N/A</v>
      </c>
    </row>
    <row r="1007">
      <c r="A1007" s="1" t="s">
        <v>1006</v>
      </c>
      <c r="C1007" s="2" t="str">
        <f>HYPERLINK("http://4sq.com/1J6qvKD","Weak Point Transboundry Checkpoint ")</f>
        <v>Weak Point Transboundry Checkpoint </v>
      </c>
      <c r="E1007" t="str">
        <f>IFERROR(__xludf.DUMMYFUNCTION("REGEXEXTRACT(FORMULATEXT(D1007),""center=([-0-9.]+,[-0-9.]+)"")"),"#N/A")</f>
        <v>#N/A</v>
      </c>
    </row>
    <row r="1008">
      <c r="A1008" s="1" t="s">
        <v>1007</v>
      </c>
      <c r="C1008" s="2" t="str">
        <f>HYPERLINK("http://4sq.com/19X0Hg6","Pang Tong Palace ")</f>
        <v>Pang Tong Palace </v>
      </c>
      <c r="E1008" t="str">
        <f>IFERROR(__xludf.DUMMYFUNCTION("REGEXEXTRACT(FORMULATEXT(D1008),""center=([-0-9.]+,[-0-9.]+)"")"),"#N/A")</f>
        <v>#N/A</v>
      </c>
    </row>
    <row r="1009">
      <c r="A1009" s="1" t="s">
        <v>1008</v>
      </c>
      <c r="C1009" s="2" t="str">
        <f>HYPERLINK("http://4sq.com/eevXYw","PTT ปางมะผ้า ")</f>
        <v>PTT ปางมะผ้า </v>
      </c>
      <c r="E1009" t="str">
        <f>IFERROR(__xludf.DUMMYFUNCTION("REGEXEXTRACT(FORMULATEXT(D1009),""center=([-0-9.]+,[-0-9.]+)"")"),"#N/A")</f>
        <v>#N/A</v>
      </c>
    </row>
    <row r="1010">
      <c r="A1010" s="1" t="s">
        <v>1009</v>
      </c>
      <c r="C1010" s="2" t="str">
        <f>HYPERLINK("http://4sq.com/d7UfAw","จุดชมวิว ดอยกิ่วลม | Doi Kiew Lom ")</f>
        <v>จุดชมวิว ดอยกิ่วลม | Doi Kiew Lom </v>
      </c>
      <c r="E1010" t="str">
        <f>IFERROR(__xludf.DUMMYFUNCTION("REGEXEXTRACT(FORMULATEXT(D1010),""center=([-0-9.]+,[-0-9.]+)"")"),"#N/A")</f>
        <v>#N/A</v>
      </c>
    </row>
    <row r="1011">
      <c r="A1011" s="1" t="s">
        <v>1010</v>
      </c>
      <c r="C1011" s="2" t="str">
        <f>HYPERLINK("http://4sq.com/1nmYvJJ","661 Foods &amp; Crafts ")</f>
        <v>661 Foods &amp; Crafts </v>
      </c>
      <c r="E1011" t="str">
        <f>IFERROR(__xludf.DUMMYFUNCTION("REGEXEXTRACT(FORMULATEXT(D1011),""center=([-0-9.]+,[-0-9.]+)"")"),"#N/A")</f>
        <v>#N/A</v>
      </c>
    </row>
    <row r="1012">
      <c r="A1012" s="1" t="s">
        <v>1011</v>
      </c>
      <c r="C1012" s="2" t="str">
        <f>HYPERLINK("http://4sq.com/mNtm2L","32 Coffee Hill ")</f>
        <v>32 Coffee Hill </v>
      </c>
      <c r="E1012" t="str">
        <f>IFERROR(__xludf.DUMMYFUNCTION("REGEXEXTRACT(FORMULATEXT(D1012),""center=([-0-9.]+,[-0-9.]+)"")"),"#N/A")</f>
        <v>#N/A</v>
      </c>
    </row>
    <row r="1013">
      <c r="A1013" s="1" t="s">
        <v>1012</v>
      </c>
      <c r="C1013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013" t="str">
        <f>IFERROR(__xludf.DUMMYFUNCTION("REGEXEXTRACT(FORMULATEXT(D1013),""center=([-0-9.]+,[-0-9.]+)"")"),"#N/A")</f>
        <v>#N/A</v>
      </c>
    </row>
    <row r="1014">
      <c r="A1014" s="1" t="s">
        <v>1013</v>
      </c>
      <c r="C1014" s="2" t="str">
        <f>HYPERLINK("http://4sq.com/1bN4hLx","ไอดินกลิ่นครก (I Din Klin Krok) ")</f>
        <v>ไอดินกลิ่นครก (I Din Klin Krok) </v>
      </c>
      <c r="E1014" t="str">
        <f>IFERROR(__xludf.DUMMYFUNCTION("REGEXEXTRACT(FORMULATEXT(D1014),""center=([-0-9.]+,[-0-9.]+)"")"),"#N/A")</f>
        <v>#N/A</v>
      </c>
    </row>
    <row r="1015">
      <c r="A1015" s="1" t="s">
        <v>1014</v>
      </c>
      <c r="C1015" s="2" t="str">
        <f>HYPERLINK("http://4sq.com/dhkOHN","แป้นเกล็ด คอฟฟี่ | Pankled Coffee ")</f>
        <v>แป้นเกล็ด คอฟฟี่ | Pankled Coffee </v>
      </c>
      <c r="E1015" t="str">
        <f>IFERROR(__xludf.DUMMYFUNCTION("REGEXEXTRACT(FORMULATEXT(D1015),""center=([-0-9.]+,[-0-9.]+)"")"),"#N/A")</f>
        <v>#N/A</v>
      </c>
    </row>
    <row r="1016">
      <c r="A1016" s="1" t="s">
        <v>1015</v>
      </c>
      <c r="C1016" s="2" t="str">
        <f>HYPERLINK("http://4sq.com/1gv9au9","BeBe Spice ")</f>
        <v>BeBe Spice </v>
      </c>
      <c r="E1016" t="str">
        <f>IFERROR(__xludf.DUMMYFUNCTION("REGEXEXTRACT(FORMULATEXT(D1016),""center=([-0-9.]+,[-0-9.]+)"")"),"#N/A")</f>
        <v>#N/A</v>
      </c>
    </row>
    <row r="1017">
      <c r="A1017" s="1" t="s">
        <v>1016</v>
      </c>
      <c r="C1017" s="2" t="str">
        <f>HYPERLINK("http://4sq.com/XphqRU","Cafecito (คาเฟซิโต้) ")</f>
        <v>Cafecito (คาเฟซิโต้) </v>
      </c>
      <c r="E1017" t="str">
        <f>IFERROR(__xludf.DUMMYFUNCTION("REGEXEXTRACT(FORMULATEXT(D1017),""center=([-0-9.]+,[-0-9.]+)"")"),"#N/A")</f>
        <v>#N/A</v>
      </c>
    </row>
    <row r="1018">
      <c r="A1018" s="1" t="s">
        <v>1017</v>
      </c>
      <c r="C1018" s="2" t="str">
        <f>HYPERLINK("http://4sq.com/dveHi1","ขนมจีนนั่งยอง ")</f>
        <v>ขนมจีนนั่งยอง </v>
      </c>
      <c r="E1018" t="str">
        <f>IFERROR(__xludf.DUMMYFUNCTION("REGEXEXTRACT(FORMULATEXT(D1018),""center=([-0-9.]+,[-0-9.]+)"")"),"#N/A")</f>
        <v>#N/A</v>
      </c>
    </row>
    <row r="1019">
      <c r="A1019" s="1" t="s">
        <v>1018</v>
      </c>
      <c r="C1019" s="2" t="str">
        <f>HYPERLINK("http://4sq.com/XphqRU","Cafecito (คาเฟซิโต้) ")</f>
        <v>Cafecito (คาเฟซิโต้) </v>
      </c>
      <c r="E1019" t="str">
        <f>IFERROR(__xludf.DUMMYFUNCTION("REGEXEXTRACT(FORMULATEXT(D1019),""center=([-0-9.]+,[-0-9.]+)"")"),"#N/A")</f>
        <v>#N/A</v>
      </c>
    </row>
    <row r="1020">
      <c r="A1020" s="1" t="s">
        <v>1019</v>
      </c>
      <c r="C1020" s="2" t="str">
        <f>HYPERLINK("http://4sq.com/dW98v9","Puripai Villa (ภูริปายวิลล่า) ")</f>
        <v>Puripai Villa (ภูริปายวิลล่า) </v>
      </c>
      <c r="E1020" t="str">
        <f>IFERROR(__xludf.DUMMYFUNCTION("REGEXEXTRACT(FORMULATEXT(D1020),""center=([-0-9.]+,[-0-9.]+)"")"),"#N/A")</f>
        <v>#N/A</v>
      </c>
    </row>
    <row r="1021">
      <c r="A1021" s="1" t="s">
        <v>1020</v>
      </c>
      <c r="C1021" s="2" t="str">
        <f>HYPERLINK("http://4sq.com/13sYHzW","Village Farm ")</f>
        <v>Village Farm </v>
      </c>
      <c r="E1021" t="str">
        <f>IFERROR(__xludf.DUMMYFUNCTION("REGEXEXTRACT(FORMULATEXT(D1021),""center=([-0-9.]+,[-0-9.]+)"")"),"#N/A")</f>
        <v>#N/A</v>
      </c>
    </row>
    <row r="1022">
      <c r="A1022" s="1" t="s">
        <v>1021</v>
      </c>
      <c r="C1022" s="2" t="str">
        <f>HYPERLINK("http://4sq.com/du7RqO","Buffalo Bar ")</f>
        <v>Buffalo Bar </v>
      </c>
      <c r="E1022" t="str">
        <f>IFERROR(__xludf.DUMMYFUNCTION("REGEXEXTRACT(FORMULATEXT(D1022),""center=([-0-9.]+,[-0-9.]+)"")"),"#N/A")</f>
        <v>#N/A</v>
      </c>
    </row>
    <row r="1023">
      <c r="A1023" s="1" t="s">
        <v>1022</v>
      </c>
      <c r="C1023" s="2" t="str">
        <f>HYPERLINK("http://4sq.com/XphqRU","Cafecito (คาเฟซิโต้) ")</f>
        <v>Cafecito (คาเฟซิโต้) </v>
      </c>
      <c r="E1023" t="str">
        <f>IFERROR(__xludf.DUMMYFUNCTION("REGEXEXTRACT(FORMULATEXT(D1023),""center=([-0-9.]+,[-0-9.]+)"")"),"#N/A")</f>
        <v>#N/A</v>
      </c>
    </row>
    <row r="1024">
      <c r="A1024" s="1" t="s">
        <v>1023</v>
      </c>
      <c r="C1024" s="2" t="str">
        <f>HYPERLINK("http://4sq.com/vGaxwO","PT ")</f>
        <v>PT </v>
      </c>
      <c r="E1024" t="str">
        <f>IFERROR(__xludf.DUMMYFUNCTION("REGEXEXTRACT(FORMULATEXT(D1024),""center=([-0-9.]+,[-0-9.]+)"")"),"#N/A")</f>
        <v>#N/A</v>
      </c>
    </row>
    <row r="1025">
      <c r="A1025" s="1" t="s">
        <v>1024</v>
      </c>
      <c r="C1025" s="2" t="str">
        <f>HYPERLINK("http://4sq.com/NpFcbr","Piranha Park ")</f>
        <v>Piranha Park </v>
      </c>
      <c r="E1025" t="str">
        <f>IFERROR(__xludf.DUMMYFUNCTION("REGEXEXTRACT(FORMULATEXT(D1025),""center=([-0-9.]+,[-0-9.]+)"")"),"#N/A")</f>
        <v>#N/A</v>
      </c>
    </row>
    <row r="1026">
      <c r="A1026" s="1" t="s">
        <v>1025</v>
      </c>
      <c r="C1026" s="2" t="str">
        <f>HYPERLINK("http://4sq.com/cgZcrL","Edible Jazz Bar ")</f>
        <v>Edible Jazz Bar </v>
      </c>
      <c r="E1026" t="str">
        <f>IFERROR(__xludf.DUMMYFUNCTION("REGEXEXTRACT(FORMULATEXT(D1026),""center=([-0-9.]+,[-0-9.]+)"")"),"#N/A")</f>
        <v>#N/A</v>
      </c>
    </row>
    <row r="1027">
      <c r="A1027" s="1" t="s">
        <v>1026</v>
      </c>
      <c r="C1027" s="2" t="str">
        <f>HYPERLINK("http://4sq.com/uU597b","Baa Baa Black Cafe ")</f>
        <v>Baa Baa Black Cafe </v>
      </c>
      <c r="E1027" t="str">
        <f>IFERROR(__xludf.DUMMYFUNCTION("REGEXEXTRACT(FORMULATEXT(D1027),""center=([-0-9.]+,[-0-9.]+)"")"),"#N/A")</f>
        <v>#N/A</v>
      </c>
    </row>
    <row r="1028">
      <c r="A1028" s="1" t="s">
        <v>1027</v>
      </c>
      <c r="C1028" s="2" t="str">
        <f>HYPERLINK("http://4sq.com/10fk945","Elephant Poopoopaper Park ")</f>
        <v>Elephant Poopoopaper Park </v>
      </c>
      <c r="E1028" t="str">
        <f>IFERROR(__xludf.DUMMYFUNCTION("REGEXEXTRACT(FORMULATEXT(D1028),""center=([-0-9.]+,[-0-9.]+)"")"),"#N/A")</f>
        <v>#N/A</v>
      </c>
    </row>
    <row r="1029">
      <c r="A1029" s="1" t="s">
        <v>1028</v>
      </c>
      <c r="C1029" s="2" t="str">
        <f>HYPERLINK("http://4sq.com/amzSVo","ริมปิง (Rimping Supermarket) ")</f>
        <v>ริมปิง (Rimping Supermarket) </v>
      </c>
      <c r="E1029" t="str">
        <f>IFERROR(__xludf.DUMMYFUNCTION("REGEXEXTRACT(FORMULATEXT(D1029),""center=([-0-9.]+,[-0-9.]+)"")"),"#N/A")</f>
        <v>#N/A</v>
      </c>
    </row>
    <row r="1030">
      <c r="A1030" s="1" t="s">
        <v>1029</v>
      </c>
      <c r="C1030" s="2" t="str">
        <f>HYPERLINK("http://4sq.com/9dAeh7","Boat (โบ๊ต) ")</f>
        <v>Boat (โบ๊ต) </v>
      </c>
      <c r="E1030" t="str">
        <f>IFERROR(__xludf.DUMMYFUNCTION("REGEXEXTRACT(FORMULATEXT(D1030),""center=([-0-9.]+,[-0-9.]+)"")"),"#N/A")</f>
        <v>#N/A</v>
      </c>
    </row>
    <row r="1031">
      <c r="A1031" s="1" t="s">
        <v>1030</v>
      </c>
      <c r="C1031" s="2" t="str">
        <f>HYPERLINK("http://4sq.com/ak6Puz","อิ่มสุข (ImSook) ")</f>
        <v>อิ่มสุข (ImSook) </v>
      </c>
      <c r="E1031" t="str">
        <f>IFERROR(__xludf.DUMMYFUNCTION("REGEXEXTRACT(FORMULATEXT(D1031),""center=([-0-9.]+,[-0-9.]+)"")"),"#N/A")</f>
        <v>#N/A</v>
      </c>
    </row>
    <row r="1032">
      <c r="A1032" s="1" t="s">
        <v>1031</v>
      </c>
      <c r="C1032" s="2" t="str">
        <f>HYPERLINK("http://4sq.com/dI7wwO","iberry Garden (ไอเบอร์รี่ การ์เด้น) ")</f>
        <v>iberry Garden (ไอเบอร์รี่ การ์เด้น) </v>
      </c>
      <c r="E1032" t="str">
        <f>IFERROR(__xludf.DUMMYFUNCTION("REGEXEXTRACT(FORMULATEXT(D1032),""center=([-0-9.]+,[-0-9.]+)"")"),"#N/A")</f>
        <v>#N/A</v>
      </c>
    </row>
    <row r="1033">
      <c r="A1033" s="1" t="s">
        <v>1032</v>
      </c>
      <c r="C1033" s="2" t="str">
        <f>HYPERLINK("http://4sq.com/1DTJjwI","สำนักสงฆ์ขุนช่างเคี่ยน ")</f>
        <v>สำนักสงฆ์ขุนช่างเคี่ยน </v>
      </c>
      <c r="E1033" t="str">
        <f>IFERROR(__xludf.DUMMYFUNCTION("REGEXEXTRACT(FORMULATEXT(D1033),""center=([-0-9.]+,[-0-9.]+)"")"),"#N/A")</f>
        <v>#N/A</v>
      </c>
    </row>
    <row r="1034">
      <c r="A1034" s="1" t="s">
        <v>1033</v>
      </c>
      <c r="C1034" s="2" t="str">
        <f>HYPERLINK("http://4sq.com/co3YC5","โรงพยาบาลลานนา (Lanna Hospital) ")</f>
        <v>โรงพยาบาลลานนา (Lanna Hospital) </v>
      </c>
      <c r="E1034" t="str">
        <f>IFERROR(__xludf.DUMMYFUNCTION("REGEXEXTRACT(FORMULATEXT(D1034),""center=([-0-9.]+,[-0-9.]+)"")"),"#N/A")</f>
        <v>#N/A</v>
      </c>
    </row>
    <row r="1035">
      <c r="A1035" s="1" t="s">
        <v>1034</v>
      </c>
      <c r="C1035" s="2" t="str">
        <f>HYPERLINK("http://4sq.com/9QlUf2","Tesco Lotus (เทสโก้ โลตัส) ")</f>
        <v>Tesco Lotus (เทสโก้ โลตัส) </v>
      </c>
      <c r="E1035" t="str">
        <f>IFERROR(__xludf.DUMMYFUNCTION("REGEXEXTRACT(FORMULATEXT(D1035),""center=([-0-9.]+,[-0-9.]+)"")"),"#N/A")</f>
        <v>#N/A</v>
      </c>
    </row>
    <row r="1036">
      <c r="A1036" s="1" t="s">
        <v>1035</v>
      </c>
      <c r="C1036" s="2" t="str">
        <f>HYPERLINK("http://4sq.com/9bKJN3","มิ่งเมือง (Ming Muang) ")</f>
        <v>มิ่งเมือง (Ming Muang) </v>
      </c>
      <c r="E1036" t="str">
        <f>IFERROR(__xludf.DUMMYFUNCTION("REGEXEXTRACT(FORMULATEXT(D1036),""center=([-0-9.]+,[-0-9.]+)"")"),"#N/A")</f>
        <v>#N/A</v>
      </c>
    </row>
    <row r="1037">
      <c r="A1037" s="1" t="s">
        <v>1036</v>
      </c>
      <c r="C1037" s="2" t="str">
        <f>HYPERLINK("http://4sq.com/176SWpM","Coffee Villa (คอฟฟี่วิลล่า) ")</f>
        <v>Coffee Villa (คอฟฟี่วิลล่า) </v>
      </c>
      <c r="E1037" t="str">
        <f>IFERROR(__xludf.DUMMYFUNCTION("REGEXEXTRACT(FORMULATEXT(D1037),""center=([-0-9.]+,[-0-9.]+)"")"),"#N/A")</f>
        <v>#N/A</v>
      </c>
    </row>
    <row r="1038">
      <c r="A1038" s="1" t="s">
        <v>1037</v>
      </c>
      <c r="C1038" s="2" t="str">
        <f>HYPERLINK("http://4sq.com/UmGJIJ","Late'Garden ")</f>
        <v>Late'Garden </v>
      </c>
      <c r="E1038" t="str">
        <f>IFERROR(__xludf.DUMMYFUNCTION("REGEXEXTRACT(FORMULATEXT(D1038),""center=([-0-9.]+,[-0-9.]+)"")"),"#N/A")</f>
        <v>#N/A</v>
      </c>
    </row>
    <row r="1039">
      <c r="A1039" s="1" t="s">
        <v>1038</v>
      </c>
      <c r="C1039" s="2" t="str">
        <f>HYPERLINK("http://4sq.com/1gjcHQu","David's Kitchen at 909 (DK at 909) ")</f>
        <v>David's Kitchen at 909 (DK at 909) </v>
      </c>
      <c r="E1039" t="str">
        <f>IFERROR(__xludf.DUMMYFUNCTION("REGEXEXTRACT(FORMULATEXT(D1039),""center=([-0-9.]+,[-0-9.]+)"")"),"#N/A")</f>
        <v>#N/A</v>
      </c>
    </row>
    <row r="1040">
      <c r="A1040" s="1" t="s">
        <v>1039</v>
      </c>
      <c r="C1040" s="2" t="str">
        <f>HYPERLINK("http://4sq.com/rZWFpJ","ข้าวเม่าข้าวฟ่าง (Khaomao-Khaofang) ")</f>
        <v>ข้าวเม่าข้าวฟ่าง (Khaomao-Khaofang) </v>
      </c>
      <c r="E1040" t="str">
        <f>IFERROR(__xludf.DUMMYFUNCTION("REGEXEXTRACT(FORMULATEXT(D1040),""center=([-0-9.]+,[-0-9.]+)"")"),"#N/A")</f>
        <v>#N/A</v>
      </c>
    </row>
    <row r="1041">
      <c r="A1041" s="1" t="s">
        <v>1040</v>
      </c>
      <c r="C1041" s="2" t="str">
        <f>HYPERLINK("http://4sq.com/a6bcUk","Smoothie Blues ")</f>
        <v>Smoothie Blues </v>
      </c>
      <c r="E1041" t="str">
        <f>IFERROR(__xludf.DUMMYFUNCTION("REGEXEXTRACT(FORMULATEXT(D1041),""center=([-0-9.]+,[-0-9.]+)"")"),"#N/A")</f>
        <v>#N/A</v>
      </c>
    </row>
    <row r="1042">
      <c r="A1042" s="1" t="s">
        <v>1041</v>
      </c>
      <c r="C1042" s="2" t="str">
        <f>HYPERLINK("http://4sq.com/dWKox6","กสิกรไทย สาขาแม่ริม ")</f>
        <v>กสิกรไทย สาขาแม่ริม </v>
      </c>
      <c r="E1042" t="str">
        <f>IFERROR(__xludf.DUMMYFUNCTION("REGEXEXTRACT(FORMULATEXT(D1042),""center=([-0-9.]+,[-0-9.]+)"")"),"#N/A")</f>
        <v>#N/A</v>
      </c>
    </row>
    <row r="1043">
      <c r="A1043" s="1" t="s">
        <v>1042</v>
      </c>
      <c r="C1043" s="2" t="str">
        <f>HYPERLINK("http://4sq.com/f3823M","ร้านอาหารกาแล (Kalae Restaurant) ")</f>
        <v>ร้านอาหารกาแล (Kalae Restaurant) </v>
      </c>
      <c r="E1043" t="str">
        <f>IFERROR(__xludf.DUMMYFUNCTION("REGEXEXTRACT(FORMULATEXT(D1043),""center=([-0-9.]+,[-0-9.]+)"")"),"#N/A")</f>
        <v>#N/A</v>
      </c>
    </row>
    <row r="1044">
      <c r="A1044" s="1" t="s">
        <v>1043</v>
      </c>
      <c r="C1044" s="2" t="str">
        <f>HYPERLINK("http://4sq.com/fd4OwR","ปางช้างแม่สา (Maesa Elephant Camp) ")</f>
        <v>ปางช้างแม่สา (Maesa Elephant Camp) </v>
      </c>
      <c r="E1044" t="str">
        <f>IFERROR(__xludf.DUMMYFUNCTION("REGEXEXTRACT(FORMULATEXT(D1044),""center=([-0-9.]+,[-0-9.]+)"")"),"#N/A")</f>
        <v>#N/A</v>
      </c>
    </row>
    <row r="1045">
      <c r="A1045" s="1" t="s">
        <v>1044</v>
      </c>
      <c r="C1045" s="2" t="str">
        <f>HYPERLINK("http://4sq.com/hE3HXR","LPN Saphan-kwai ")</f>
        <v>LPN Saphan-kwai </v>
      </c>
      <c r="E1045" t="str">
        <f>IFERROR(__xludf.DUMMYFUNCTION("REGEXEXTRACT(FORMULATEXT(D1045),""center=([-0-9.]+,[-0-9.]+)"")"),"#N/A")</f>
        <v>#N/A</v>
      </c>
    </row>
    <row r="1046">
      <c r="A1046" s="1" t="s">
        <v>1045</v>
      </c>
      <c r="C1046" s="2" t="str">
        <f>HYPERLINK("http://4sq.com/1BXsuw4","PaperButter &amp; The Burger ")</f>
        <v>PaperButter &amp; The Burger </v>
      </c>
      <c r="E1046" t="str">
        <f>IFERROR(__xludf.DUMMYFUNCTION("REGEXEXTRACT(FORMULATEXT(D1046),""center=([-0-9.]+,[-0-9.]+)"")"),"#N/A")</f>
        <v>#N/A</v>
      </c>
    </row>
    <row r="1047">
      <c r="A1047" s="1" t="s">
        <v>1046</v>
      </c>
      <c r="C1047" s="2" t="str">
        <f>HYPERLINK("http://4sq.com/9PKyFR","Q.House Ploenchit (คิวเฮ้าส์ เพลินจิต) ")</f>
        <v>Q.House Ploenchit (คิวเฮ้าส์ เพลินจิต) </v>
      </c>
      <c r="E1047" t="str">
        <f>IFERROR(__xludf.DUMMYFUNCTION("REGEXEXTRACT(FORMULATEXT(D1047),""center=([-0-9.]+,[-0-9.]+)"")"),"#N/A")</f>
        <v>#N/A</v>
      </c>
    </row>
    <row r="1048">
      <c r="A1048" s="1" t="s">
        <v>1047</v>
      </c>
      <c r="C1048" s="2" t="str">
        <f>HYPERLINK("http://4sq.com/c6PtsB","Fortune Tower ")</f>
        <v>Fortune Tower </v>
      </c>
      <c r="E1048" t="str">
        <f>IFERROR(__xludf.DUMMYFUNCTION("REGEXEXTRACT(FORMULATEXT(D1048),""center=([-0-9.]+,[-0-9.]+)"")"),"#N/A")</f>
        <v>#N/A</v>
      </c>
    </row>
    <row r="1049">
      <c r="A1049" s="1" t="s">
        <v>1048</v>
      </c>
      <c r="C1049" s="2" t="str">
        <f>HYPERLINK("http://4sq.com/nwCOdy","The Attitude ")</f>
        <v>The Attitude </v>
      </c>
      <c r="E1049" t="str">
        <f>IFERROR(__xludf.DUMMYFUNCTION("REGEXEXTRACT(FORMULATEXT(D1049),""center=([-0-9.]+,[-0-9.]+)"")"),"#N/A")</f>
        <v>#N/A</v>
      </c>
    </row>
    <row r="1050">
      <c r="A1050" s="1" t="s">
        <v>1049</v>
      </c>
      <c r="C1050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050" t="str">
        <f>IFERROR(__xludf.DUMMYFUNCTION("REGEXEXTRACT(FORMULATEXT(D1050),""center=([-0-9.]+,[-0-9.]+)"")"),"#N/A")</f>
        <v>#N/A</v>
      </c>
    </row>
    <row r="1051">
      <c r="A1051" s="1" t="s">
        <v>1050</v>
      </c>
      <c r="B1051" s="1" t="s">
        <v>1051</v>
      </c>
      <c r="C1051" s="2" t="str">
        <f>HYPERLINK("http://4sq.com/drvWKR","The First Church of Chiang Mai โบสถ์คริสตจักรที่ 1 เชียงใหม่ ")</f>
        <v>The First Church of Chiang Mai โบสถ์คริสตจักรที่ 1 เชียงใหม่ </v>
      </c>
      <c r="E1051" t="str">
        <f>IFERROR(__xludf.DUMMYFUNCTION("REGEXEXTRACT(FORMULATEXT(D1051),""center=([-0-9.]+,[-0-9.]+)"")"),"#N/A")</f>
        <v>#N/A</v>
      </c>
    </row>
    <row r="1052">
      <c r="A1052" s="1" t="s">
        <v>1052</v>
      </c>
      <c r="C1052" s="2" t="str">
        <f>HYPERLINK("http://4sq.com/aCUYYO","The Duke's (เดอะดุ๊ก) ")</f>
        <v>The Duke's (เดอะดุ๊ก) </v>
      </c>
      <c r="E1052" t="str">
        <f>IFERROR(__xludf.DUMMYFUNCTION("REGEXEXTRACT(FORMULATEXT(D1052),""center=([-0-9.]+,[-0-9.]+)"")"),"#N/A")</f>
        <v>#N/A</v>
      </c>
    </row>
    <row r="1053">
      <c r="A1053" s="1" t="s">
        <v>1053</v>
      </c>
      <c r="C1053" s="2" t="str">
        <f>HYPERLINK("http://4sq.com/dvqkdw","Mad Dog Pizza ")</f>
        <v>Mad Dog Pizza </v>
      </c>
      <c r="E1053" t="str">
        <f>IFERROR(__xludf.DUMMYFUNCTION("REGEXEXTRACT(FORMULATEXT(D1053),""center=([-0-9.]+,[-0-9.]+)"")"),"#N/A")</f>
        <v>#N/A</v>
      </c>
    </row>
    <row r="1054">
      <c r="A1054" s="1" t="s">
        <v>1054</v>
      </c>
      <c r="C1054" s="2" t="str">
        <f>HYPERLINK("http://4sq.com/njlKQf","ไร่แม่เหียะ ")</f>
        <v>ไร่แม่เหียะ </v>
      </c>
      <c r="E1054" t="str">
        <f>IFERROR(__xludf.DUMMYFUNCTION("REGEXEXTRACT(FORMULATEXT(D1054),""center=([-0-9.]+,[-0-9.]+)"")"),"#N/A")</f>
        <v>#N/A</v>
      </c>
    </row>
    <row r="1055">
      <c r="A1055" s="1" t="s">
        <v>1055</v>
      </c>
      <c r="C1055" s="2" t="str">
        <f>HYPERLINK("http://4sq.com/hWGsEe","Kelly's Bistro ")</f>
        <v>Kelly's Bistro </v>
      </c>
      <c r="E1055" t="str">
        <f>IFERROR(__xludf.DUMMYFUNCTION("REGEXEXTRACT(FORMULATEXT(D1055),""center=([-0-9.]+,[-0-9.]+)"")"),"#N/A")</f>
        <v>#N/A</v>
      </c>
    </row>
    <row r="1056">
      <c r="A1056" s="1" t="s">
        <v>1056</v>
      </c>
      <c r="C1056" s="2" t="str">
        <f>HYPERLINK("http://4sq.com/VuG5rl","Steak Of The Day ")</f>
        <v>Steak Of The Day </v>
      </c>
      <c r="E1056" t="str">
        <f>IFERROR(__xludf.DUMMYFUNCTION("REGEXEXTRACT(FORMULATEXT(D1056),""center=([-0-9.]+,[-0-9.]+)"")"),"#N/A")</f>
        <v>#N/A</v>
      </c>
    </row>
    <row r="1057">
      <c r="A1057" s="1" t="s">
        <v>1057</v>
      </c>
      <c r="C1057" s="2" t="str">
        <f>HYPERLINK("http://4sq.com/uU597b","Baa Baa Black Cafe ")</f>
        <v>Baa Baa Black Cafe </v>
      </c>
      <c r="E1057" t="str">
        <f>IFERROR(__xludf.DUMMYFUNCTION("REGEXEXTRACT(FORMULATEXT(D1057),""center=([-0-9.]+,[-0-9.]+)"")"),"#N/A")</f>
        <v>#N/A</v>
      </c>
    </row>
    <row r="1058">
      <c r="A1058" s="1" t="s">
        <v>1058</v>
      </c>
      <c r="C1058" s="2" t="str">
        <f t="shared" ref="C1058:C1059" si="31">HYPERLINK("http://4sq.com/VuG5rl","Steak Of The Day ")</f>
        <v>Steak Of The Day </v>
      </c>
      <c r="E1058" t="str">
        <f>IFERROR(__xludf.DUMMYFUNCTION("REGEXEXTRACT(FORMULATEXT(D1058),""center=([-0-9.]+,[-0-9.]+)"")"),"#N/A")</f>
        <v>#N/A</v>
      </c>
    </row>
    <row r="1059">
      <c r="A1059" s="1" t="s">
        <v>1059</v>
      </c>
      <c r="C1059" s="2" t="str">
        <f t="shared" si="31"/>
        <v>Steak Of The Day </v>
      </c>
      <c r="E1059" t="str">
        <f>IFERROR(__xludf.DUMMYFUNCTION("REGEXEXTRACT(FORMULATEXT(D1059),""center=([-0-9.]+,[-0-9.]+)"")"),"#N/A")</f>
        <v>#N/A</v>
      </c>
    </row>
    <row r="1060">
      <c r="A1060" s="1" t="s">
        <v>1060</v>
      </c>
      <c r="C1060" s="2" t="str">
        <f>HYPERLINK("http://4sq.com/IFAMLM","Kireethara Wine Bar &amp; Restaurant ")</f>
        <v>Kireethara Wine Bar &amp; Restaurant </v>
      </c>
      <c r="E1060" t="str">
        <f>IFERROR(__xludf.DUMMYFUNCTION("REGEXEXTRACT(FORMULATEXT(D1060),""center=([-0-9.]+,[-0-9.]+)"")"),"#N/A")</f>
        <v>#N/A</v>
      </c>
    </row>
    <row r="1061">
      <c r="A1061" s="1" t="s">
        <v>1061</v>
      </c>
      <c r="C106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061" t="str">
        <f>IFERROR(__xludf.DUMMYFUNCTION("REGEXEXTRACT(FORMULATEXT(D1061),""center=([-0-9.]+,[-0-9.]+)"")"),"#N/A")</f>
        <v>#N/A</v>
      </c>
    </row>
    <row r="1062">
      <c r="A1062" s="1" t="s">
        <v>1062</v>
      </c>
      <c r="C1062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062" t="str">
        <f>IFERROR(__xludf.DUMMYFUNCTION("REGEXEXTRACT(FORMULATEXT(D1062),""center=([-0-9.]+,[-0-9.]+)"")"),"#N/A")</f>
        <v>#N/A</v>
      </c>
    </row>
    <row r="1063">
      <c r="A1063" s="1" t="s">
        <v>1063</v>
      </c>
      <c r="C1063" s="2" t="str">
        <f>HYPERLINK("http://4sq.com/aAoZyf","กองบังคับการตรวจคนเข้าเมือง 1 (Immigration Division 1) ")</f>
        <v>กองบังคับการตรวจคนเข้าเมือง 1 (Immigration Division 1) </v>
      </c>
      <c r="E1063" t="str">
        <f>IFERROR(__xludf.DUMMYFUNCTION("REGEXEXTRACT(FORMULATEXT(D1063),""center=([-0-9.]+,[-0-9.]+)"")"),"#N/A")</f>
        <v>#N/A</v>
      </c>
    </row>
    <row r="1064">
      <c r="A1064" s="1" t="s">
        <v>1064</v>
      </c>
      <c r="C1064" s="2" t="str">
        <f>HYPERLINK("http://4sq.com/dHtrBN","ร้านส้มตำนครนายก@โครงการเคหะชุมชนหลักสี่ ")</f>
        <v>ร้านส้มตำนครนายก@โครงการเคหะชุมชนหลักสี่ </v>
      </c>
      <c r="E1064" t="str">
        <f>IFERROR(__xludf.DUMMYFUNCTION("REGEXEXTRACT(FORMULATEXT(D1064),""center=([-0-9.]+,[-0-9.]+)"")"),"#N/A")</f>
        <v>#N/A</v>
      </c>
    </row>
    <row r="1065">
      <c r="A1065" s="1" t="s">
        <v>1065</v>
      </c>
      <c r="C1065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065" t="str">
        <f>IFERROR(__xludf.DUMMYFUNCTION("REGEXEXTRACT(FORMULATEXT(D1065),""center=([-0-9.]+,[-0-9.]+)"")"),"#N/A")</f>
        <v>#N/A</v>
      </c>
    </row>
    <row r="1066">
      <c r="A1066" s="1" t="s">
        <v>1066</v>
      </c>
      <c r="C1066" s="2" t="str">
        <f>HYPERLINK("http://4sq.com/rq8arS","ไฮโซล้านนาㅣHiso Lanna ")</f>
        <v>ไฮโซล้านนาㅣHiso Lanna </v>
      </c>
      <c r="E1066" t="str">
        <f>IFERROR(__xludf.DUMMYFUNCTION("REGEXEXTRACT(FORMULATEXT(D1066),""center=([-0-9.]+,[-0-9.]+)"")"),"#N/A")</f>
        <v>#N/A</v>
      </c>
    </row>
    <row r="1067">
      <c r="A1067" s="1" t="s">
        <v>1067</v>
      </c>
      <c r="C1067" s="2" t="str">
        <f>HYPERLINK("http://4sq.com/I28LVE","Café de Oasis (คาเฟ่ เดอ โอเอซิส) ")</f>
        <v>Café de Oasis (คาเฟ่ เดอ โอเอซิส) </v>
      </c>
      <c r="E1067" t="str">
        <f>IFERROR(__xludf.DUMMYFUNCTION("REGEXEXTRACT(FORMULATEXT(D1067),""center=([-0-9.]+,[-0-9.]+)"")"),"#N/A")</f>
        <v>#N/A</v>
      </c>
    </row>
    <row r="1068">
      <c r="A1068" s="1" t="s">
        <v>1068</v>
      </c>
      <c r="C1068" s="2" t="str">
        <f>HYPERLINK("http://4sq.com/a6bcUk","Smoothie Blues ")</f>
        <v>Smoothie Blues </v>
      </c>
      <c r="E1068" t="str">
        <f>IFERROR(__xludf.DUMMYFUNCTION("REGEXEXTRACT(FORMULATEXT(D1068),""center=([-0-9.]+,[-0-9.]+)"")"),"#N/A")</f>
        <v>#N/A</v>
      </c>
    </row>
    <row r="1069">
      <c r="A1069" s="1" t="s">
        <v>1069</v>
      </c>
      <c r="C1069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069" t="str">
        <f>IFERROR(__xludf.DUMMYFUNCTION("REGEXEXTRACT(FORMULATEXT(D1069),""center=([-0-9.]+,[-0-9.]+)"")"),"#N/A")</f>
        <v>#N/A</v>
      </c>
    </row>
    <row r="1070">
      <c r="A1070" s="1" t="s">
        <v>1070</v>
      </c>
      <c r="C1070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070" t="str">
        <f>IFERROR(__xludf.DUMMYFUNCTION("REGEXEXTRACT(FORMULATEXT(D1070),""center=([-0-9.]+,[-0-9.]+)"")"),"#N/A")</f>
        <v>#N/A</v>
      </c>
    </row>
    <row r="1071">
      <c r="A1071" s="1" t="s">
        <v>1071</v>
      </c>
      <c r="C1071" s="2" t="str">
        <f>HYPERLINK("http://4sq.com/1bLmZrO","Superbdog Soi 53 ")</f>
        <v>Superbdog Soi 53 </v>
      </c>
      <c r="E1071" t="str">
        <f>IFERROR(__xludf.DUMMYFUNCTION("REGEXEXTRACT(FORMULATEXT(D1071),""center=([-0-9.]+,[-0-9.]+)"")"),"#N/A")</f>
        <v>#N/A</v>
      </c>
    </row>
    <row r="1072">
      <c r="A1072" s="1" t="s">
        <v>1072</v>
      </c>
      <c r="C1072" s="2" t="str">
        <f>HYPERLINK("http://4sq.com/1oYzaWH","Fish &amp; Ship ")</f>
        <v>Fish &amp; Ship </v>
      </c>
      <c r="E1072" t="str">
        <f>IFERROR(__xludf.DUMMYFUNCTION("REGEXEXTRACT(FORMULATEXT(D1072),""center=([-0-9.]+,[-0-9.]+)"")"),"#N/A")</f>
        <v>#N/A</v>
      </c>
    </row>
    <row r="1073">
      <c r="A1073" s="1" t="s">
        <v>1073</v>
      </c>
      <c r="C1073" s="2" t="str">
        <f>HYPERLINK("http://4sq.com/rQfz4L","Starbucks (สตาร์บัคส์) ")</f>
        <v>Starbucks (สตาร์บัคส์) </v>
      </c>
      <c r="E1073" t="str">
        <f>IFERROR(__xludf.DUMMYFUNCTION("REGEXEXTRACT(FORMULATEXT(D1073),""center=([-0-9.]+,[-0-9.]+)"")"),"#N/A")</f>
        <v>#N/A</v>
      </c>
    </row>
    <row r="1074">
      <c r="A1074" s="1" t="s">
        <v>1074</v>
      </c>
      <c r="C107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074" t="str">
        <f>IFERROR(__xludf.DUMMYFUNCTION("REGEXEXTRACT(FORMULATEXT(D1074),""center=([-0-9.]+,[-0-9.]+)"")"),"#N/A")</f>
        <v>#N/A</v>
      </c>
    </row>
    <row r="1075">
      <c r="A1075" s="1" t="s">
        <v>1075</v>
      </c>
      <c r="C1075" s="2" t="str">
        <f>HYPERLINK("http://4sq.com/1loF650","Catmosphere Cat Café ")</f>
        <v>Catmosphere Cat Café </v>
      </c>
      <c r="E1075" t="str">
        <f>IFERROR(__xludf.DUMMYFUNCTION("REGEXEXTRACT(FORMULATEXT(D1075),""center=([-0-9.]+,[-0-9.]+)"")"),"#N/A")</f>
        <v>#N/A</v>
      </c>
    </row>
    <row r="1076">
      <c r="A1076" s="1" t="s">
        <v>1076</v>
      </c>
      <c r="C1076" s="2" t="str">
        <f>HYPERLINK("http://4sq.com/1g8wZw0","สวนโอขิ สวนองุ่น ")</f>
        <v>สวนโอขิ สวนองุ่น </v>
      </c>
      <c r="E1076" t="str">
        <f>IFERROR(__xludf.DUMMYFUNCTION("REGEXEXTRACT(FORMULATEXT(D1076),""center=([-0-9.]+,[-0-9.]+)"")"),"#N/A")</f>
        <v>#N/A</v>
      </c>
    </row>
    <row r="1077">
      <c r="A1077" s="1" t="s">
        <v>1077</v>
      </c>
      <c r="C1077" s="2" t="str">
        <f>HYPERLINK("http://4sq.com/shlEMR","Terraces ")</f>
        <v>Terraces </v>
      </c>
      <c r="E1077" t="str">
        <f>IFERROR(__xludf.DUMMYFUNCTION("REGEXEXTRACT(FORMULATEXT(D1077),""center=([-0-9.]+,[-0-9.]+)"")"),"#N/A")</f>
        <v>#N/A</v>
      </c>
    </row>
    <row r="1078">
      <c r="A1078" s="1" t="s">
        <v>1078</v>
      </c>
      <c r="C1078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1078" t="str">
        <f>IFERROR(__xludf.DUMMYFUNCTION("REGEXEXTRACT(FORMULATEXT(D1078),""center=([-0-9.]+,[-0-9.]+)"")"),"#N/A")</f>
        <v>#N/A</v>
      </c>
    </row>
    <row r="1079">
      <c r="A1079" s="1" t="s">
        <v>1079</v>
      </c>
      <c r="C1079" s="2" t="str">
        <f>HYPERLINK("http://4sq.com/1llaXZg","Rock Me Burger &amp; Bar ")</f>
        <v>Rock Me Burger &amp; Bar </v>
      </c>
      <c r="E1079" t="str">
        <f>IFERROR(__xludf.DUMMYFUNCTION("REGEXEXTRACT(FORMULATEXT(D1079),""center=([-0-9.]+,[-0-9.]+)"")"),"#N/A")</f>
        <v>#N/A</v>
      </c>
    </row>
    <row r="1080">
      <c r="A1080" s="1" t="s">
        <v>1080</v>
      </c>
      <c r="C1080" s="2" t="str">
        <f>HYPERLINK("http://4sq.com/shlEMR","Terraces ")</f>
        <v>Terraces </v>
      </c>
      <c r="E1080" t="str">
        <f>IFERROR(__xludf.DUMMYFUNCTION("REGEXEXTRACT(FORMULATEXT(D1080),""center=([-0-9.]+,[-0-9.]+)"")"),"#N/A")</f>
        <v>#N/A</v>
      </c>
    </row>
    <row r="1081">
      <c r="A1081" s="1" t="s">
        <v>1081</v>
      </c>
      <c r="C1081" s="2" t="str">
        <f>HYPERLINK("http://4sq.com/1nqEUD6","Subway ")</f>
        <v>Subway </v>
      </c>
      <c r="E1081" t="str">
        <f>IFERROR(__xludf.DUMMYFUNCTION("REGEXEXTRACT(FORMULATEXT(D1081),""center=([-0-9.]+,[-0-9.]+)"")"),"#N/A")</f>
        <v>#N/A</v>
      </c>
    </row>
    <row r="1082">
      <c r="A1082" s="1" t="s">
        <v>1082</v>
      </c>
      <c r="C1082" s="2" t="str">
        <f>HYPERLINK("http://4sq.com/1GjmLUZ","Pizza Pasta by Simon ")</f>
        <v>Pizza Pasta by Simon </v>
      </c>
      <c r="E1082" t="str">
        <f>IFERROR(__xludf.DUMMYFUNCTION("REGEXEXTRACT(FORMULATEXT(D1082),""center=([-0-9.]+,[-0-9.]+)"")"),"#N/A")</f>
        <v>#N/A</v>
      </c>
    </row>
    <row r="1083">
      <c r="A1083" s="1" t="s">
        <v>1083</v>
      </c>
      <c r="C1083" s="2" t="str">
        <f>HYPERLINK("http://4sq.com/ZMwMsU","Betta House ")</f>
        <v>Betta House </v>
      </c>
      <c r="E1083" t="str">
        <f>IFERROR(__xludf.DUMMYFUNCTION("REGEXEXTRACT(FORMULATEXT(D1083),""center=([-0-9.]+,[-0-9.]+)"")"),"#N/A")</f>
        <v>#N/A</v>
      </c>
    </row>
    <row r="1084">
      <c r="A1084" s="1" t="s">
        <v>1084</v>
      </c>
      <c r="C1084" s="2" t="str">
        <f>HYPERLINK("http://4sq.com/ifmErl","ปตท. (PTT) ")</f>
        <v>ปตท. (PTT) </v>
      </c>
      <c r="E1084" t="str">
        <f>IFERROR(__xludf.DUMMYFUNCTION("REGEXEXTRACT(FORMULATEXT(D1084),""center=([-0-9.]+,[-0-9.]+)"")"),"#N/A")</f>
        <v>#N/A</v>
      </c>
    </row>
    <row r="1085">
      <c r="A1085" s="1" t="s">
        <v>1085</v>
      </c>
      <c r="C1085" s="2" t="str">
        <f>HYPERLINK("http://4sq.com/1GjmLUZ","Pizza Pasta by Simon ")</f>
        <v>Pizza Pasta by Simon </v>
      </c>
      <c r="E1085" t="str">
        <f>IFERROR(__xludf.DUMMYFUNCTION("REGEXEXTRACT(FORMULATEXT(D1085),""center=([-0-9.]+,[-0-9.]+)"")"),"#N/A")</f>
        <v>#N/A</v>
      </c>
    </row>
    <row r="1086">
      <c r="A1086" s="1" t="s">
        <v>1086</v>
      </c>
      <c r="C1086" s="2" t="str">
        <f>HYPERLINK("http://4sq.com/1CEqIhb","Big Daddy's Diner ")</f>
        <v>Big Daddy's Diner </v>
      </c>
      <c r="E1086" t="str">
        <f>IFERROR(__xludf.DUMMYFUNCTION("REGEXEXTRACT(FORMULATEXT(D1086),""center=([-0-9.]+,[-0-9.]+)"")"),"#N/A")</f>
        <v>#N/A</v>
      </c>
    </row>
    <row r="1087">
      <c r="A1087" s="1" t="s">
        <v>1087</v>
      </c>
      <c r="C1087" s="2" t="str">
        <f>HYPERLINK("http://4sq.com/12sdq5n","Kachangthong ")</f>
        <v>Kachangthong </v>
      </c>
      <c r="E1087" t="str">
        <f>IFERROR(__xludf.DUMMYFUNCTION("REGEXEXTRACT(FORMULATEXT(D1087),""center=([-0-9.]+,[-0-9.]+)"")"),"#N/A")</f>
        <v>#N/A</v>
      </c>
    </row>
    <row r="1088">
      <c r="A1088" s="1" t="s">
        <v>1088</v>
      </c>
      <c r="C1088" s="2" t="str">
        <f>HYPERLINK("http://4sq.com/af5qUU","กระชังทอง (Krachang Tong) ")</f>
        <v>กระชังทอง (Krachang Tong) </v>
      </c>
      <c r="E1088" t="str">
        <f>IFERROR(__xludf.DUMMYFUNCTION("REGEXEXTRACT(FORMULATEXT(D1088),""center=([-0-9.]+,[-0-9.]+)"")"),"#N/A")</f>
        <v>#N/A</v>
      </c>
    </row>
    <row r="1089">
      <c r="A1089" s="1" t="s">
        <v>1089</v>
      </c>
      <c r="C1089" s="2" t="str">
        <f>HYPERLINK("http://4sq.com/1GjmLUZ","Pizza Pasta by Simon ")</f>
        <v>Pizza Pasta by Simon </v>
      </c>
      <c r="E1089" t="str">
        <f>IFERROR(__xludf.DUMMYFUNCTION("REGEXEXTRACT(FORMULATEXT(D1089),""center=([-0-9.]+,[-0-9.]+)"")"),"#N/A")</f>
        <v>#N/A</v>
      </c>
    </row>
    <row r="1090">
      <c r="A1090" s="1" t="s">
        <v>1090</v>
      </c>
      <c r="C1090" s="2" t="str">
        <f>HYPERLINK("http://4sq.com/p8J1iG","ไปรษณีย์แม่ริม ")</f>
        <v>ไปรษณีย์แม่ริม </v>
      </c>
      <c r="E1090" t="str">
        <f>IFERROR(__xludf.DUMMYFUNCTION("REGEXEXTRACT(FORMULATEXT(D1090),""center=([-0-9.]+,[-0-9.]+)"")"),"#N/A")</f>
        <v>#N/A</v>
      </c>
    </row>
    <row r="1091">
      <c r="A1091" s="1" t="s">
        <v>1091</v>
      </c>
      <c r="C1091" s="2" t="str">
        <f>HYPERLINK("http://4sq.com/1CEqIhb","Big Daddy's Diner ")</f>
        <v>Big Daddy's Diner </v>
      </c>
      <c r="E1091" t="str">
        <f>IFERROR(__xludf.DUMMYFUNCTION("REGEXEXTRACT(FORMULATEXT(D1091),""center=([-0-9.]+,[-0-9.]+)"")"),"#N/A")</f>
        <v>#N/A</v>
      </c>
    </row>
    <row r="1092">
      <c r="A1092" s="1" t="s">
        <v>1092</v>
      </c>
      <c r="C1092" s="2" t="str">
        <f>HYPERLINK("http://4sq.com/VuG5rl","Steak Of The Day ")</f>
        <v>Steak Of The Day </v>
      </c>
      <c r="E1092" t="str">
        <f>IFERROR(__xludf.DUMMYFUNCTION("REGEXEXTRACT(FORMULATEXT(D1092),""center=([-0-9.]+,[-0-9.]+)"")"),"#N/A")</f>
        <v>#N/A</v>
      </c>
    </row>
    <row r="1093">
      <c r="A1093" s="1" t="s">
        <v>1093</v>
      </c>
      <c r="C1093" s="2" t="str">
        <f>HYPERLINK("http://4sq.com/cJ3qyP","HomePro (โฮมโปร) ")</f>
        <v>HomePro (โฮมโปร) </v>
      </c>
      <c r="E1093" t="str">
        <f>IFERROR(__xludf.DUMMYFUNCTION("REGEXEXTRACT(FORMULATEXT(D1093),""center=([-0-9.]+,[-0-9.]+)"")"),"#N/A")</f>
        <v>#N/A</v>
      </c>
    </row>
    <row r="1094">
      <c r="A1094" s="1" t="s">
        <v>1094</v>
      </c>
      <c r="B1094" s="1" t="s">
        <v>1095</v>
      </c>
      <c r="C1094" s="2" t="str">
        <f>HYPERLINK("http://4sq.com/1CEqIhb","Big Daddy's Diner ")</f>
        <v>Big Daddy's Diner </v>
      </c>
      <c r="E1094" t="str">
        <f>IFERROR(__xludf.DUMMYFUNCTION("REGEXEXTRACT(FORMULATEXT(D1094),""center=([-0-9.]+,[-0-9.]+)"")"),"#N/A")</f>
        <v>#N/A</v>
      </c>
    </row>
    <row r="1095">
      <c r="A1095" s="1" t="s">
        <v>1096</v>
      </c>
      <c r="C1095" s="2" t="str">
        <f>HYPERLINK("http://4sq.com/kfr0mh","ศูนย์การเรียนรู้เศรษฐกิจพอเพียง ")</f>
        <v>ศูนย์การเรียนรู้เศรษฐกิจพอเพียง </v>
      </c>
      <c r="E1095" t="str">
        <f>IFERROR(__xludf.DUMMYFUNCTION("REGEXEXTRACT(FORMULATEXT(D1095),""center=([-0-9.]+,[-0-9.]+)"")"),"#N/A")</f>
        <v>#N/A</v>
      </c>
    </row>
    <row r="1096">
      <c r="A1096" s="1" t="s">
        <v>1097</v>
      </c>
      <c r="C1096" s="2" t="str">
        <f>HYPERLINK("http://4sq.com/uU597b","Baa Baa Black Cafe ")</f>
        <v>Baa Baa Black Cafe </v>
      </c>
      <c r="E1096" t="str">
        <f>IFERROR(__xludf.DUMMYFUNCTION("REGEXEXTRACT(FORMULATEXT(D1096),""center=([-0-9.]+,[-0-9.]+)"")"),"#N/A")</f>
        <v>#N/A</v>
      </c>
    </row>
    <row r="1097">
      <c r="A1097" s="1" t="s">
        <v>1098</v>
      </c>
      <c r="C1097" s="2" t="str">
        <f>HYPERLINK("http://4sq.com/1bD7gWe","โรงพยาบาลกรุงเทพเชียงใหม่ (Bangkok Hospital Chiang Mai) ")</f>
        <v>โรงพยาบาลกรุงเทพเชียงใหม่ (Bangkok Hospital Chiang Mai) </v>
      </c>
      <c r="E1097" t="str">
        <f>IFERROR(__xludf.DUMMYFUNCTION("REGEXEXTRACT(FORMULATEXT(D1097),""center=([-0-9.]+,[-0-9.]+)"")"),"#N/A")</f>
        <v>#N/A</v>
      </c>
    </row>
    <row r="1098">
      <c r="A1098" s="1" t="s">
        <v>1099</v>
      </c>
      <c r="C1098" s="2" t="str">
        <f t="shared" ref="C1098:C1099" si="32"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098" t="str">
        <f>IFERROR(__xludf.DUMMYFUNCTION("REGEXEXTRACT(FORMULATEXT(D1098),""center=([-0-9.]+,[-0-9.]+)"")"),"#N/A")</f>
        <v>#N/A</v>
      </c>
    </row>
    <row r="1099">
      <c r="A1099" s="1" t="s">
        <v>1100</v>
      </c>
      <c r="B1099" s="1" t="s">
        <v>1101</v>
      </c>
      <c r="C1099" s="2" t="str">
        <f t="shared" si="32"/>
        <v>Chiang Mai International Airport (CNX) ท่าอากาศยานเชียงใหม่ </v>
      </c>
      <c r="E1099" t="str">
        <f>IFERROR(__xludf.DUMMYFUNCTION("REGEXEXTRACT(FORMULATEXT(D1099),""center=([-0-9.]+,[-0-9.]+)"")"),"#N/A")</f>
        <v>#N/A</v>
      </c>
    </row>
    <row r="1100">
      <c r="A1100" s="1" t="s">
        <v>1102</v>
      </c>
      <c r="B1100" s="1" t="s">
        <v>1101</v>
      </c>
      <c r="C1100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100" t="str">
        <f>IFERROR(__xludf.DUMMYFUNCTION("REGEXEXTRACT(FORMULATEXT(D1100),""center=([-0-9.]+,[-0-9.]+)"")"),"#N/A")</f>
        <v>#N/A</v>
      </c>
    </row>
    <row r="1101">
      <c r="A1101" s="1" t="s">
        <v>1103</v>
      </c>
      <c r="B1101" s="1" t="s">
        <v>1101</v>
      </c>
      <c r="C1101" s="2" t="str">
        <f>HYPERLINK("http://4sq.com/fqH930","Belle Grand Rama IX (เบลล์ แกรนด์ พระราม 9) ")</f>
        <v>Belle Grand Rama IX (เบลล์ แกรนด์ พระราม 9) </v>
      </c>
      <c r="E1101" t="str">
        <f>IFERROR(__xludf.DUMMYFUNCTION("REGEXEXTRACT(FORMULATEXT(D1101),""center=([-0-9.]+,[-0-9.]+)"")"),"#N/A")</f>
        <v>#N/A</v>
      </c>
    </row>
    <row r="1102">
      <c r="A1102" s="1" t="s">
        <v>1104</v>
      </c>
      <c r="B1102" s="1" t="s">
        <v>1101</v>
      </c>
      <c r="C1102" s="2" t="str">
        <f>HYPERLINK("http://4sq.com/KiRFUo","1881 by Water Library ")</f>
        <v>1881 by Water Library </v>
      </c>
      <c r="E1102" t="str">
        <f>IFERROR(__xludf.DUMMYFUNCTION("REGEXEXTRACT(FORMULATEXT(D1102),""center=([-0-9.]+,[-0-9.]+)"")"),"#N/A")</f>
        <v>#N/A</v>
      </c>
    </row>
    <row r="1103">
      <c r="A1103" s="1" t="s">
        <v>1105</v>
      </c>
      <c r="B1103" s="1" t="s">
        <v>1101</v>
      </c>
      <c r="C1103" s="2" t="str">
        <f>HYPERLINK("http://4sq.com/1pM0dpg","Namsaah Bottling Trust ")</f>
        <v>Namsaah Bottling Trust </v>
      </c>
      <c r="E1103" t="str">
        <f>IFERROR(__xludf.DUMMYFUNCTION("REGEXEXTRACT(FORMULATEXT(D1103),""center=([-0-9.]+,[-0-9.]+)"")"),"#N/A")</f>
        <v>#N/A</v>
      </c>
    </row>
    <row r="1104">
      <c r="A1104" s="1" t="s">
        <v>1106</v>
      </c>
      <c r="B1104" s="1" t="s">
        <v>1101</v>
      </c>
      <c r="C1104" s="2" t="str">
        <f>HYPERLINK("http://4sq.com/914VXz","Crystal Design Center (CDC) คริสตัล ดีไซน์ เซ็นเตอร์ ")</f>
        <v>Crystal Design Center (CDC) คริสตัล ดีไซน์ เซ็นเตอร์ </v>
      </c>
      <c r="E1104" t="str">
        <f>IFERROR(__xludf.DUMMYFUNCTION("REGEXEXTRACT(FORMULATEXT(D1104),""center=([-0-9.]+,[-0-9.]+)"")"),"#N/A")</f>
        <v>#N/A</v>
      </c>
    </row>
    <row r="1105">
      <c r="A1105" s="1" t="s">
        <v>1107</v>
      </c>
      <c r="B1105" s="1" t="s">
        <v>1101</v>
      </c>
      <c r="C1105" s="2" t="str">
        <f>HYPERLINK("http://4sq.com/blbLwn","Cheesecake House (ชีสเค้กเฮ้าส์) ")</f>
        <v>Cheesecake House (ชีสเค้กเฮ้าส์) </v>
      </c>
      <c r="E1105" t="str">
        <f>IFERROR(__xludf.DUMMYFUNCTION("REGEXEXTRACT(FORMULATEXT(D1105),""center=([-0-9.]+,[-0-9.]+)"")"),"#N/A")</f>
        <v>#N/A</v>
      </c>
    </row>
    <row r="1106">
      <c r="A1106" s="1" t="s">
        <v>1108</v>
      </c>
      <c r="B1106" s="1" t="s">
        <v>1101</v>
      </c>
      <c r="C1106" s="2" t="str">
        <f t="shared" ref="C1106:C1107" si="33">HYPERLINK("http://4sq.com/aVUyRr","Fortune Town (ฟอร์จูนทาวน์) ")</f>
        <v>Fortune Town (ฟอร์จูนทาวน์) </v>
      </c>
      <c r="E1106" t="str">
        <f>IFERROR(__xludf.DUMMYFUNCTION("REGEXEXTRACT(FORMULATEXT(D1106),""center=([-0-9.]+,[-0-9.]+)"")"),"#N/A")</f>
        <v>#N/A</v>
      </c>
    </row>
    <row r="1107">
      <c r="A1107" s="1" t="s">
        <v>1109</v>
      </c>
      <c r="B1107" s="1" t="s">
        <v>1101</v>
      </c>
      <c r="C1107" s="2" t="str">
        <f t="shared" si="33"/>
        <v>Fortune Town (ฟอร์จูนทาวน์) </v>
      </c>
      <c r="E1107" t="str">
        <f>IFERROR(__xludf.DUMMYFUNCTION("REGEXEXTRACT(FORMULATEXT(D1107),""center=([-0-9.]+,[-0-9.]+)"")"),"#N/A")</f>
        <v>#N/A</v>
      </c>
    </row>
    <row r="1108">
      <c r="A1108" s="1" t="s">
        <v>1110</v>
      </c>
      <c r="B1108" s="1" t="s">
        <v>1101</v>
      </c>
      <c r="C1108" s="2" t="str">
        <f>HYPERLINK("http://4sq.com/hu621A","Hotel Muse Bangkok ")</f>
        <v>Hotel Muse Bangkok </v>
      </c>
      <c r="E1108" t="str">
        <f>IFERROR(__xludf.DUMMYFUNCTION("REGEXEXTRACT(FORMULATEXT(D1108),""center=([-0-9.]+,[-0-9.]+)"")"),"#N/A")</f>
        <v>#N/A</v>
      </c>
    </row>
    <row r="1109">
      <c r="A1109" s="1" t="s">
        <v>1111</v>
      </c>
      <c r="B1109" s="1" t="s">
        <v>1101</v>
      </c>
      <c r="C1109" s="2" t="str">
        <f>HYPERLINK("http://4sq.com/6faMgT","Siam Paragon (สยามพารากอน) ")</f>
        <v>Siam Paragon (สยามพารากอน) </v>
      </c>
      <c r="E1109" t="str">
        <f>IFERROR(__xludf.DUMMYFUNCTION("REGEXEXTRACT(FORMULATEXT(D1109),""center=([-0-9.]+,[-0-9.]+)"")"),"#N/A")</f>
        <v>#N/A</v>
      </c>
    </row>
    <row r="1110">
      <c r="A1110" s="1" t="s">
        <v>1112</v>
      </c>
      <c r="B1110" s="1" t="s">
        <v>1101</v>
      </c>
      <c r="C1110" s="2" t="str">
        <f>HYPERLINK("http://4sq.com/YwHj9E","Kidszania ")</f>
        <v>Kidszania </v>
      </c>
      <c r="E1110" t="str">
        <f>IFERROR(__xludf.DUMMYFUNCTION("REGEXEXTRACT(FORMULATEXT(D1110),""center=([-0-9.]+,[-0-9.]+)"")"),"#N/A")</f>
        <v>#N/A</v>
      </c>
    </row>
    <row r="1111">
      <c r="A1111" s="1" t="s">
        <v>1113</v>
      </c>
      <c r="B1111" s="1" t="s">
        <v>1101</v>
      </c>
      <c r="C1111" s="2" t="str">
        <f>HYPERLINK("http://4sq.com/bJbnVG","The Circle Ratchapruk (เดอะเซอร์เคิล ราชพฤกษ์) ")</f>
        <v>The Circle Ratchapruk (เดอะเซอร์เคิล ราชพฤกษ์) </v>
      </c>
      <c r="E1111" t="str">
        <f>IFERROR(__xludf.DUMMYFUNCTION("REGEXEXTRACT(FORMULATEXT(D1111),""center=([-0-9.]+,[-0-9.]+)"")"),"#N/A")</f>
        <v>#N/A</v>
      </c>
    </row>
    <row r="1112">
      <c r="A1112" s="1" t="s">
        <v>1114</v>
      </c>
      <c r="B1112" s="1" t="s">
        <v>1101</v>
      </c>
      <c r="C1112" s="2" t="str">
        <f>HYPERLINK("http://4sq.com/1bD7gWe","โรงพยาบาลกรุงเทพเชียงใหม่ (Bangkok Hospital Chiang Mai) ")</f>
        <v>โรงพยาบาลกรุงเทพเชียงใหม่ (Bangkok Hospital Chiang Mai) </v>
      </c>
      <c r="E1112" t="str">
        <f>IFERROR(__xludf.DUMMYFUNCTION("REGEXEXTRACT(FORMULATEXT(D1112),""center=([-0-9.]+,[-0-9.]+)"")"),"#N/A")</f>
        <v>#N/A</v>
      </c>
    </row>
    <row r="1113">
      <c r="A1113" s="1" t="s">
        <v>1115</v>
      </c>
      <c r="B1113" s="1" t="s">
        <v>1101</v>
      </c>
      <c r="C1113" s="2" t="str">
        <f>HYPERLINK("http://4sq.com/1nqEUD6","Subway ")</f>
        <v>Subway </v>
      </c>
      <c r="E1113" t="str">
        <f>IFERROR(__xludf.DUMMYFUNCTION("REGEXEXTRACT(FORMULATEXT(D1113),""center=([-0-9.]+,[-0-9.]+)"")"),"#N/A")</f>
        <v>#N/A</v>
      </c>
    </row>
    <row r="1114">
      <c r="A1114" s="1" t="s">
        <v>1116</v>
      </c>
      <c r="B1114" s="1" t="s">
        <v>1101</v>
      </c>
      <c r="C1114" s="2" t="str">
        <f>HYPERLINK("http://4sq.com/1GjmLUZ","Pizza Pasta by Simon ")</f>
        <v>Pizza Pasta by Simon </v>
      </c>
      <c r="E1114" t="str">
        <f>IFERROR(__xludf.DUMMYFUNCTION("REGEXEXTRACT(FORMULATEXT(D1114),""center=([-0-9.]+,[-0-9.]+)"")"),"#N/A")</f>
        <v>#N/A</v>
      </c>
    </row>
    <row r="1115">
      <c r="A1115" s="1" t="s">
        <v>1117</v>
      </c>
      <c r="B1115" s="1" t="s">
        <v>1101</v>
      </c>
      <c r="C1115" s="2" t="str">
        <f>HYPERLINK("http://4sq.com/1CEqIhb","Big Daddy's Diner ")</f>
        <v>Big Daddy's Diner </v>
      </c>
      <c r="E1115" t="str">
        <f>IFERROR(__xludf.DUMMYFUNCTION("REGEXEXTRACT(FORMULATEXT(D1115),""center=([-0-9.]+,[-0-9.]+)"")"),"#N/A")</f>
        <v>#N/A</v>
      </c>
    </row>
    <row r="1116">
      <c r="A1116" s="1" t="s">
        <v>1118</v>
      </c>
      <c r="B1116" s="1" t="s">
        <v>1101</v>
      </c>
      <c r="C1116" s="2" t="str">
        <f>HYPERLINK("http://4sq.com/1iN093h","ก๋วยเตี๋ยวบ้านคุ้ม・ขนมจีน・ข้าวซอย ")</f>
        <v>ก๋วยเตี๋ยวบ้านคุ้ม・ขนมจีน・ข้าวซอย </v>
      </c>
      <c r="E1116" t="str">
        <f>IFERROR(__xludf.DUMMYFUNCTION("REGEXEXTRACT(FORMULATEXT(D1116),""center=([-0-9.]+,[-0-9.]+)"")"),"#N/A")</f>
        <v>#N/A</v>
      </c>
    </row>
    <row r="1117">
      <c r="A1117" s="1" t="s">
        <v>1119</v>
      </c>
      <c r="B1117" s="1" t="s">
        <v>1101</v>
      </c>
      <c r="C1117" s="2" t="str">
        <f>HYPERLINK("http://4sq.com/1dK64zS","C.A.M.P. AIS - Creative And Meeting Place (ซี เอ เอ็ม พี) ")</f>
        <v>C.A.M.P. AIS - Creative And Meeting Place (ซี เอ เอ็ม พี) </v>
      </c>
      <c r="E1117" t="str">
        <f>IFERROR(__xludf.DUMMYFUNCTION("REGEXEXTRACT(FORMULATEXT(D1117),""center=([-0-9.]+,[-0-9.]+)"")"),"#N/A")</f>
        <v>#N/A</v>
      </c>
    </row>
    <row r="1118">
      <c r="A1118" s="1" t="s">
        <v>1120</v>
      </c>
      <c r="B1118" s="1" t="s">
        <v>1101</v>
      </c>
      <c r="C1118" s="2" t="str">
        <f>HYPERLINK("http://4sq.com/1eCpkTQ","MAYA (เมญ่า) ")</f>
        <v>MAYA (เมญ่า) </v>
      </c>
      <c r="E1118" t="str">
        <f>IFERROR(__xludf.DUMMYFUNCTION("REGEXEXTRACT(FORMULATEXT(D1118),""center=([-0-9.]+,[-0-9.]+)"")"),"#N/A")</f>
        <v>#N/A</v>
      </c>
    </row>
    <row r="1119">
      <c r="A1119" s="1" t="s">
        <v>1121</v>
      </c>
      <c r="B1119" s="1" t="s">
        <v>1101</v>
      </c>
      <c r="C1119" s="2" t="str">
        <f>HYPERLINK("http://4sq.com/zYP57p","Mama Mia ")</f>
        <v>Mama Mia </v>
      </c>
      <c r="E1119" t="str">
        <f>IFERROR(__xludf.DUMMYFUNCTION("REGEXEXTRACT(FORMULATEXT(D1119),""center=([-0-9.]+,[-0-9.]+)"")"),"#N/A")</f>
        <v>#N/A</v>
      </c>
    </row>
    <row r="1120">
      <c r="A1120" s="1" t="s">
        <v>1122</v>
      </c>
      <c r="B1120" s="1" t="s">
        <v>1101</v>
      </c>
      <c r="C1120" s="2" t="str">
        <f>HYPERLINK("http://4sq.com/qNo7Iy","Beppu Restaurant ")</f>
        <v>Beppu Restaurant </v>
      </c>
      <c r="E1120" t="str">
        <f>IFERROR(__xludf.DUMMYFUNCTION("REGEXEXTRACT(FORMULATEXT(D1120),""center=([-0-9.]+,[-0-9.]+)"")"),"#N/A")</f>
        <v>#N/A</v>
      </c>
    </row>
    <row r="1121">
      <c r="A1121" s="1" t="s">
        <v>1123</v>
      </c>
      <c r="B1121" s="1" t="s">
        <v>1101</v>
      </c>
      <c r="C112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121" t="str">
        <f>IFERROR(__xludf.DUMMYFUNCTION("REGEXEXTRACT(FORMULATEXT(D1121),""center=([-0-9.]+,[-0-9.]+)"")"),"#N/A")</f>
        <v>#N/A</v>
      </c>
    </row>
    <row r="1122">
      <c r="A1122" s="1" t="s">
        <v>1124</v>
      </c>
      <c r="B1122" s="1" t="s">
        <v>1101</v>
      </c>
      <c r="C1122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122" t="str">
        <f>IFERROR(__xludf.DUMMYFUNCTION("REGEXEXTRACT(FORMULATEXT(D1122),""center=([-0-9.]+,[-0-9.]+)"")"),"#N/A")</f>
        <v>#N/A</v>
      </c>
    </row>
    <row r="1123">
      <c r="A1123" s="1" t="s">
        <v>1125</v>
      </c>
      <c r="B1123" s="1" t="s">
        <v>1101</v>
      </c>
      <c r="C1123" s="2" t="str">
        <f>HYPERLINK("http://4sq.com/hE3HXR","LPN Saphan-kwai ")</f>
        <v>LPN Saphan-kwai </v>
      </c>
      <c r="E1123" t="str">
        <f>IFERROR(__xludf.DUMMYFUNCTION("REGEXEXTRACT(FORMULATEXT(D1123),""center=([-0-9.]+,[-0-9.]+)"")"),"#N/A")</f>
        <v>#N/A</v>
      </c>
    </row>
    <row r="1124">
      <c r="A1124" s="1" t="s">
        <v>1126</v>
      </c>
      <c r="B1124" s="1" t="s">
        <v>1101</v>
      </c>
      <c r="C1124" s="2" t="str">
        <f>HYPERLINK("http://4sq.com/Kl2v56","The Game ")</f>
        <v>The Game </v>
      </c>
      <c r="E1124" t="str">
        <f>IFERROR(__xludf.DUMMYFUNCTION("REGEXEXTRACT(FORMULATEXT(D1124),""center=([-0-9.]+,[-0-9.]+)"")"),"#N/A")</f>
        <v>#N/A</v>
      </c>
    </row>
    <row r="1125">
      <c r="A1125" s="1" t="s">
        <v>1127</v>
      </c>
      <c r="B1125" s="1" t="s">
        <v>1101</v>
      </c>
      <c r="C1125" s="2" t="str">
        <f>HYPERLINK("http://4sq.com/9xcRFs","The Dubliner Irish Pub ")</f>
        <v>The Dubliner Irish Pub </v>
      </c>
      <c r="E1125" t="str">
        <f>IFERROR(__xludf.DUMMYFUNCTION("REGEXEXTRACT(FORMULATEXT(D1125),""center=([-0-9.]+,[-0-9.]+)"")"),"#N/A")</f>
        <v>#N/A</v>
      </c>
    </row>
    <row r="1126">
      <c r="A1126" s="1" t="s">
        <v>1128</v>
      </c>
      <c r="B1126" s="1" t="s">
        <v>1101</v>
      </c>
      <c r="C1126" s="2" t="str">
        <f>HYPERLINK("http://4sq.com/fAWkjh","Chu Chocolate Bar &amp; Café ")</f>
        <v>Chu Chocolate Bar &amp; Café </v>
      </c>
      <c r="E1126" t="str">
        <f>IFERROR(__xludf.DUMMYFUNCTION("REGEXEXTRACT(FORMULATEXT(D1126),""center=([-0-9.]+,[-0-9.]+)"")"),"#N/A")</f>
        <v>#N/A</v>
      </c>
    </row>
    <row r="1127">
      <c r="A1127" s="1" t="s">
        <v>1129</v>
      </c>
      <c r="B1127" s="1" t="s">
        <v>1101</v>
      </c>
      <c r="C1127" s="2" t="str">
        <f>HYPERLINK("http://4sq.com/9Mym8J","The Old Dutch ")</f>
        <v>The Old Dutch </v>
      </c>
      <c r="E1127" t="str">
        <f>IFERROR(__xludf.DUMMYFUNCTION("REGEXEXTRACT(FORMULATEXT(D1127),""center=([-0-9.]+,[-0-9.]+)"")"),"#N/A")</f>
        <v>#N/A</v>
      </c>
    </row>
    <row r="1128">
      <c r="A1128" s="1" t="s">
        <v>1130</v>
      </c>
      <c r="B1128" s="1" t="s">
        <v>1101</v>
      </c>
      <c r="C1128" s="2" t="str">
        <f>HYPERLINK("http://4sq.com/1qiTSlX","Central Embassy (เซ็นทรัล เอ็มบาสซี) ")</f>
        <v>Central Embassy (เซ็นทรัล เอ็มบาสซี) </v>
      </c>
      <c r="E1128" t="str">
        <f>IFERROR(__xludf.DUMMYFUNCTION("REGEXEXTRACT(FORMULATEXT(D1128),""center=([-0-9.]+,[-0-9.]+)"")"),"#N/A")</f>
        <v>#N/A</v>
      </c>
    </row>
    <row r="1129">
      <c r="A1129" s="1" t="s">
        <v>1131</v>
      </c>
      <c r="B1129" s="1" t="s">
        <v>1101</v>
      </c>
      <c r="C1129" s="2" t="str">
        <f>HYPERLINK("http://4sq.com/1iZbTMp","The Coffee Bean &amp; Tea Leaf ")</f>
        <v>The Coffee Bean &amp; Tea Leaf </v>
      </c>
      <c r="E1129" t="str">
        <f>IFERROR(__xludf.DUMMYFUNCTION("REGEXEXTRACT(FORMULATEXT(D1129),""center=([-0-9.]+,[-0-9.]+)"")"),"#N/A")</f>
        <v>#N/A</v>
      </c>
    </row>
    <row r="1130">
      <c r="A1130" s="1" t="s">
        <v>1132</v>
      </c>
      <c r="B1130" s="1" t="s">
        <v>1101</v>
      </c>
      <c r="C1130" s="2" t="str">
        <f>HYPERLINK("http://4sq.com/heorPE","Chatrium Residence Bangkok-Sathon ")</f>
        <v>Chatrium Residence Bangkok-Sathon </v>
      </c>
      <c r="E1130" t="str">
        <f>IFERROR(__xludf.DUMMYFUNCTION("REGEXEXTRACT(FORMULATEXT(D1130),""center=([-0-9.]+,[-0-9.]+)"")"),"#N/A")</f>
        <v>#N/A</v>
      </c>
    </row>
    <row r="1131">
      <c r="A1131" s="1" t="s">
        <v>1133</v>
      </c>
      <c r="B1131" s="1" t="s">
        <v>1101</v>
      </c>
      <c r="C1131" s="2" t="str">
        <f>HYPERLINK("http://4sq.com/blSKZP","Liberty Plaza ")</f>
        <v>Liberty Plaza </v>
      </c>
      <c r="E1131" t="str">
        <f>IFERROR(__xludf.DUMMYFUNCTION("REGEXEXTRACT(FORMULATEXT(D1131),""center=([-0-9.]+,[-0-9.]+)"")"),"#N/A")</f>
        <v>#N/A</v>
      </c>
    </row>
    <row r="1132">
      <c r="A1132" s="1" t="s">
        <v>1134</v>
      </c>
      <c r="B1132" s="1" t="s">
        <v>1135</v>
      </c>
      <c r="C1132" s="2" t="str">
        <f>HYPERLINK("http://4sq.com/1lD2o8v","GAME OVER ")</f>
        <v>GAME OVER </v>
      </c>
      <c r="E1132" t="str">
        <f>IFERROR(__xludf.DUMMYFUNCTION("REGEXEXTRACT(FORMULATEXT(D1132),""center=([-0-9.]+,[-0-9.]+)"")"),"#N/A")</f>
        <v>#N/A</v>
      </c>
    </row>
    <row r="1133">
      <c r="A1133" s="1" t="s">
        <v>1136</v>
      </c>
      <c r="B1133" s="1" t="s">
        <v>1101</v>
      </c>
      <c r="C1133" s="2" t="str">
        <f>HYPERLINK("http://4sq.com/1dPFprR","Flann O'Brien's Irish Pub (ฟลาน โอเบรียนส์ ไอริชผับ) ")</f>
        <v>Flann O'Brien's Irish Pub (ฟลาน โอเบรียนส์ ไอริชผับ) </v>
      </c>
      <c r="E1133" t="str">
        <f>IFERROR(__xludf.DUMMYFUNCTION("REGEXEXTRACT(FORMULATEXT(D1133),""center=([-0-9.]+,[-0-9.]+)"")"),"#N/A")</f>
        <v>#N/A</v>
      </c>
    </row>
    <row r="1134">
      <c r="A1134" s="1" t="s">
        <v>1137</v>
      </c>
      <c r="B1134" s="1" t="s">
        <v>1101</v>
      </c>
      <c r="C1134" s="2" t="str">
        <f>HYPERLINK("http://4sq.com/acC9bN","ธนาคารกรุงเทพ (Bangkok Bank) ")</f>
        <v>ธนาคารกรุงเทพ (Bangkok Bank) </v>
      </c>
      <c r="E1134" t="str">
        <f>IFERROR(__xludf.DUMMYFUNCTION("REGEXEXTRACT(FORMULATEXT(D1134),""center=([-0-9.]+,[-0-9.]+)"")"),"#N/A")</f>
        <v>#N/A</v>
      </c>
    </row>
    <row r="1135">
      <c r="A1135" s="1" t="s">
        <v>1138</v>
      </c>
      <c r="B1135" s="1" t="s">
        <v>1101</v>
      </c>
      <c r="C1135" s="2" t="str">
        <f>HYPERLINK("http://4sq.com/9neU3W","Phaholyothin Place (พหลโยธินเพลส) ")</f>
        <v>Phaholyothin Place (พหลโยธินเพลส) </v>
      </c>
      <c r="E1135" t="str">
        <f>IFERROR(__xludf.DUMMYFUNCTION("REGEXEXTRACT(FORMULATEXT(D1135),""center=([-0-9.]+,[-0-9.]+)"")"),"#N/A")</f>
        <v>#N/A</v>
      </c>
    </row>
    <row r="1136">
      <c r="A1136" s="1" t="s">
        <v>1139</v>
      </c>
      <c r="B1136" s="1" t="s">
        <v>1101</v>
      </c>
      <c r="C1136" s="2" t="str">
        <f>HYPERLINK("http://4sq.com/pruPU0","INTOUCH Tower (อินทัชทาวเวอร์) ")</f>
        <v>INTOUCH Tower (อินทัชทาวเวอร์) </v>
      </c>
      <c r="E1136" t="str">
        <f>IFERROR(__xludf.DUMMYFUNCTION("REGEXEXTRACT(FORMULATEXT(D1136),""center=([-0-9.]+,[-0-9.]+)"")"),"#N/A")</f>
        <v>#N/A</v>
      </c>
    </row>
    <row r="1137">
      <c r="A1137" s="1" t="s">
        <v>1140</v>
      </c>
      <c r="B1137" s="1" t="s">
        <v>1101</v>
      </c>
      <c r="C1137" s="2" t="str">
        <f>HYPERLINK("http://4sq.com/aszzKt","Sethiwan Tower (เศรษฐีวรรณทาวเวอร์) ")</f>
        <v>Sethiwan Tower (เศรษฐีวรรณทาวเวอร์) </v>
      </c>
      <c r="E1137" t="str">
        <f>IFERROR(__xludf.DUMMYFUNCTION("REGEXEXTRACT(FORMULATEXT(D1137),""center=([-0-9.]+,[-0-9.]+)"")"),"#N/A")</f>
        <v>#N/A</v>
      </c>
    </row>
    <row r="1138">
      <c r="A1138" s="1" t="s">
        <v>1141</v>
      </c>
      <c r="B1138" s="1" t="s">
        <v>1101</v>
      </c>
      <c r="C1138" s="2" t="str">
        <f>HYPERLINK("http://4sq.com/1BCxSr4","hotelquickly ")</f>
        <v>hotelquickly </v>
      </c>
      <c r="E1138" t="str">
        <f>IFERROR(__xludf.DUMMYFUNCTION("REGEXEXTRACT(FORMULATEXT(D1138),""center=([-0-9.]+,[-0-9.]+)"")"),"#N/A")</f>
        <v>#N/A</v>
      </c>
    </row>
    <row r="1139">
      <c r="A1139" s="1" t="s">
        <v>1142</v>
      </c>
      <c r="B1139" s="1" t="s">
        <v>1101</v>
      </c>
      <c r="C1139" s="2" t="str">
        <f>HYPERLINK("http://4sq.com/PSYgIB","Vesper ")</f>
        <v>Vesper </v>
      </c>
      <c r="E1139" t="str">
        <f>IFERROR(__xludf.DUMMYFUNCTION("REGEXEXTRACT(FORMULATEXT(D1139),""center=([-0-9.]+,[-0-9.]+)"")"),"#N/A")</f>
        <v>#N/A</v>
      </c>
    </row>
    <row r="1140">
      <c r="A1140" s="1" t="s">
        <v>1143</v>
      </c>
      <c r="B1140" s="1" t="s">
        <v>1101</v>
      </c>
      <c r="C1140" s="2" t="str">
        <f>HYPERLINK("http://4sq.com/15NFG6O","KU DÉ TA ")</f>
        <v>KU DÉ TA </v>
      </c>
      <c r="E1140" t="str">
        <f>IFERROR(__xludf.DUMMYFUNCTION("REGEXEXTRACT(FORMULATEXT(D1140),""center=([-0-9.]+,[-0-9.]+)"")"),"#N/A")</f>
        <v>#N/A</v>
      </c>
    </row>
    <row r="1141">
      <c r="A1141" s="1" t="s">
        <v>1144</v>
      </c>
      <c r="B1141" s="1" t="s">
        <v>1101</v>
      </c>
      <c r="C1141" s="2" t="str">
        <f>HYPERLINK("http://4sq.com/aVUyRr","Fortune Town (ฟอร์จูนทาวน์) ")</f>
        <v>Fortune Town (ฟอร์จูนทาวน์) </v>
      </c>
      <c r="E1141" t="str">
        <f>IFERROR(__xludf.DUMMYFUNCTION("REGEXEXTRACT(FORMULATEXT(D1141),""center=([-0-9.]+,[-0-9.]+)"")"),"#N/A")</f>
        <v>#N/A</v>
      </c>
    </row>
    <row r="1142">
      <c r="A1142" s="1" t="s">
        <v>1145</v>
      </c>
      <c r="B1142" s="1" t="s">
        <v>1101</v>
      </c>
      <c r="C1142" s="2" t="str">
        <f>HYPERLINK("http://4sq.com/fAWkjh","Chu Chocolate Bar &amp; Café ")</f>
        <v>Chu Chocolate Bar &amp; Café </v>
      </c>
      <c r="E1142" t="str">
        <f>IFERROR(__xludf.DUMMYFUNCTION("REGEXEXTRACT(FORMULATEXT(D1142),""center=([-0-9.]+,[-0-9.]+)"")"),"#N/A")</f>
        <v>#N/A</v>
      </c>
    </row>
    <row r="1143">
      <c r="A1143" s="1" t="s">
        <v>1146</v>
      </c>
      <c r="B1143" s="1" t="s">
        <v>1101</v>
      </c>
      <c r="C1143" s="2" t="str">
        <f>HYPERLINK("http://4sq.com/9re5J6","Night Food Stall Street (ศูนย์อาหาร สุขุมวิทซอย 38) ")</f>
        <v>Night Food Stall Street (ศูนย์อาหาร สุขุมวิทซอย 38) </v>
      </c>
      <c r="E1143" t="str">
        <f>IFERROR(__xludf.DUMMYFUNCTION("REGEXEXTRACT(FORMULATEXT(D1143),""center=([-0-9.]+,[-0-9.]+)"")"),"#N/A")</f>
        <v>#N/A</v>
      </c>
    </row>
    <row r="1144">
      <c r="A1144" s="1" t="s">
        <v>1147</v>
      </c>
      <c r="B1144" s="1" t="s">
        <v>1101</v>
      </c>
      <c r="C114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144" t="str">
        <f>IFERROR(__xludf.DUMMYFUNCTION("REGEXEXTRACT(FORMULATEXT(D1144),""center=([-0-9.]+,[-0-9.]+)"")"),"#N/A")</f>
        <v>#N/A</v>
      </c>
    </row>
    <row r="1145">
      <c r="A1145" s="1" t="s">
        <v>1148</v>
      </c>
      <c r="B1145" s="1" t="s">
        <v>1101</v>
      </c>
      <c r="C1145" s="2" t="str">
        <f>HYPERLINK("http://4sq.com/1avBSgL","Coffee Monster ")</f>
        <v>Coffee Monster </v>
      </c>
      <c r="E1145" t="str">
        <f>IFERROR(__xludf.DUMMYFUNCTION("REGEXEXTRACT(FORMULATEXT(D1145),""center=([-0-9.]+,[-0-9.]+)"")"),"#N/A")</f>
        <v>#N/A</v>
      </c>
    </row>
    <row r="1146">
      <c r="A1146" s="1" t="s">
        <v>1149</v>
      </c>
      <c r="B1146" s="1" t="s">
        <v>1101</v>
      </c>
      <c r="C1146" s="2" t="str">
        <f>HYPERLINK("http://4sq.com/cs7tXD","พระบรมราชานุสาวรีย์สามกษัตริย์ (Three Kings Monument) ")</f>
        <v>พระบรมราชานุสาวรีย์สามกษัตริย์ (Three Kings Monument) </v>
      </c>
      <c r="E1146" t="str">
        <f>IFERROR(__xludf.DUMMYFUNCTION("REGEXEXTRACT(FORMULATEXT(D1146),""center=([-0-9.]+,[-0-9.]+)"")"),"#N/A")</f>
        <v>#N/A</v>
      </c>
    </row>
    <row r="1147">
      <c r="A1147" s="1" t="s">
        <v>1150</v>
      </c>
      <c r="B1147" s="1" t="s">
        <v>1101</v>
      </c>
      <c r="C1147" s="2" t="str">
        <f>HYPERLINK("http://4sq.com/abPeFc","Ginger &amp; Kafé ")</f>
        <v>Ginger &amp; Kafé </v>
      </c>
      <c r="E1147" t="str">
        <f>IFERROR(__xludf.DUMMYFUNCTION("REGEXEXTRACT(FORMULATEXT(D1147),""center=([-0-9.]+,[-0-9.]+)"")"),"#N/A")</f>
        <v>#N/A</v>
      </c>
    </row>
    <row r="1148">
      <c r="A1148" s="1" t="s">
        <v>1151</v>
      </c>
      <c r="B1148" s="1" t="s">
        <v>1101</v>
      </c>
      <c r="C1148" s="2" t="str">
        <f>HYPERLINK("http://4sq.com/1351laM","Art in Paradise (พิพิธภัณฑ์ภาพจิตรกรรม 3 มิติ) ")</f>
        <v>Art in Paradise (พิพิธภัณฑ์ภาพจิตรกรรม 3 มิติ) </v>
      </c>
      <c r="E1148" t="str">
        <f>IFERROR(__xludf.DUMMYFUNCTION("REGEXEXTRACT(FORMULATEXT(D1148),""center=([-0-9.]+,[-0-9.]+)"")"),"#N/A")</f>
        <v>#N/A</v>
      </c>
    </row>
    <row r="1149">
      <c r="A1149" s="1" t="s">
        <v>1152</v>
      </c>
      <c r="B1149" s="1" t="s">
        <v>1101</v>
      </c>
      <c r="C1149" s="2" t="str">
        <f>HYPERLINK("http://4sq.com/shlEMR","Terraces ")</f>
        <v>Terraces </v>
      </c>
      <c r="E1149" t="str">
        <f>IFERROR(__xludf.DUMMYFUNCTION("REGEXEXTRACT(FORMULATEXT(D1149),""center=([-0-9.]+,[-0-9.]+)"")"),"#N/A")</f>
        <v>#N/A</v>
      </c>
    </row>
    <row r="1150">
      <c r="A1150" s="1" t="s">
        <v>1153</v>
      </c>
      <c r="B1150" s="1" t="s">
        <v>1101</v>
      </c>
      <c r="C1150" s="2" t="str">
        <f>HYPERLINK("http://4sq.com/1EZfTgZ","pansawan ")</f>
        <v>pansawan </v>
      </c>
      <c r="E1150" t="str">
        <f>IFERROR(__xludf.DUMMYFUNCTION("REGEXEXTRACT(FORMULATEXT(D1150),""center=([-0-9.]+,[-0-9.]+)"")"),"#N/A")</f>
        <v>#N/A</v>
      </c>
    </row>
    <row r="1151">
      <c r="A1151" s="1" t="s">
        <v>1154</v>
      </c>
      <c r="B1151" s="1" t="s">
        <v>1101</v>
      </c>
      <c r="C1151" s="2" t="str">
        <f>HYPERLINK("http://4sq.com/myR2lB","Sala Café (ศาลากาแฟ) ")</f>
        <v>Sala Café (ศาลากาแฟ) </v>
      </c>
      <c r="E1151" t="str">
        <f>IFERROR(__xludf.DUMMYFUNCTION("REGEXEXTRACT(FORMULATEXT(D1151),""center=([-0-9.]+,[-0-9.]+)"")"),"#N/A")</f>
        <v>#N/A</v>
      </c>
    </row>
    <row r="1152">
      <c r="A1152" s="1" t="s">
        <v>1155</v>
      </c>
      <c r="B1152" s="1" t="s">
        <v>1101</v>
      </c>
      <c r="C1152" s="2" t="str">
        <f>HYPERLINK("http://4sq.com/1GjmLUZ","Pizza Pasta by Simon ")</f>
        <v>Pizza Pasta by Simon </v>
      </c>
      <c r="E1152" t="str">
        <f>IFERROR(__xludf.DUMMYFUNCTION("REGEXEXTRACT(FORMULATEXT(D1152),""center=([-0-9.]+,[-0-9.]+)"")"),"#N/A")</f>
        <v>#N/A</v>
      </c>
    </row>
    <row r="1153">
      <c r="A1153" s="1" t="s">
        <v>1156</v>
      </c>
      <c r="B1153" s="1" t="s">
        <v>1101</v>
      </c>
      <c r="C1153" s="2" t="str">
        <f>HYPERLINK("http://4sq.com/IsHcQ1","Kamonraput Coffee &amp; Restaurant ")</f>
        <v>Kamonraput Coffee &amp; Restaurant </v>
      </c>
      <c r="E1153" t="str">
        <f>IFERROR(__xludf.DUMMYFUNCTION("REGEXEXTRACT(FORMULATEXT(D1153),""center=([-0-9.]+,[-0-9.]+)"")"),"#N/A")</f>
        <v>#N/A</v>
      </c>
    </row>
    <row r="1154">
      <c r="A1154" s="1" t="s">
        <v>1157</v>
      </c>
      <c r="B1154" s="1" t="s">
        <v>1101</v>
      </c>
      <c r="C1154" s="2" t="str">
        <f>HYPERLINK("http://4sq.com/1GjmLUZ","Pizza Pasta by Simon ")</f>
        <v>Pizza Pasta by Simon </v>
      </c>
      <c r="E1154" t="str">
        <f>IFERROR(__xludf.DUMMYFUNCTION("REGEXEXTRACT(FORMULATEXT(D1154),""center=([-0-9.]+,[-0-9.]+)"")"),"#N/A")</f>
        <v>#N/A</v>
      </c>
    </row>
    <row r="1155">
      <c r="A1155" s="1" t="s">
        <v>1158</v>
      </c>
      <c r="B1155" s="1" t="s">
        <v>1101</v>
      </c>
      <c r="C1155" s="2" t="str">
        <f>HYPERLINK("http://4sq.com/I6iyHA","The River Market | ตลาดแม่น้ำ ")</f>
        <v>The River Market | ตลาดแม่น้ำ </v>
      </c>
      <c r="E1155" t="str">
        <f>IFERROR(__xludf.DUMMYFUNCTION("REGEXEXTRACT(FORMULATEXT(D1155),""center=([-0-9.]+,[-0-9.]+)"")"),"#N/A")</f>
        <v>#N/A</v>
      </c>
    </row>
    <row r="1156">
      <c r="A1156" s="1" t="s">
        <v>1159</v>
      </c>
      <c r="B1156" s="1" t="s">
        <v>1101</v>
      </c>
      <c r="C1156" s="2" t="str">
        <f>HYPERLINK("http://4sq.com/9dAeh7","Boat (โบ๊ต) ")</f>
        <v>Boat (โบ๊ต) </v>
      </c>
      <c r="E1156" t="str">
        <f>IFERROR(__xludf.DUMMYFUNCTION("REGEXEXTRACT(FORMULATEXT(D1156),""center=([-0-9.]+,[-0-9.]+)"")"),"#N/A")</f>
        <v>#N/A</v>
      </c>
    </row>
    <row r="1157">
      <c r="A1157" s="1" t="s">
        <v>1160</v>
      </c>
      <c r="B1157" s="1" t="s">
        <v>1101</v>
      </c>
      <c r="C1157" s="2" t="str">
        <f>HYPERLINK("http://4sq.com/1eCpkTQ","MAYA (เมญ่า) ")</f>
        <v>MAYA (เมญ่า) </v>
      </c>
      <c r="E1157" t="str">
        <f>IFERROR(__xludf.DUMMYFUNCTION("REGEXEXTRACT(FORMULATEXT(D1157),""center=([-0-9.]+,[-0-9.]+)"")"),"#N/A")</f>
        <v>#N/A</v>
      </c>
    </row>
    <row r="1158">
      <c r="A1158" s="1" t="s">
        <v>1160</v>
      </c>
      <c r="B1158" s="1" t="s">
        <v>1101</v>
      </c>
      <c r="C1158" s="2" t="str">
        <f>HYPERLINK("http://4sq.com/MqWX16","AIS Shop | เอไอเอสช้อป ")</f>
        <v>AIS Shop | เอไอเอสช้อป </v>
      </c>
      <c r="E1158" t="str">
        <f>IFERROR(__xludf.DUMMYFUNCTION("REGEXEXTRACT(FORMULATEXT(D1158),""center=([-0-9.]+,[-0-9.]+)"")"),"#N/A")</f>
        <v>#N/A</v>
      </c>
    </row>
    <row r="1159">
      <c r="A1159" s="1" t="s">
        <v>1161</v>
      </c>
      <c r="B1159" s="1" t="s">
        <v>1101</v>
      </c>
      <c r="C1159" s="2" t="str">
        <f>HYPERLINK("http://4sq.com/Y4pNIZ","True Office Chiang Mai ")</f>
        <v>True Office Chiang Mai </v>
      </c>
      <c r="E1159" t="str">
        <f>IFERROR(__xludf.DUMMYFUNCTION("REGEXEXTRACT(FORMULATEXT(D1159),""center=([-0-9.]+,[-0-9.]+)"")"),"#N/A")</f>
        <v>#N/A</v>
      </c>
    </row>
    <row r="1160">
      <c r="A1160" s="1" t="s">
        <v>1162</v>
      </c>
      <c r="B1160" s="1" t="s">
        <v>1101</v>
      </c>
      <c r="C1160" s="2" t="str">
        <f>HYPERLINK("http://4sq.com/a6bcUk","Smoothie Blues ")</f>
        <v>Smoothie Blues </v>
      </c>
      <c r="E1160" t="str">
        <f>IFERROR(__xludf.DUMMYFUNCTION("REGEXEXTRACT(FORMULATEXT(D1160),""center=([-0-9.]+,[-0-9.]+)"")"),"#N/A")</f>
        <v>#N/A</v>
      </c>
    </row>
    <row r="1161">
      <c r="A1161" s="1" t="s">
        <v>1163</v>
      </c>
      <c r="B1161" s="1" t="s">
        <v>1101</v>
      </c>
      <c r="C1161" s="2" t="str">
        <f>HYPERLINK("http://4sq.com/IsHcQ1","Kamonraput Coffee &amp; Restaurant ")</f>
        <v>Kamonraput Coffee &amp; Restaurant </v>
      </c>
      <c r="E1161" t="str">
        <f>IFERROR(__xludf.DUMMYFUNCTION("REGEXEXTRACT(FORMULATEXT(D1161),""center=([-0-9.]+,[-0-9.]+)"")"),"#N/A")</f>
        <v>#N/A</v>
      </c>
    </row>
    <row r="1162">
      <c r="A1162" s="1" t="s">
        <v>1164</v>
      </c>
      <c r="B1162" s="1" t="s">
        <v>1101</v>
      </c>
      <c r="C1162" s="2" t="str">
        <f>HYPERLINK("http://4sq.com/darGol","Global House (โกลบอลเฮ้าส์) ")</f>
        <v>Global House (โกลบอลเฮ้าส์) </v>
      </c>
      <c r="E1162" t="str">
        <f>IFERROR(__xludf.DUMMYFUNCTION("REGEXEXTRACT(FORMULATEXT(D1162),""center=([-0-9.]+,[-0-9.]+)"")"),"#N/A")</f>
        <v>#N/A</v>
      </c>
    </row>
    <row r="1163">
      <c r="A1163" s="1" t="s">
        <v>1165</v>
      </c>
      <c r="B1163" s="1" t="s">
        <v>1101</v>
      </c>
      <c r="C1163" s="2" t="str">
        <f>HYPERLINK("http://4sq.com/baJ3BQ","Shell (เชลล์) ")</f>
        <v>Shell (เชลล์) </v>
      </c>
      <c r="E1163" t="str">
        <f>IFERROR(__xludf.DUMMYFUNCTION("REGEXEXTRACT(FORMULATEXT(D1163),""center=([-0-9.]+,[-0-9.]+)"")"),"#N/A")</f>
        <v>#N/A</v>
      </c>
    </row>
    <row r="1164">
      <c r="A1164" s="1" t="s">
        <v>1166</v>
      </c>
      <c r="B1164" s="1" t="s">
        <v>1101</v>
      </c>
      <c r="C1164" s="2" t="str">
        <f>HYPERLINK("http://4sq.com/bHjqtB","พันธุ์ทิพย์ พลาซ่า เชียงใหม่ (Pantip Plaza Chiangmai) ")</f>
        <v>พันธุ์ทิพย์ พลาซ่า เชียงใหม่ (Pantip Plaza Chiangmai) </v>
      </c>
      <c r="E1164" t="str">
        <f>IFERROR(__xludf.DUMMYFUNCTION("REGEXEXTRACT(FORMULATEXT(D1164),""center=([-0-9.]+,[-0-9.]+)"")"),"#N/A")</f>
        <v>#N/A</v>
      </c>
    </row>
    <row r="1165">
      <c r="A1165" s="1" t="s">
        <v>1167</v>
      </c>
      <c r="B1165" s="1" t="s">
        <v>1101</v>
      </c>
      <c r="C1165" s="2" t="str">
        <f>HYPERLINK("http://4sq.com/1nqEUD6","Subway ")</f>
        <v>Subway </v>
      </c>
      <c r="E1165" t="str">
        <f>IFERROR(__xludf.DUMMYFUNCTION("REGEXEXTRACT(FORMULATEXT(D1165),""center=([-0-9.]+,[-0-9.]+)"")"),"#N/A")</f>
        <v>#N/A</v>
      </c>
    </row>
    <row r="1166">
      <c r="A1166" s="1" t="s">
        <v>1168</v>
      </c>
      <c r="B1166" s="1" t="s">
        <v>1101</v>
      </c>
      <c r="C1166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166" t="str">
        <f>IFERROR(__xludf.DUMMYFUNCTION("REGEXEXTRACT(FORMULATEXT(D1166),""center=([-0-9.]+,[-0-9.]+)"")"),"#N/A")</f>
        <v>#N/A</v>
      </c>
    </row>
    <row r="1167">
      <c r="A1167" s="1" t="s">
        <v>1169</v>
      </c>
      <c r="B1167" s="1" t="s">
        <v>1170</v>
      </c>
      <c r="C1167" s="2" t="str">
        <f>HYPERLINK("http://4sq.com/136RI76","Chi Chang (ชิชาง) ")</f>
        <v>Chi Chang (ชิชาง) </v>
      </c>
      <c r="E1167" t="str">
        <f>IFERROR(__xludf.DUMMYFUNCTION("REGEXEXTRACT(FORMULATEXT(D1167),""center=([-0-9.]+,[-0-9.]+)"")"),"#N/A")</f>
        <v>#N/A</v>
      </c>
    </row>
    <row r="1168">
      <c r="A1168" s="1" t="s">
        <v>1171</v>
      </c>
      <c r="B1168" s="1" t="s">
        <v>1101</v>
      </c>
      <c r="C1168" s="2" t="str">
        <f>HYPERLINK("http://4sq.com/9dAeh7","Boat (โบ๊ต) ")</f>
        <v>Boat (โบ๊ต) </v>
      </c>
      <c r="E1168" t="str">
        <f>IFERROR(__xludf.DUMMYFUNCTION("REGEXEXTRACT(FORMULATEXT(D1168),""center=([-0-9.]+,[-0-9.]+)"")"),"#N/A")</f>
        <v>#N/A</v>
      </c>
    </row>
    <row r="1169">
      <c r="A1169" s="1" t="s">
        <v>1172</v>
      </c>
      <c r="B1169" s="1" t="s">
        <v>1101</v>
      </c>
      <c r="C1169" s="2" t="str">
        <f>HYPERLINK("http://4sq.com/1GjmLUZ","Pizza Pasta by Simon ")</f>
        <v>Pizza Pasta by Simon </v>
      </c>
      <c r="E1169" t="str">
        <f>IFERROR(__xludf.DUMMYFUNCTION("REGEXEXTRACT(FORMULATEXT(D1169),""center=([-0-9.]+,[-0-9.]+)"")"),"#N/A")</f>
        <v>#N/A</v>
      </c>
    </row>
    <row r="1170">
      <c r="A1170" s="1" t="s">
        <v>1173</v>
      </c>
      <c r="B1170" s="1" t="s">
        <v>1101</v>
      </c>
      <c r="C1170" s="2" t="str">
        <f>HYPERLINK("http://4sq.com/1Jlq1Sh","Baan Salad ")</f>
        <v>Baan Salad </v>
      </c>
      <c r="E1170" t="str">
        <f>IFERROR(__xludf.DUMMYFUNCTION("REGEXEXTRACT(FORMULATEXT(D1170),""center=([-0-9.]+,[-0-9.]+)"")"),"#N/A")</f>
        <v>#N/A</v>
      </c>
    </row>
    <row r="1171">
      <c r="A1171" s="1" t="s">
        <v>1174</v>
      </c>
      <c r="B1171" s="1" t="s">
        <v>1101</v>
      </c>
      <c r="C1171" s="2" t="str">
        <f>HYPERLINK("http://4sq.com/myR2lB","Sala Café (ศาลากาแฟ) ")</f>
        <v>Sala Café (ศาลากาแฟ) </v>
      </c>
      <c r="E1171" t="str">
        <f>IFERROR(__xludf.DUMMYFUNCTION("REGEXEXTRACT(FORMULATEXT(D1171),""center=([-0-9.]+,[-0-9.]+)"")"),"#N/A")</f>
        <v>#N/A</v>
      </c>
    </row>
    <row r="1172">
      <c r="A1172" s="1" t="s">
        <v>1175</v>
      </c>
      <c r="B1172" s="1" t="s">
        <v>1101</v>
      </c>
      <c r="C1172" s="2" t="str">
        <f>HYPERLINK("http://4sq.com/fNR1yP","ปาย 91.5 ")</f>
        <v>ปาย 91.5 </v>
      </c>
      <c r="E1172" t="str">
        <f>IFERROR(__xludf.DUMMYFUNCTION("REGEXEXTRACT(FORMULATEXT(D1172),""center=([-0-9.]+,[-0-9.]+)"")"),"#N/A")</f>
        <v>#N/A</v>
      </c>
    </row>
    <row r="1173">
      <c r="A1173" s="1" t="s">
        <v>1176</v>
      </c>
      <c r="B1173" s="1" t="s">
        <v>1101</v>
      </c>
      <c r="C1173" s="2" t="str">
        <f>HYPERLINK("http://4sq.com/1GjmLUZ","Pizza Pasta by Simon ")</f>
        <v>Pizza Pasta by Simon </v>
      </c>
      <c r="E1173" t="str">
        <f>IFERROR(__xludf.DUMMYFUNCTION("REGEXEXTRACT(FORMULATEXT(D1173),""center=([-0-9.]+,[-0-9.]+)"")"),"#N/A")</f>
        <v>#N/A</v>
      </c>
    </row>
    <row r="1174">
      <c r="A1174" s="1" t="s">
        <v>1177</v>
      </c>
      <c r="B1174" s="1" t="s">
        <v>1101</v>
      </c>
      <c r="C1174" s="2" t="str">
        <f>HYPERLINK("http://4sq.com/myR2lB","Sala Café (ศาลากาแฟ) ")</f>
        <v>Sala Café (ศาลากาแฟ) </v>
      </c>
      <c r="E1174" t="str">
        <f>IFERROR(__xludf.DUMMYFUNCTION("REGEXEXTRACT(FORMULATEXT(D1174),""center=([-0-9.]+,[-0-9.]+)"")"),"#N/A")</f>
        <v>#N/A</v>
      </c>
    </row>
    <row r="1175">
      <c r="A1175" s="1" t="s">
        <v>1178</v>
      </c>
      <c r="B1175" s="1" t="s">
        <v>1101</v>
      </c>
      <c r="C1175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  <c r="E1175" t="str">
        <f>IFERROR(__xludf.DUMMYFUNCTION("REGEXEXTRACT(FORMULATEXT(D1175),""center=([-0-9.]+,[-0-9.]+)"")"),"#N/A")</f>
        <v>#N/A</v>
      </c>
    </row>
    <row r="1176">
      <c r="A1176" s="1" t="s">
        <v>1179</v>
      </c>
      <c r="B1176" s="1" t="s">
        <v>1101</v>
      </c>
      <c r="C1176" s="2" t="str">
        <f>HYPERLINK("http://4sq.com/gm1HIK","ปตท. (PTT) ")</f>
        <v>ปตท. (PTT) </v>
      </c>
      <c r="E1176" t="str">
        <f>IFERROR(__xludf.DUMMYFUNCTION("REGEXEXTRACT(FORMULATEXT(D1176),""center=([-0-9.]+,[-0-9.]+)"")"),"#N/A")</f>
        <v>#N/A</v>
      </c>
    </row>
    <row r="1177">
      <c r="A1177" s="1" t="s">
        <v>1180</v>
      </c>
      <c r="B1177" s="1" t="s">
        <v>1101</v>
      </c>
      <c r="C1177" s="2" t="str">
        <f>HYPERLINK("http://4sq.com/nYeaAD","J2 Hotel (โรงแรมเจทู แม่สอด) ")</f>
        <v>J2 Hotel (โรงแรมเจทู แม่สอด) </v>
      </c>
      <c r="E1177" t="str">
        <f>IFERROR(__xludf.DUMMYFUNCTION("REGEXEXTRACT(FORMULATEXT(D1177),""center=([-0-9.]+,[-0-9.]+)"")"),"#N/A")</f>
        <v>#N/A</v>
      </c>
    </row>
    <row r="1178">
      <c r="A1178" s="1" t="s">
        <v>1181</v>
      </c>
      <c r="B1178" s="1" t="s">
        <v>1101</v>
      </c>
      <c r="C1178" s="2" t="str">
        <f>HYPERLINK("http://4sq.com/9NUhp1","Krua Canadian ")</f>
        <v>Krua Canadian </v>
      </c>
      <c r="E1178" t="str">
        <f>IFERROR(__xludf.DUMMYFUNCTION("REGEXEXTRACT(FORMULATEXT(D1178),""center=([-0-9.]+,[-0-9.]+)"")"),"#N/A")</f>
        <v>#N/A</v>
      </c>
    </row>
    <row r="1179">
      <c r="A1179" s="1" t="s">
        <v>1182</v>
      </c>
      <c r="B1179" s="1" t="s">
        <v>1101</v>
      </c>
      <c r="C1179" s="2" t="str">
        <f>HYPERLINK("http://4sq.com/nYeaAD","J2 Hotel (โรงแรมเจทู แม่สอด) ")</f>
        <v>J2 Hotel (โรงแรมเจทู แม่สอด) </v>
      </c>
      <c r="E1179" t="str">
        <f>IFERROR(__xludf.DUMMYFUNCTION("REGEXEXTRACT(FORMULATEXT(D1179),""center=([-0-9.]+,[-0-9.]+)"")"),"#N/A")</f>
        <v>#N/A</v>
      </c>
    </row>
    <row r="1180">
      <c r="A1180" s="1" t="s">
        <v>1183</v>
      </c>
      <c r="B1180" s="1" t="s">
        <v>1101</v>
      </c>
      <c r="C1180" s="2" t="str">
        <f>HYPERLINK("http://4sq.com/aS5rXB","PTT Measod ")</f>
        <v>PTT Measod </v>
      </c>
      <c r="E1180" t="str">
        <f>IFERROR(__xludf.DUMMYFUNCTION("REGEXEXTRACT(FORMULATEXT(D1180),""center=([-0-9.]+,[-0-9.]+)"")"),"#N/A")</f>
        <v>#N/A</v>
      </c>
    </row>
    <row r="1181">
      <c r="A1181" s="1" t="s">
        <v>1184</v>
      </c>
      <c r="B1181" s="1" t="s">
        <v>1101</v>
      </c>
      <c r="C1181" s="2" t="str">
        <f>HYPERLINK("http://4sq.com/1xthec9","ขนมจีนบ้านไม้ ")</f>
        <v>ขนมจีนบ้านไม้ </v>
      </c>
      <c r="E1181" t="str">
        <f>IFERROR(__xludf.DUMMYFUNCTION("REGEXEXTRACT(FORMULATEXT(D1181),""center=([-0-9.]+,[-0-9.]+)"")"),"#N/A")</f>
        <v>#N/A</v>
      </c>
    </row>
    <row r="1182">
      <c r="A1182" s="1" t="s">
        <v>1185</v>
      </c>
      <c r="B1182" s="1" t="s">
        <v>1101</v>
      </c>
      <c r="C1182" s="2" t="str">
        <f>HYPERLINK("http://4sq.com/ha9bAM","ปตท. (PTT) ")</f>
        <v>ปตท. (PTT) </v>
      </c>
      <c r="E1182" t="str">
        <f>IFERROR(__xludf.DUMMYFUNCTION("REGEXEXTRACT(FORMULATEXT(D1182),""center=([-0-9.]+,[-0-9.]+)"")"),"#N/A")</f>
        <v>#N/A</v>
      </c>
    </row>
    <row r="1183">
      <c r="A1183" s="1" t="s">
        <v>1186</v>
      </c>
      <c r="B1183" s="1" t="s">
        <v>1101</v>
      </c>
      <c r="C1183" s="2" t="str">
        <f>HYPERLINK("http://4sq.com/1eCpkTQ","MAYA (เมญ่า) ")</f>
        <v>MAYA (เมญ่า) </v>
      </c>
      <c r="E1183" t="str">
        <f>IFERROR(__xludf.DUMMYFUNCTION("REGEXEXTRACT(FORMULATEXT(D1183),""center=([-0-9.]+,[-0-9.]+)"")"),"#N/A")</f>
        <v>#N/A</v>
      </c>
    </row>
    <row r="1184">
      <c r="A1184" s="1" t="s">
        <v>1187</v>
      </c>
      <c r="B1184" s="1" t="s">
        <v>1101</v>
      </c>
      <c r="C1184" s="2" t="str">
        <f>HYPERLINK("http://4sq.com/1glAL7r","The Duke's MAYA ")</f>
        <v>The Duke's MAYA </v>
      </c>
      <c r="E1184" t="str">
        <f>IFERROR(__xludf.DUMMYFUNCTION("REGEXEXTRACT(FORMULATEXT(D1184),""center=([-0-9.]+,[-0-9.]+)"")"),"#N/A")</f>
        <v>#N/A</v>
      </c>
    </row>
    <row r="1185">
      <c r="A1185" s="1" t="s">
        <v>1188</v>
      </c>
      <c r="B1185" s="1" t="s">
        <v>1101</v>
      </c>
      <c r="C1185" s="2" t="str">
        <f>HYPERLINK("http://4sq.com/1Fdh640","Hong Fae / โฮง'แฟ ")</f>
        <v>Hong Fae / โฮง'แฟ </v>
      </c>
      <c r="E1185" t="str">
        <f>IFERROR(__xludf.DUMMYFUNCTION("REGEXEXTRACT(FORMULATEXT(D1185),""center=([-0-9.]+,[-0-9.]+)"")"),"#N/A")</f>
        <v>#N/A</v>
      </c>
    </row>
    <row r="1186">
      <c r="A1186" s="1" t="s">
        <v>1189</v>
      </c>
      <c r="B1186" s="1" t="s">
        <v>1101</v>
      </c>
      <c r="C1186" s="2" t="str">
        <f>HYPERLINK("http://4sq.com/eey04s","The Ring ")</f>
        <v>The Ring </v>
      </c>
      <c r="E1186" t="str">
        <f>IFERROR(__xludf.DUMMYFUNCTION("REGEXEXTRACT(FORMULATEXT(D1186),""center=([-0-9.]+,[-0-9.]+)"")"),"#N/A")</f>
        <v>#N/A</v>
      </c>
    </row>
    <row r="1187">
      <c r="A1187" s="1" t="s">
        <v>1190</v>
      </c>
      <c r="B1187" s="1" t="s">
        <v>1101</v>
      </c>
      <c r="C1187" s="2" t="str">
        <f>HYPERLINK("http://4sq.com/cTCMbh","ปตท. (PTT Jiffy) ")</f>
        <v>ปตท. (PTT Jiffy) </v>
      </c>
      <c r="E1187" t="str">
        <f>IFERROR(__xludf.DUMMYFUNCTION("REGEXEXTRACT(FORMULATEXT(D1187),""center=([-0-9.]+,[-0-9.]+)"")"),"#N/A")</f>
        <v>#N/A</v>
      </c>
    </row>
    <row r="1188">
      <c r="A1188" s="1" t="s">
        <v>1191</v>
      </c>
      <c r="B1188" s="1" t="s">
        <v>1101</v>
      </c>
      <c r="C1188" s="2" t="str">
        <f>HYPERLINK("http://4sq.com/1glAL7r","The Duke's MAYA ")</f>
        <v>The Duke's MAYA </v>
      </c>
      <c r="E1188" t="str">
        <f>IFERROR(__xludf.DUMMYFUNCTION("REGEXEXTRACT(FORMULATEXT(D1188),""center=([-0-9.]+,[-0-9.]+)"")"),"#N/A")</f>
        <v>#N/A</v>
      </c>
    </row>
    <row r="1189">
      <c r="A1189" s="1" t="s">
        <v>1192</v>
      </c>
      <c r="B1189" s="1" t="s">
        <v>1101</v>
      </c>
      <c r="C1189" s="2" t="str">
        <f>HYPERLINK("http://4sq.com/dFAgUn","แม่ริมพลาซ่า (Maerim Plaza) ")</f>
        <v>แม่ริมพลาซ่า (Maerim Plaza) </v>
      </c>
      <c r="E1189" t="str">
        <f>IFERROR(__xludf.DUMMYFUNCTION("REGEXEXTRACT(FORMULATEXT(D1189),""center=([-0-9.]+,[-0-9.]+)"")"),"#N/A")</f>
        <v>#N/A</v>
      </c>
    </row>
    <row r="1190">
      <c r="A1190" s="1" t="s">
        <v>1193</v>
      </c>
      <c r="B1190" s="1" t="s">
        <v>1101</v>
      </c>
      <c r="C1190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  <c r="E1190" t="str">
        <f>IFERROR(__xludf.DUMMYFUNCTION("REGEXEXTRACT(FORMULATEXT(D1190),""center=([-0-9.]+,[-0-9.]+)"")"),"#N/A")</f>
        <v>#N/A</v>
      </c>
    </row>
    <row r="1191">
      <c r="A1191" s="1" t="s">
        <v>1194</v>
      </c>
      <c r="B1191" s="1" t="s">
        <v>1101</v>
      </c>
      <c r="C1191" s="2" t="str">
        <f>HYPERLINK("http://4sq.com/ceGBga","สวนสุขภาพ มช. ")</f>
        <v>สวนสุขภาพ มช. </v>
      </c>
      <c r="E1191" t="str">
        <f>IFERROR(__xludf.DUMMYFUNCTION("REGEXEXTRACT(FORMULATEXT(D1191),""center=([-0-9.]+,[-0-9.]+)"")"),"#N/A")</f>
        <v>#N/A</v>
      </c>
    </row>
    <row r="1192">
      <c r="A1192" s="1" t="s">
        <v>1195</v>
      </c>
      <c r="B1192" s="1" t="s">
        <v>1101</v>
      </c>
      <c r="C1192" s="2" t="str">
        <f>HYPERLINK("http://4sq.com/ddc64z","Bake &amp; Bite ")</f>
        <v>Bake &amp; Bite </v>
      </c>
      <c r="E1192" t="str">
        <f>IFERROR(__xludf.DUMMYFUNCTION("REGEXEXTRACT(FORMULATEXT(D1192),""center=([-0-9.]+,[-0-9.]+)"")"),"#N/A")</f>
        <v>#N/A</v>
      </c>
    </row>
    <row r="1193">
      <c r="A1193" s="1" t="s">
        <v>1196</v>
      </c>
      <c r="B1193" s="1" t="s">
        <v>1101</v>
      </c>
      <c r="C1193" s="2" t="str">
        <f>HYPERLINK("http://4sq.com/hInNp6","Esso (เอสโซ่) ")</f>
        <v>Esso (เอสโซ่) </v>
      </c>
      <c r="E1193" t="str">
        <f>IFERROR(__xludf.DUMMYFUNCTION("REGEXEXTRACT(FORMULATEXT(D1193),""center=([-0-9.]+,[-0-9.]+)"")"),"#N/A")</f>
        <v>#N/A</v>
      </c>
    </row>
    <row r="1194">
      <c r="A1194" s="1" t="s">
        <v>1197</v>
      </c>
      <c r="B1194" s="1" t="s">
        <v>1101</v>
      </c>
      <c r="C1194" s="2" t="str">
        <f>HYPERLINK("http://4sq.com/1Jlq1Sh","Baan Salad ")</f>
        <v>Baan Salad </v>
      </c>
      <c r="E1194" t="str">
        <f>IFERROR(__xludf.DUMMYFUNCTION("REGEXEXTRACT(FORMULATEXT(D1194),""center=([-0-9.]+,[-0-9.]+)"")"),"#N/A")</f>
        <v>#N/A</v>
      </c>
    </row>
    <row r="1195">
      <c r="A1195" s="1" t="s">
        <v>1198</v>
      </c>
      <c r="B1195" s="1" t="s">
        <v>1101</v>
      </c>
      <c r="C1195" s="2" t="str">
        <f>HYPERLINK("http://4sq.com/1glAL7r","The Duke's MAYA ")</f>
        <v>The Duke's MAYA </v>
      </c>
      <c r="E1195" t="str">
        <f>IFERROR(__xludf.DUMMYFUNCTION("REGEXEXTRACT(FORMULATEXT(D1195),""center=([-0-9.]+,[-0-9.]+)"")"),"#N/A")</f>
        <v>#N/A</v>
      </c>
    </row>
    <row r="1196">
      <c r="A1196" s="1" t="s">
        <v>1199</v>
      </c>
      <c r="B1196" s="1" t="s">
        <v>1101</v>
      </c>
      <c r="C1196" s="2" t="str">
        <f>HYPERLINK("http://4sq.com/19MFNPc","baan&amp;BEYOND Home Department Store (บ้านแอนด์บียอนด์) ")</f>
        <v>baan&amp;BEYOND Home Department Store (บ้านแอนด์บียอนด์) </v>
      </c>
      <c r="E1196" t="str">
        <f>IFERROR(__xludf.DUMMYFUNCTION("REGEXEXTRACT(FORMULATEXT(D1196),""center=([-0-9.]+,[-0-9.]+)"")"),"#N/A")</f>
        <v>#N/A</v>
      </c>
    </row>
    <row r="1197">
      <c r="A1197" s="1" t="s">
        <v>1200</v>
      </c>
      <c r="B1197" s="1" t="s">
        <v>1101</v>
      </c>
      <c r="C1197" s="2" t="str">
        <f>HYPERLINK("http://4sq.com/I28LVE","Café de Oasis (คาเฟ่ เดอ โอเอซิส) ")</f>
        <v>Café de Oasis (คาเฟ่ เดอ โอเอซิส) </v>
      </c>
      <c r="E1197" t="str">
        <f>IFERROR(__xludf.DUMMYFUNCTION("REGEXEXTRACT(FORMULATEXT(D1197),""center=([-0-9.]+,[-0-9.]+)"")"),"#N/A")</f>
        <v>#N/A</v>
      </c>
    </row>
    <row r="1198">
      <c r="A1198" s="1" t="s">
        <v>1201</v>
      </c>
      <c r="B1198" s="1" t="s">
        <v>1101</v>
      </c>
      <c r="C1198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198" t="str">
        <f>IFERROR(__xludf.DUMMYFUNCTION("REGEXEXTRACT(FORMULATEXT(D1198),""center=([-0-9.]+,[-0-9.]+)"")"),"#N/A")</f>
        <v>#N/A</v>
      </c>
    </row>
    <row r="1199">
      <c r="A1199" s="1" t="s">
        <v>1202</v>
      </c>
      <c r="B1199" s="1" t="s">
        <v>1101</v>
      </c>
      <c r="C1199" s="2" t="str">
        <f>HYPERLINK("http://4sq.com/1eCpkTQ","MAYA (เมญ่า) ")</f>
        <v>MAYA (เมญ่า) </v>
      </c>
      <c r="E1199" t="str">
        <f>IFERROR(__xludf.DUMMYFUNCTION("REGEXEXTRACT(FORMULATEXT(D1199),""center=([-0-9.]+,[-0-9.]+)"")"),"#N/A")</f>
        <v>#N/A</v>
      </c>
    </row>
    <row r="1200">
      <c r="A1200" s="1" t="s">
        <v>1203</v>
      </c>
      <c r="B1200" s="1" t="s">
        <v>1101</v>
      </c>
      <c r="C1200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200" t="str">
        <f>IFERROR(__xludf.DUMMYFUNCTION("REGEXEXTRACT(FORMULATEXT(D1200),""center=([-0-9.]+,[-0-9.]+)"")"),"#N/A")</f>
        <v>#N/A</v>
      </c>
    </row>
    <row r="1201">
      <c r="A1201" s="1" t="s">
        <v>1203</v>
      </c>
      <c r="B1201" s="1" t="s">
        <v>1101</v>
      </c>
      <c r="C1201" s="2" t="str">
        <f>HYPERLINK("http://4sq.com/1JMJibe","Chiang Mai Immigration One Stop Service ")</f>
        <v>Chiang Mai Immigration One Stop Service </v>
      </c>
      <c r="E1201" t="str">
        <f>IFERROR(__xludf.DUMMYFUNCTION("REGEXEXTRACT(FORMULATEXT(D1201),""center=([-0-9.]+,[-0-9.]+)"")"),"#N/A")</f>
        <v>#N/A</v>
      </c>
    </row>
    <row r="1202">
      <c r="A1202" s="1" t="s">
        <v>1204</v>
      </c>
      <c r="B1202" s="1" t="s">
        <v>1101</v>
      </c>
      <c r="C1202" s="2" t="str">
        <f>HYPERLINK("http://4sq.com/14sMtCZ","Kellys Fish &amp; Chips ")</f>
        <v>Kellys Fish &amp; Chips </v>
      </c>
      <c r="E1202" t="str">
        <f>IFERROR(__xludf.DUMMYFUNCTION("REGEXEXTRACT(FORMULATEXT(D1202),""center=([-0-9.]+,[-0-9.]+)"")"),"#N/A")</f>
        <v>#N/A</v>
      </c>
    </row>
    <row r="1203">
      <c r="A1203" s="1" t="s">
        <v>1205</v>
      </c>
      <c r="B1203" s="1" t="s">
        <v>1101</v>
      </c>
      <c r="C1203" s="2" t="str">
        <f>HYPERLINK("http://4sq.com/hFpDnQ","ชมดอยคอนโด (ตึกเหลี่ยม) ")</f>
        <v>ชมดอยคอนโด (ตึกเหลี่ยม) </v>
      </c>
      <c r="E1203" t="str">
        <f>IFERROR(__xludf.DUMMYFUNCTION("REGEXEXTRACT(FORMULATEXT(D1203),""center=([-0-9.]+,[-0-9.]+)"")"),"#N/A")</f>
        <v>#N/A</v>
      </c>
    </row>
    <row r="1204">
      <c r="A1204" s="1" t="s">
        <v>1206</v>
      </c>
      <c r="B1204" s="1" t="s">
        <v>1101</v>
      </c>
      <c r="C1204" s="2" t="str">
        <f>HYPERLINK("http://4sq.com/1qbAToo","Myst | มิสท์ ")</f>
        <v>Myst | มิสท์ </v>
      </c>
      <c r="E1204" t="str">
        <f>IFERROR(__xludf.DUMMYFUNCTION("REGEXEXTRACT(FORMULATEXT(D1204),""center=([-0-9.]+,[-0-9.]+)"")"),"#N/A")</f>
        <v>#N/A</v>
      </c>
    </row>
    <row r="1205">
      <c r="A1205" s="1" t="s">
        <v>1207</v>
      </c>
      <c r="B1205" s="1" t="s">
        <v>1101</v>
      </c>
      <c r="C1205" s="2" t="str">
        <f>HYPERLINK("http://4sq.com/crBVSU","인천국제공항 (Incheon International Airport - ICN) ")</f>
        <v>인천국제공항 (Incheon International Airport - ICN) </v>
      </c>
      <c r="E1205" t="str">
        <f>IFERROR(__xludf.DUMMYFUNCTION("REGEXEXTRACT(FORMULATEXT(D1205),""center=([-0-9.]+,[-0-9.]+)"")"),"#N/A")</f>
        <v>#N/A</v>
      </c>
    </row>
    <row r="1206">
      <c r="A1206" s="1" t="s">
        <v>1208</v>
      </c>
      <c r="B1206" s="1" t="s">
        <v>1101</v>
      </c>
      <c r="C1206" s="2" t="str">
        <f>HYPERLINK("http://4sq.com/1ToZTm","Chicago O'Hare International Airport (ORD) ")</f>
        <v>Chicago O'Hare International Airport (ORD) </v>
      </c>
      <c r="E1206" t="str">
        <f>IFERROR(__xludf.DUMMYFUNCTION("REGEXEXTRACT(FORMULATEXT(D1206),""center=([-0-9.]+,[-0-9.]+)"")"),"#N/A")</f>
        <v>#N/A</v>
      </c>
    </row>
    <row r="1207">
      <c r="A1207" s="1" t="s">
        <v>1209</v>
      </c>
      <c r="B1207" s="1" t="s">
        <v>1101</v>
      </c>
      <c r="C1207" s="2" t="str">
        <f>HYPERLINK("http://4sq.com/56h9fn","General Mitchell International Airport (MKE) ")</f>
        <v>General Mitchell International Airport (MKE) </v>
      </c>
      <c r="E1207" t="str">
        <f>IFERROR(__xludf.DUMMYFUNCTION("REGEXEXTRACT(FORMULATEXT(D1207),""center=([-0-9.]+,[-0-9.]+)"")"),"#N/A")</f>
        <v>#N/A</v>
      </c>
    </row>
    <row r="1208">
      <c r="A1208" s="1" t="s">
        <v>1210</v>
      </c>
      <c r="B1208" s="1" t="s">
        <v>1101</v>
      </c>
      <c r="C1208" s="2" t="str">
        <f>HYPERLINK("http://4sq.com/935EIv","Panera Bread ")</f>
        <v>Panera Bread </v>
      </c>
      <c r="E1208" t="str">
        <f>IFERROR(__xludf.DUMMYFUNCTION("REGEXEXTRACT(FORMULATEXT(D1208),""center=([-0-9.]+,[-0-9.]+)"")"),"#N/A")</f>
        <v>#N/A</v>
      </c>
    </row>
    <row r="1209">
      <c r="A1209" s="1" t="s">
        <v>1211</v>
      </c>
      <c r="B1209" s="1" t="s">
        <v>1101</v>
      </c>
      <c r="C1209" s="2" t="str">
        <f>HYPERLINK("http://4sq.com/HvsprR","Bottom's Up  Boltonville, Wi ")</f>
        <v>Bottom's Up  Boltonville, Wi </v>
      </c>
      <c r="E1209" t="str">
        <f>IFERROR(__xludf.DUMMYFUNCTION("REGEXEXTRACT(FORMULATEXT(D1209),""center=([-0-9.]+,[-0-9.]+)"")"),"#N/A")</f>
        <v>#N/A</v>
      </c>
    </row>
    <row r="1210">
      <c r="A1210" s="1" t="s">
        <v>1212</v>
      </c>
      <c r="B1210" s="1" t="s">
        <v>1101</v>
      </c>
      <c r="C1210" s="2" t="str">
        <f>HYPERLINK("http://4sq.com/9CsjyQ","Coffee Corner ")</f>
        <v>Coffee Corner </v>
      </c>
      <c r="E1210" t="str">
        <f>IFERROR(__xludf.DUMMYFUNCTION("REGEXEXTRACT(FORMULATEXT(D1210),""center=([-0-9.]+,[-0-9.]+)"")"),"#N/A")</f>
        <v>#N/A</v>
      </c>
    </row>
    <row r="1211">
      <c r="A1211" s="1" t="s">
        <v>1213</v>
      </c>
      <c r="B1211" s="1" t="s">
        <v>1101</v>
      </c>
      <c r="C1211" s="2" t="str">
        <f>HYPERLINK("http://4sq.com/56h9fn","General Mitchell International Airport (MKE) ")</f>
        <v>General Mitchell International Airport (MKE) </v>
      </c>
      <c r="E1211" t="str">
        <f>IFERROR(__xludf.DUMMYFUNCTION("REGEXEXTRACT(FORMULATEXT(D1211),""center=([-0-9.]+,[-0-9.]+)"")"),"#N/A")</f>
        <v>#N/A</v>
      </c>
    </row>
    <row r="1212">
      <c r="A1212" s="1" t="s">
        <v>1214</v>
      </c>
      <c r="B1212" s="1" t="s">
        <v>1101</v>
      </c>
      <c r="C1212" s="2" t="str">
        <f>HYPERLINK("http://4sq.com/7k4nqU","Apple Store, Bayshore ")</f>
        <v>Apple Store, Bayshore </v>
      </c>
      <c r="E1212" t="str">
        <f>IFERROR(__xludf.DUMMYFUNCTION("REGEXEXTRACT(FORMULATEXT(D1212),""center=([-0-9.]+,[-0-9.]+)"")"),"#N/A")</f>
        <v>#N/A</v>
      </c>
    </row>
    <row r="1213">
      <c r="A1213" s="1" t="s">
        <v>1215</v>
      </c>
      <c r="B1213" s="1" t="s">
        <v>1101</v>
      </c>
      <c r="C1213" s="2" t="str">
        <f>HYPERLINK("http://4sq.com/9CsjyQ","Coffee Corner ")</f>
        <v>Coffee Corner </v>
      </c>
      <c r="E1213" t="str">
        <f>IFERROR(__xludf.DUMMYFUNCTION("REGEXEXTRACT(FORMULATEXT(D1213),""center=([-0-9.]+,[-0-9.]+)"")"),"#N/A")</f>
        <v>#N/A</v>
      </c>
    </row>
    <row r="1214">
      <c r="A1214" s="1" t="s">
        <v>1216</v>
      </c>
      <c r="B1214" s="1" t="s">
        <v>1101</v>
      </c>
      <c r="C1214" s="2" t="str">
        <f>HYPERLINK("http://4sq.com/kzVTUy","Kewaskum Public Library ")</f>
        <v>Kewaskum Public Library </v>
      </c>
      <c r="E1214" t="str">
        <f>IFERROR(__xludf.DUMMYFUNCTION("REGEXEXTRACT(FORMULATEXT(D1214),""center=([-0-9.]+,[-0-9.]+)"")"),"#N/A")</f>
        <v>#N/A</v>
      </c>
    </row>
    <row r="1215">
      <c r="A1215" s="1" t="s">
        <v>1217</v>
      </c>
      <c r="B1215" s="1" t="s">
        <v>1101</v>
      </c>
      <c r="C1215" s="2" t="str">
        <f>HYPERLINK("http://4sq.com/7A64Ra","Lambeau Field ")</f>
        <v>Lambeau Field </v>
      </c>
      <c r="E1215" t="str">
        <f>IFERROR(__xludf.DUMMYFUNCTION("REGEXEXTRACT(FORMULATEXT(D1215),""center=([-0-9.]+,[-0-9.]+)"")"),"#N/A")</f>
        <v>#N/A</v>
      </c>
    </row>
    <row r="1216">
      <c r="A1216" s="1" t="s">
        <v>1218</v>
      </c>
      <c r="B1216" s="1" t="s">
        <v>1101</v>
      </c>
      <c r="C1216" s="2" t="str">
        <f>HYPERLINK("http://4sq.com/cqK8r7","Motel 6 Green Bay ")</f>
        <v>Motel 6 Green Bay </v>
      </c>
      <c r="E1216" t="str">
        <f>IFERROR(__xludf.DUMMYFUNCTION("REGEXEXTRACT(FORMULATEXT(D1216),""center=([-0-9.]+,[-0-9.]+)"")"),"#N/A")</f>
        <v>#N/A</v>
      </c>
    </row>
    <row r="1217">
      <c r="A1217" s="1" t="s">
        <v>1219</v>
      </c>
      <c r="B1217" s="1" t="s">
        <v>1101</v>
      </c>
      <c r="C1217" s="2" t="str">
        <f>HYPERLINK("http://4sq.com/bb8J2t","Kaukauna Family Restaurant ")</f>
        <v>Kaukauna Family Restaurant </v>
      </c>
      <c r="E1217" t="str">
        <f>IFERROR(__xludf.DUMMYFUNCTION("REGEXEXTRACT(FORMULATEXT(D1217),""center=([-0-9.]+,[-0-9.]+)"")"),"#N/A")</f>
        <v>#N/A</v>
      </c>
    </row>
    <row r="1218">
      <c r="A1218" s="1" t="s">
        <v>1220</v>
      </c>
      <c r="B1218" s="1" t="s">
        <v>1101</v>
      </c>
      <c r="C1218" s="2" t="str">
        <f>HYPERLINK("http://4sq.com/98GZvi","Buffalo Wild Wings ")</f>
        <v>Buffalo Wild Wings </v>
      </c>
      <c r="E1218" t="str">
        <f>IFERROR(__xludf.DUMMYFUNCTION("REGEXEXTRACT(FORMULATEXT(D1218),""center=([-0-9.]+,[-0-9.]+)"")"),"#N/A")</f>
        <v>#N/A</v>
      </c>
    </row>
    <row r="1219">
      <c r="A1219" s="1" t="s">
        <v>1221</v>
      </c>
      <c r="B1219" s="1" t="s">
        <v>1101</v>
      </c>
      <c r="C1219" s="2" t="str">
        <f>HYPERLINK("http://4sq.com/kzVTUy","Kewaskum Public Library ")</f>
        <v>Kewaskum Public Library </v>
      </c>
      <c r="E1219" t="str">
        <f>IFERROR(__xludf.DUMMYFUNCTION("REGEXEXTRACT(FORMULATEXT(D1219),""center=([-0-9.]+,[-0-9.]+)"")"),"#N/A")</f>
        <v>#N/A</v>
      </c>
    </row>
    <row r="1220">
      <c r="A1220" s="1" t="s">
        <v>1222</v>
      </c>
      <c r="B1220" s="1" t="s">
        <v>1101</v>
      </c>
      <c r="C1220" s="2" t="str">
        <f>HYPERLINK("http://4sq.com/aZ0tFV","Culver's ")</f>
        <v>Culver's </v>
      </c>
      <c r="E1220" t="str">
        <f>IFERROR(__xludf.DUMMYFUNCTION("REGEXEXTRACT(FORMULATEXT(D1220),""center=([-0-9.]+,[-0-9.]+)"")"),"#N/A")</f>
        <v>#N/A</v>
      </c>
    </row>
    <row r="1221">
      <c r="A1221" s="1" t="s">
        <v>1223</v>
      </c>
      <c r="B1221" s="1" t="s">
        <v>1101</v>
      </c>
      <c r="C1221" s="2" t="str">
        <f>HYPERLINK("http://4sq.com/kzVTUy","Kewaskum Public Library ")</f>
        <v>Kewaskum Public Library </v>
      </c>
      <c r="E1221" t="str">
        <f>IFERROR(__xludf.DUMMYFUNCTION("REGEXEXTRACT(FORMULATEXT(D1221),""center=([-0-9.]+,[-0-9.]+)"")"),"#N/A")</f>
        <v>#N/A</v>
      </c>
    </row>
    <row r="1222">
      <c r="A1222" s="1" t="s">
        <v>1224</v>
      </c>
      <c r="B1222" s="1" t="s">
        <v>1101</v>
      </c>
      <c r="C1222" s="2" t="str">
        <f>HYPERLINK("http://4sq.com/6Wqjgb","La Chimenea ")</f>
        <v>La Chimenea </v>
      </c>
      <c r="E1222" t="str">
        <f>IFERROR(__xludf.DUMMYFUNCTION("REGEXEXTRACT(FORMULATEXT(D1222),""center=([-0-9.]+,[-0-9.]+)"")"),"#N/A")</f>
        <v>#N/A</v>
      </c>
    </row>
    <row r="1223">
      <c r="A1223" s="1" t="s">
        <v>1225</v>
      </c>
      <c r="B1223" s="1" t="s">
        <v>1101</v>
      </c>
      <c r="C1223" s="2" t="str">
        <f>HYPERLINK("http://4sq.com/9EzTA0","Holiday Inn Hotel &amp; Suites Milwaukee Airport ")</f>
        <v>Holiday Inn Hotel &amp; Suites Milwaukee Airport </v>
      </c>
      <c r="E1223" t="str">
        <f>IFERROR(__xludf.DUMMYFUNCTION("REGEXEXTRACT(FORMULATEXT(D1223),""center=([-0-9.]+,[-0-9.]+)"")"),"#N/A")</f>
        <v>#N/A</v>
      </c>
    </row>
    <row r="1224">
      <c r="A1224" s="1" t="s">
        <v>1226</v>
      </c>
      <c r="B1224" s="1" t="s">
        <v>1101</v>
      </c>
      <c r="C1224" s="2" t="str">
        <f>HYPERLINK("http://4sq.com/crBVSU","인천국제공항 (Incheon International Airport - ICN) ")</f>
        <v>인천국제공항 (Incheon International Airport - ICN) </v>
      </c>
      <c r="E1224" t="str">
        <f>IFERROR(__xludf.DUMMYFUNCTION("REGEXEXTRACT(FORMULATEXT(D1224),""center=([-0-9.]+,[-0-9.]+)"")"),"#N/A")</f>
        <v>#N/A</v>
      </c>
    </row>
    <row r="1225">
      <c r="A1225" s="1" t="s">
        <v>1227</v>
      </c>
      <c r="B1225" s="1" t="s">
        <v>1101</v>
      </c>
      <c r="C122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225" t="str">
        <f>IFERROR(__xludf.DUMMYFUNCTION("REGEXEXTRACT(FORMULATEXT(D1225),""center=([-0-9.]+,[-0-9.]+)"")"),"#N/A")</f>
        <v>#N/A</v>
      </c>
    </row>
    <row r="1226">
      <c r="A1226" s="1" t="s">
        <v>1228</v>
      </c>
      <c r="B1226" s="1" t="s">
        <v>1101</v>
      </c>
      <c r="C1226" s="2" t="str">
        <f>HYPERLINK("http://4sq.com/1glAL7r","The Duke's ")</f>
        <v>The Duke's </v>
      </c>
      <c r="E1226" t="str">
        <f>IFERROR(__xludf.DUMMYFUNCTION("REGEXEXTRACT(FORMULATEXT(D1226),""center=([-0-9.]+,[-0-9.]+)"")"),"#N/A")</f>
        <v>#N/A</v>
      </c>
    </row>
    <row r="1227">
      <c r="A1227" s="1" t="s">
        <v>1229</v>
      </c>
      <c r="B1227" s="1" t="s">
        <v>1101</v>
      </c>
      <c r="C1227" s="2" t="str">
        <f>HYPERLINK("http://4sq.com/1x7bNOu","ร้านข้าวซอยแม่นาย ")</f>
        <v>ร้านข้าวซอยแม่นาย </v>
      </c>
      <c r="E1227" t="str">
        <f>IFERROR(__xludf.DUMMYFUNCTION("REGEXEXTRACT(FORMULATEXT(D1227),""center=([-0-9.]+,[-0-9.]+)"")"),"#N/A")</f>
        <v>#N/A</v>
      </c>
    </row>
    <row r="1228">
      <c r="A1228" s="1" t="s">
        <v>1230</v>
      </c>
      <c r="B1228" s="1" t="s">
        <v>1101</v>
      </c>
      <c r="C1228" s="2" t="str">
        <f>HYPERLINK("http://4sq.com/1GjmLUZ","Pizza Pasta by Simon ")</f>
        <v>Pizza Pasta by Simon </v>
      </c>
      <c r="E1228" t="str">
        <f>IFERROR(__xludf.DUMMYFUNCTION("REGEXEXTRACT(FORMULATEXT(D1228),""center=([-0-9.]+,[-0-9.]+)"")"),"#N/A")</f>
        <v>#N/A</v>
      </c>
    </row>
    <row r="1229">
      <c r="A1229" s="1" t="s">
        <v>1231</v>
      </c>
      <c r="B1229" s="1" t="s">
        <v>1101</v>
      </c>
      <c r="C1229" s="2" t="str">
        <f>HYPERLINK("http://4sq.com/1nqEUD6","Subway ")</f>
        <v>Subway </v>
      </c>
      <c r="E1229" t="str">
        <f>IFERROR(__xludf.DUMMYFUNCTION("REGEXEXTRACT(FORMULATEXT(D1229),""center=([-0-9.]+,[-0-9.]+)"")"),"#N/A")</f>
        <v>#N/A</v>
      </c>
    </row>
    <row r="1230">
      <c r="A1230" s="1" t="s">
        <v>1232</v>
      </c>
      <c r="B1230" s="1" t="s">
        <v>1101</v>
      </c>
      <c r="C1230" s="2" t="str">
        <f>HYPERLINK("http://4sq.com/1jCCPEP","Fuji (ฟูจิ) ")</f>
        <v>Fuji (ฟูจิ) </v>
      </c>
      <c r="E1230" t="str">
        <f>IFERROR(__xludf.DUMMYFUNCTION("REGEXEXTRACT(FORMULATEXT(D1230),""center=([-0-9.]+,[-0-9.]+)"")"),"#N/A")</f>
        <v>#N/A</v>
      </c>
    </row>
    <row r="1231">
      <c r="A1231" s="1" t="s">
        <v>1233</v>
      </c>
      <c r="B1231" s="1" t="s">
        <v>1101</v>
      </c>
      <c r="C1231" s="2" t="str">
        <f>HYPERLINK("http://4sq.com/1CEqIhb","Big Daddy's Diner ")</f>
        <v>Big Daddy's Diner </v>
      </c>
      <c r="E1231" t="str">
        <f>IFERROR(__xludf.DUMMYFUNCTION("REGEXEXTRACT(FORMULATEXT(D1231),""center=([-0-9.]+,[-0-9.]+)"")"),"#N/A")</f>
        <v>#N/A</v>
      </c>
    </row>
    <row r="1232">
      <c r="A1232" s="1" t="s">
        <v>1234</v>
      </c>
      <c r="B1232" s="1" t="s">
        <v>1101</v>
      </c>
      <c r="C1232" s="2" t="str">
        <f>HYPERLINK("http://4sq.com/darGol","Global House (โกลบอลเฮ้าส์) ")</f>
        <v>Global House (โกลบอลเฮ้าส์) </v>
      </c>
      <c r="E1232" t="str">
        <f>IFERROR(__xludf.DUMMYFUNCTION("REGEXEXTRACT(FORMULATEXT(D1232),""center=([-0-9.]+,[-0-9.]+)"")"),"#N/A")</f>
        <v>#N/A</v>
      </c>
    </row>
    <row r="1233">
      <c r="A1233" s="1" t="s">
        <v>1235</v>
      </c>
      <c r="B1233" s="1" t="s">
        <v>1101</v>
      </c>
      <c r="C1233" s="2" t="str">
        <f>HYPERLINK("http://4sq.com/1GjmLUZ","Pizza Pasta by Simon ")</f>
        <v>Pizza Pasta by Simon </v>
      </c>
      <c r="E1233" t="str">
        <f>IFERROR(__xludf.DUMMYFUNCTION("REGEXEXTRACT(FORMULATEXT(D1233),""center=([-0-9.]+,[-0-9.]+)"")"),"#N/A")</f>
        <v>#N/A</v>
      </c>
    </row>
    <row r="1234">
      <c r="A1234" s="1" t="s">
        <v>1236</v>
      </c>
      <c r="B1234" s="1" t="s">
        <v>1101</v>
      </c>
      <c r="C1234" s="2" t="str">
        <f>HYPERLINK("http://4sq.com/1SF7Pp6","Simple ")</f>
        <v>Simple </v>
      </c>
      <c r="E1234" t="str">
        <f>IFERROR(__xludf.DUMMYFUNCTION("REGEXEXTRACT(FORMULATEXT(D1234),""center=([-0-9.]+,[-0-9.]+)"")"),"#N/A")</f>
        <v>#N/A</v>
      </c>
    </row>
    <row r="1235">
      <c r="A1235" s="1" t="s">
        <v>1237</v>
      </c>
      <c r="B1235" s="1" t="s">
        <v>1101</v>
      </c>
      <c r="C1235" s="2" t="str">
        <f>HYPERLINK("http://4sq.com/dECwkW","บางจาก แม่ริม ")</f>
        <v>บางจาก แม่ริม </v>
      </c>
      <c r="E1235" t="str">
        <f>IFERROR(__xludf.DUMMYFUNCTION("REGEXEXTRACT(FORMULATEXT(D1235),""center=([-0-9.]+,[-0-9.]+)"")"),"#N/A")</f>
        <v>#N/A</v>
      </c>
    </row>
    <row r="1236">
      <c r="A1236" s="1" t="s">
        <v>1238</v>
      </c>
      <c r="B1236" s="1" t="s">
        <v>1101</v>
      </c>
      <c r="C1236" s="2" t="str">
        <f>HYPERLINK("http://4sq.com/1EZfTgZ","pansawan ")</f>
        <v>pansawan </v>
      </c>
      <c r="E1236" t="str">
        <f>IFERROR(__xludf.DUMMYFUNCTION("REGEXEXTRACT(FORMULATEXT(D1236),""center=([-0-9.]+,[-0-9.]+)"")"),"#N/A")</f>
        <v>#N/A</v>
      </c>
    </row>
    <row r="1237">
      <c r="A1237" s="1" t="s">
        <v>1239</v>
      </c>
      <c r="B1237" s="1" t="s">
        <v>1101</v>
      </c>
      <c r="C1237" s="2" t="str">
        <f>HYPERLINK("http://4sq.com/1rCQT2C","Tiger Ted Café (ไทเกอร์ เท็ด คาเฟ่) ")</f>
        <v>Tiger Ted Café (ไทเกอร์ เท็ด คาเฟ่) </v>
      </c>
      <c r="E1237" t="str">
        <f>IFERROR(__xludf.DUMMYFUNCTION("REGEXEXTRACT(FORMULATEXT(D1237),""center=([-0-9.]+,[-0-9.]+)"")"),"#N/A")</f>
        <v>#N/A</v>
      </c>
    </row>
    <row r="1238">
      <c r="A1238" s="1" t="s">
        <v>1240</v>
      </c>
      <c r="B1238" s="1" t="s">
        <v>1101</v>
      </c>
      <c r="C1238" s="2" t="str">
        <f>HYPERLINK("http://4sq.com/1xhYLA6","D Condo Sign (ดีคอนโด ซายน์) ")</f>
        <v>D Condo Sign (ดีคอนโด ซายน์) </v>
      </c>
      <c r="E1238" t="str">
        <f>IFERROR(__xludf.DUMMYFUNCTION("REGEXEXTRACT(FORMULATEXT(D1238),""center=([-0-9.]+,[-0-9.]+)"")"),"#N/A")</f>
        <v>#N/A</v>
      </c>
    </row>
    <row r="1239">
      <c r="A1239" s="1" t="s">
        <v>1241</v>
      </c>
      <c r="B1239" s="1" t="s">
        <v>1101</v>
      </c>
      <c r="C1239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1239" t="str">
        <f>IFERROR(__xludf.DUMMYFUNCTION("REGEXEXTRACT(FORMULATEXT(D1239),""center=([-0-9.]+,[-0-9.]+)"")"),"#N/A")</f>
        <v>#N/A</v>
      </c>
    </row>
    <row r="1240">
      <c r="A1240" s="1" t="s">
        <v>1241</v>
      </c>
      <c r="B1240" s="1" t="s">
        <v>1101</v>
      </c>
      <c r="C1240" s="2" t="str">
        <f>HYPERLINK("http://4sq.com/1bIXpyD","Gloria Jean's (กลอเรีย จีนส์) ")</f>
        <v>Gloria Jean's (กลอเรีย จีนส์) </v>
      </c>
      <c r="E1240" t="str">
        <f>IFERROR(__xludf.DUMMYFUNCTION("REGEXEXTRACT(FORMULATEXT(D1240),""center=([-0-9.]+,[-0-9.]+)"")"),"#N/A")</f>
        <v>#N/A</v>
      </c>
    </row>
    <row r="1241">
      <c r="A1241" s="1" t="s">
        <v>1242</v>
      </c>
      <c r="B1241" s="1" t="s">
        <v>1101</v>
      </c>
      <c r="C1241" s="2" t="str">
        <f>HYPERLINK("http://4sq.com/1sQE853","Chic 39 ")</f>
        <v>Chic 39 </v>
      </c>
      <c r="E1241" t="str">
        <f>IFERROR(__xludf.DUMMYFUNCTION("REGEXEXTRACT(FORMULATEXT(D1241),""center=([-0-9.]+,[-0-9.]+)"")"),"#N/A")</f>
        <v>#N/A</v>
      </c>
    </row>
    <row r="1242">
      <c r="A1242" s="1" t="s">
        <v>1243</v>
      </c>
      <c r="B1242" s="1" t="s">
        <v>1101</v>
      </c>
      <c r="C1242" s="2" t="str">
        <f>HYPERLINK("http://4sq.com/I28LVE","Café de Oasis (คาเฟ่ เดอ โอเอซิส) ")</f>
        <v>Café de Oasis (คาเฟ่ เดอ โอเอซิส) </v>
      </c>
      <c r="E1242" t="str">
        <f>IFERROR(__xludf.DUMMYFUNCTION("REGEXEXTRACT(FORMULATEXT(D1242),""center=([-0-9.]+,[-0-9.]+)"")"),"#N/A")</f>
        <v>#N/A</v>
      </c>
    </row>
    <row r="1243">
      <c r="A1243" s="1" t="s">
        <v>1244</v>
      </c>
      <c r="B1243" s="1" t="s">
        <v>1101</v>
      </c>
      <c r="C1243" s="2" t="str">
        <f>HYPERLINK("http://4sq.com/llZ74P","HOME MALL ")</f>
        <v>HOME MALL </v>
      </c>
      <c r="E1243" t="str">
        <f>IFERROR(__xludf.DUMMYFUNCTION("REGEXEXTRACT(FORMULATEXT(D1243),""center=([-0-9.]+,[-0-9.]+)"")"),"#N/A")</f>
        <v>#N/A</v>
      </c>
    </row>
    <row r="1244">
      <c r="A1244" s="1" t="s">
        <v>1245</v>
      </c>
      <c r="B1244" s="1" t="s">
        <v>1101</v>
      </c>
      <c r="C1244" s="2" t="str">
        <f>HYPERLINK("http://4sq.com/aCCyTW","The Pub ")</f>
        <v>The Pub </v>
      </c>
      <c r="E1244" t="str">
        <f>IFERROR(__xludf.DUMMYFUNCTION("REGEXEXTRACT(FORMULATEXT(D1244),""center=([-0-9.]+,[-0-9.]+)"")"),"#N/A")</f>
        <v>#N/A</v>
      </c>
    </row>
    <row r="1245">
      <c r="A1245" s="1" t="s">
        <v>1246</v>
      </c>
      <c r="B1245" s="1" t="s">
        <v>1101</v>
      </c>
      <c r="C1245" s="2" t="str">
        <f>HYPERLINK("http://4sq.com/VuG5rl","Steak Of The Day ")</f>
        <v>Steak Of The Day </v>
      </c>
      <c r="E1245" t="str">
        <f>IFERROR(__xludf.DUMMYFUNCTION("REGEXEXTRACT(FORMULATEXT(D1245),""center=([-0-9.]+,[-0-9.]+)"")"),"#N/A")</f>
        <v>#N/A</v>
      </c>
    </row>
    <row r="1246">
      <c r="A1246" s="1" t="s">
        <v>1247</v>
      </c>
      <c r="B1246" s="1" t="s">
        <v>1101</v>
      </c>
      <c r="C1246" s="2" t="str">
        <f>HYPERLINK("http://4sq.com/1CEqIhb","Big Daddy's Diner ")</f>
        <v>Big Daddy's Diner </v>
      </c>
      <c r="E1246" t="str">
        <f>IFERROR(__xludf.DUMMYFUNCTION("REGEXEXTRACT(FORMULATEXT(D1246),""center=([-0-9.]+,[-0-9.]+)"")"),"#N/A")</f>
        <v>#N/A</v>
      </c>
    </row>
    <row r="1247">
      <c r="A1247" s="1" t="s">
        <v>1248</v>
      </c>
      <c r="B1247" s="1" t="s">
        <v>1101</v>
      </c>
      <c r="C1247" s="2" t="str">
        <f>HYPERLINK("http://4sq.com/IsHcQ1","Kamonraput Coffee &amp; Restaurant ")</f>
        <v>Kamonraput Coffee &amp; Restaurant </v>
      </c>
      <c r="E1247" t="str">
        <f>IFERROR(__xludf.DUMMYFUNCTION("REGEXEXTRACT(FORMULATEXT(D1247),""center=([-0-9.]+,[-0-9.]+)"")"),"#N/A")</f>
        <v>#N/A</v>
      </c>
    </row>
    <row r="1248">
      <c r="A1248" s="1" t="s">
        <v>1249</v>
      </c>
      <c r="B1248" s="1" t="s">
        <v>1250</v>
      </c>
      <c r="C1248" s="2" t="str">
        <f>HYPERLINK("http://4sq.com/1Q39bdy","Expedition Outfitters ")</f>
        <v>Expedition Outfitters </v>
      </c>
      <c r="E1248" t="str">
        <f>IFERROR(__xludf.DUMMYFUNCTION("REGEXEXTRACT(FORMULATEXT(D1248),""center=([-0-9.]+,[-0-9.]+)"")"),"#N/A")</f>
        <v>#N/A</v>
      </c>
    </row>
    <row r="1249">
      <c r="A1249" s="1" t="s">
        <v>1251</v>
      </c>
      <c r="B1249" s="1" t="s">
        <v>1101</v>
      </c>
      <c r="C1249" s="2" t="str">
        <f>HYPERLINK("http://4sq.com/1GjmLUZ","Pizza Pasta by Simon ")</f>
        <v>Pizza Pasta by Simon </v>
      </c>
      <c r="E1249" t="str">
        <f>IFERROR(__xludf.DUMMYFUNCTION("REGEXEXTRACT(FORMULATEXT(D1249),""center=([-0-9.]+,[-0-9.]+)"")"),"#N/A")</f>
        <v>#N/A</v>
      </c>
    </row>
    <row r="1250">
      <c r="A1250" s="1" t="s">
        <v>1252</v>
      </c>
      <c r="B1250" s="1" t="s">
        <v>1101</v>
      </c>
      <c r="C1250" s="2" t="str">
        <f>HYPERLINK("http://4sq.com/1rS89V1","Subway 24 Hrs. at Nimmanahaemind ")</f>
        <v>Subway 24 Hrs. at Nimmanahaemind </v>
      </c>
      <c r="E1250" t="str">
        <f>IFERROR(__xludf.DUMMYFUNCTION("REGEXEXTRACT(FORMULATEXT(D1250),""center=([-0-9.]+,[-0-9.]+)"")"),"#N/A")</f>
        <v>#N/A</v>
      </c>
    </row>
    <row r="1251">
      <c r="A1251" s="1" t="s">
        <v>1253</v>
      </c>
      <c r="B1251" s="1" t="s">
        <v>1101</v>
      </c>
      <c r="C1251" s="2" t="str">
        <f>HYPERLINK("http://4sq.com/eriJvZ","แม่ปั้นดิน พ่อทำสวน (Mae Pun Din &amp; Phor Tum Suan) ")</f>
        <v>แม่ปั้นดิน พ่อทำสวน (Mae Pun Din &amp; Phor Tum Suan) </v>
      </c>
      <c r="E1251" t="str">
        <f>IFERROR(__xludf.DUMMYFUNCTION("REGEXEXTRACT(FORMULATEXT(D1251),""center=([-0-9.]+,[-0-9.]+)"")"),"#N/A")</f>
        <v>#N/A</v>
      </c>
    </row>
    <row r="1252">
      <c r="A1252" s="1" t="s">
        <v>1254</v>
      </c>
      <c r="B1252" s="1" t="s">
        <v>1101</v>
      </c>
      <c r="C1252" s="2" t="str">
        <f>HYPERLINK("http://4sq.com/djBO50","ธนาคารกรุงเทพ (Bangkok Bank) ")</f>
        <v>ธนาคารกรุงเทพ (Bangkok Bank) </v>
      </c>
      <c r="E1252" t="str">
        <f>IFERROR(__xludf.DUMMYFUNCTION("REGEXEXTRACT(FORMULATEXT(D1252),""center=([-0-9.]+,[-0-9.]+)"")"),"#N/A")</f>
        <v>#N/A</v>
      </c>
    </row>
    <row r="1253">
      <c r="A1253" s="1" t="s">
        <v>1255</v>
      </c>
      <c r="B1253" s="1" t="s">
        <v>1101</v>
      </c>
      <c r="C1253" s="2" t="str">
        <f>HYPERLINK("http://4sq.com/9hH8Er","ตลาดคำเที่ยง (Kamtiang Market) ")</f>
        <v>ตลาดคำเที่ยง (Kamtiang Market) </v>
      </c>
      <c r="E1253" t="str">
        <f>IFERROR(__xludf.DUMMYFUNCTION("REGEXEXTRACT(FORMULATEXT(D1253),""center=([-0-9.]+,[-0-9.]+)"")"),"#N/A")</f>
        <v>#N/A</v>
      </c>
    </row>
    <row r="1254">
      <c r="A1254" s="1" t="s">
        <v>1256</v>
      </c>
      <c r="B1254" s="1" t="s">
        <v>1101</v>
      </c>
      <c r="C1254" s="2" t="str">
        <f>HYPERLINK("http://4sq.com/nbQ3ST","Blue Café by Coffee Blue (บลูคาเฟ่) ")</f>
        <v>Blue Café by Coffee Blue (บลูคาเฟ่) </v>
      </c>
      <c r="E1254" t="str">
        <f>IFERROR(__xludf.DUMMYFUNCTION("REGEXEXTRACT(FORMULATEXT(D1254),""center=([-0-9.]+,[-0-9.]+)"")"),"#N/A")</f>
        <v>#N/A</v>
      </c>
    </row>
    <row r="1255">
      <c r="A1255" s="1" t="s">
        <v>1257</v>
      </c>
      <c r="B1255" s="1" t="s">
        <v>1101</v>
      </c>
      <c r="C1255" s="2" t="str">
        <f>HYPERLINK("http://4sq.com/1GjmLUZ","Pizza Pasta by Simon ")</f>
        <v>Pizza Pasta by Simon </v>
      </c>
      <c r="E1255" t="str">
        <f>IFERROR(__xludf.DUMMYFUNCTION("REGEXEXTRACT(FORMULATEXT(D1255),""center=([-0-9.]+,[-0-9.]+)"")"),"#N/A")</f>
        <v>#N/A</v>
      </c>
    </row>
    <row r="1256">
      <c r="A1256" s="1" t="s">
        <v>1258</v>
      </c>
      <c r="B1256" s="1" t="s">
        <v>1101</v>
      </c>
      <c r="C1256" s="2" t="str">
        <f>HYPERLINK("http://4sq.com/anboVi","ISUZU Kow Yoo Hah Lampang ")</f>
        <v>ISUZU Kow Yoo Hah Lampang </v>
      </c>
      <c r="E1256" t="str">
        <f>IFERROR(__xludf.DUMMYFUNCTION("REGEXEXTRACT(FORMULATEXT(D1256),""center=([-0-9.]+,[-0-9.]+)"")"),"#N/A")</f>
        <v>#N/A</v>
      </c>
    </row>
    <row r="1257">
      <c r="A1257" s="1" t="s">
        <v>1259</v>
      </c>
      <c r="B1257" s="1" t="s">
        <v>1101</v>
      </c>
      <c r="C1257" s="2" t="str">
        <f>HYPERLINK("http://4sq.com/vPVPUa","Isuzu lampang ")</f>
        <v>Isuzu lampang </v>
      </c>
      <c r="E1257" t="str">
        <f>IFERROR(__xludf.DUMMYFUNCTION("REGEXEXTRACT(FORMULATEXT(D1257),""center=([-0-9.]+,[-0-9.]+)"")"),"#N/A")</f>
        <v>#N/A</v>
      </c>
    </row>
    <row r="1258">
      <c r="A1258" s="1" t="s">
        <v>1260</v>
      </c>
      <c r="B1258" s="1" t="s">
        <v>1101</v>
      </c>
      <c r="C1258" s="2" t="str">
        <f>HYPERLINK("http://4sq.com/ehUEnJ","สำนักงานขนส่งจ.ลำปาง ")</f>
        <v>สำนักงานขนส่งจ.ลำปาง </v>
      </c>
      <c r="E1258" t="str">
        <f>IFERROR(__xludf.DUMMYFUNCTION("REGEXEXTRACT(FORMULATEXT(D1258),""center=([-0-9.]+,[-0-9.]+)"")"),"#N/A")</f>
        <v>#N/A</v>
      </c>
    </row>
    <row r="1259">
      <c r="A1259" s="1" t="s">
        <v>1261</v>
      </c>
      <c r="B1259" s="1" t="s">
        <v>1101</v>
      </c>
      <c r="C1259" s="2" t="str">
        <f>HYPERLINK("http://foursquare.com/v/4cba4a5ed78f4688b50dbc73","PTIS International School (Prem) ")</f>
        <v>PTIS International School (Prem) </v>
      </c>
      <c r="E1259" t="str">
        <f>IFERROR(__xludf.DUMMYFUNCTION("REGEXEXTRACT(FORMULATEXT(D1259),""center=([-0-9.]+,[-0-9.]+)"")"),"#N/A")</f>
        <v>#N/A</v>
      </c>
    </row>
    <row r="1260">
      <c r="A1260" s="1" t="s">
        <v>1262</v>
      </c>
      <c r="B1260" s="1" t="s">
        <v>1101</v>
      </c>
      <c r="C1260" s="2" t="str">
        <f>HYPERLINK("http://4sq.com/myR2lB","Sala Café (ศาลากาแฟ) ")</f>
        <v>Sala Café (ศาลากาแฟ) </v>
      </c>
      <c r="E1260" t="str">
        <f>IFERROR(__xludf.DUMMYFUNCTION("REGEXEXTRACT(FORMULATEXT(D1260),""center=([-0-9.]+,[-0-9.]+)"")"),"#N/A")</f>
        <v>#N/A</v>
      </c>
    </row>
    <row r="1261">
      <c r="A1261" s="1" t="s">
        <v>1263</v>
      </c>
      <c r="B1261" s="1" t="s">
        <v>1101</v>
      </c>
      <c r="C1261" s="2" t="str">
        <f>HYPERLINK("http://4sq.com/1N5J1rj","Lan Sai Maejo ")</f>
        <v>Lan Sai Maejo </v>
      </c>
      <c r="E1261" t="str">
        <f>IFERROR(__xludf.DUMMYFUNCTION("REGEXEXTRACT(FORMULATEXT(D1261),""center=([-0-9.]+,[-0-9.]+)"")"),"#N/A")</f>
        <v>#N/A</v>
      </c>
    </row>
    <row r="1262">
      <c r="A1262" s="1" t="s">
        <v>1264</v>
      </c>
      <c r="B1262" s="1" t="s">
        <v>1101</v>
      </c>
      <c r="C1262" s="2" t="str">
        <f>HYPERLINK("http://4sq.com/1glAL7r","The Duke's ")</f>
        <v>The Duke's </v>
      </c>
      <c r="E1262" t="str">
        <f>IFERROR(__xludf.DUMMYFUNCTION("REGEXEXTRACT(FORMULATEXT(D1262),""center=([-0-9.]+,[-0-9.]+)"")"),"#N/A")</f>
        <v>#N/A</v>
      </c>
    </row>
    <row r="1263">
      <c r="A1263" s="1" t="s">
        <v>1265</v>
      </c>
      <c r="B1263" s="1" t="s">
        <v>1101</v>
      </c>
      <c r="C1263" s="2" t="str">
        <f>HYPERLINK("http://4sq.com/aCCyTW","The Pub ")</f>
        <v>The Pub </v>
      </c>
      <c r="E1263" t="str">
        <f>IFERROR(__xludf.DUMMYFUNCTION("REGEXEXTRACT(FORMULATEXT(D1263),""center=([-0-9.]+,[-0-9.]+)"")"),"#N/A")</f>
        <v>#N/A</v>
      </c>
    </row>
    <row r="1264">
      <c r="A1264" s="1" t="s">
        <v>1266</v>
      </c>
      <c r="B1264" s="1" t="s">
        <v>1101</v>
      </c>
      <c r="C1264" s="2" t="str">
        <f>HYPERLINK("http://4sq.com/eey04s","The Ring ")</f>
        <v>The Ring </v>
      </c>
      <c r="E1264" t="str">
        <f>IFERROR(__xludf.DUMMYFUNCTION("REGEXEXTRACT(FORMULATEXT(D1264),""center=([-0-9.]+,[-0-9.]+)"")"),"#N/A")</f>
        <v>#N/A</v>
      </c>
    </row>
    <row r="1265">
      <c r="A1265" s="1" t="s">
        <v>1267</v>
      </c>
      <c r="B1265" s="1" t="s">
        <v>1101</v>
      </c>
      <c r="C1265" s="2" t="str">
        <f>HYPERLINK("http://4sq.com/1pbmT3E","NIMMAN HILL ")</f>
        <v>NIMMAN HILL </v>
      </c>
      <c r="E1265" t="str">
        <f>IFERROR(__xludf.DUMMYFUNCTION("REGEXEXTRACT(FORMULATEXT(D1265),""center=([-0-9.]+,[-0-9.]+)"")"),"#N/A")</f>
        <v>#N/A</v>
      </c>
    </row>
    <row r="1266">
      <c r="A1266" s="1" t="s">
        <v>1268</v>
      </c>
      <c r="B1266" s="1" t="s">
        <v>1101</v>
      </c>
      <c r="C1266" s="2" t="str">
        <f>HYPERLINK("http://4sq.com/s56nDZ","ฝ้ายคำ โป่งแยง ")</f>
        <v>ฝ้ายคำ โป่งแยง </v>
      </c>
      <c r="E1266" t="str">
        <f>IFERROR(__xludf.DUMMYFUNCTION("REGEXEXTRACT(FORMULATEXT(D1266),""center=([-0-9.]+,[-0-9.]+)"")"),"#N/A")</f>
        <v>#N/A</v>
      </c>
    </row>
    <row r="1267">
      <c r="A1267" s="1" t="s">
        <v>1269</v>
      </c>
      <c r="B1267" s="1" t="s">
        <v>1101</v>
      </c>
      <c r="C1267" s="2" t="str">
        <f>HYPERLINK("http://4sq.com/9v5uys","ม่อนแจ่ม (Mon Cham) ")</f>
        <v>ม่อนแจ่ม (Mon Cham) </v>
      </c>
      <c r="E1267" t="str">
        <f>IFERROR(__xludf.DUMMYFUNCTION("REGEXEXTRACT(FORMULATEXT(D1267),""center=([-0-9.]+,[-0-9.]+)"")"),"#N/A")</f>
        <v>#N/A</v>
      </c>
    </row>
    <row r="1268">
      <c r="A1268" s="1" t="s">
        <v>1270</v>
      </c>
      <c r="B1268" s="1" t="s">
        <v>1101</v>
      </c>
      <c r="C1268" s="2" t="str">
        <f>HYPERLINK("http://4sq.com/1g8wZw0","สวนโอขิ สวนองุ่น ")</f>
        <v>สวนโอขิ สวนองุ่น </v>
      </c>
      <c r="E1268" t="str">
        <f>IFERROR(__xludf.DUMMYFUNCTION("REGEXEXTRACT(FORMULATEXT(D1268),""center=([-0-9.]+,[-0-9.]+)"")"),"#N/A")</f>
        <v>#N/A</v>
      </c>
    </row>
    <row r="1269">
      <c r="A1269" s="1" t="s">
        <v>1271</v>
      </c>
      <c r="B1269" s="1" t="s">
        <v>1101</v>
      </c>
      <c r="C1269" s="2" t="str">
        <f>HYPERLINK("http://4sq.com/ewh1Pv","Pop Car Rent 1985 ")</f>
        <v>Pop Car Rent 1985 </v>
      </c>
      <c r="E1269" t="str">
        <f>IFERROR(__xludf.DUMMYFUNCTION("REGEXEXTRACT(FORMULATEXT(D1269),""center=([-0-9.]+,[-0-9.]+)"")"),"#N/A")</f>
        <v>#N/A</v>
      </c>
    </row>
    <row r="1270">
      <c r="A1270" s="1" t="s">
        <v>1272</v>
      </c>
      <c r="B1270" s="1" t="s">
        <v>1101</v>
      </c>
      <c r="C1270" s="2" t="str">
        <f>HYPERLINK("http://4sq.com/9idjf3","John's Place ")</f>
        <v>John's Place </v>
      </c>
      <c r="E1270" t="str">
        <f>IFERROR(__xludf.DUMMYFUNCTION("REGEXEXTRACT(FORMULATEXT(D1270),""center=([-0-9.]+,[-0-9.]+)"")"),"#N/A")</f>
        <v>#N/A</v>
      </c>
    </row>
    <row r="1271">
      <c r="A1271" s="1" t="s">
        <v>1273</v>
      </c>
      <c r="B1271" s="1" t="s">
        <v>1101</v>
      </c>
      <c r="C127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271" t="str">
        <f>IFERROR(__xludf.DUMMYFUNCTION("REGEXEXTRACT(FORMULATEXT(D1271),""center=([-0-9.]+,[-0-9.]+)"")"),"#N/A")</f>
        <v>#N/A</v>
      </c>
    </row>
    <row r="1272">
      <c r="A1272" s="1" t="s">
        <v>1274</v>
      </c>
      <c r="B1272" s="1" t="s">
        <v>1101</v>
      </c>
      <c r="C1272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272" t="str">
        <f>IFERROR(__xludf.DUMMYFUNCTION("REGEXEXTRACT(FORMULATEXT(D1272),""center=([-0-9.]+,[-0-9.]+)"")"),"#N/A")</f>
        <v>#N/A</v>
      </c>
    </row>
    <row r="1273">
      <c r="A1273" s="1" t="s">
        <v>1275</v>
      </c>
      <c r="B1273" s="1" t="s">
        <v>1101</v>
      </c>
      <c r="C1273" s="2" t="str">
        <f>HYPERLINK("http://4sq.com/fqH930","Belle Grand Rama IX (เบลล์ แกรนด์ พระราม 9) ")</f>
        <v>Belle Grand Rama IX (เบลล์ แกรนด์ พระราม 9) </v>
      </c>
      <c r="E1273" t="str">
        <f>IFERROR(__xludf.DUMMYFUNCTION("REGEXEXTRACT(FORMULATEXT(D1273),""center=([-0-9.]+,[-0-9.]+)"")"),"#N/A")</f>
        <v>#N/A</v>
      </c>
    </row>
    <row r="1274">
      <c r="A1274" s="1" t="s">
        <v>1276</v>
      </c>
      <c r="B1274" s="1" t="s">
        <v>1101</v>
      </c>
      <c r="C1274" s="2" t="str">
        <f>HYPERLINK("http://4sq.com/JDAKvL","Mix Restaurant &amp; Bar ")</f>
        <v>Mix Restaurant &amp; Bar </v>
      </c>
      <c r="E1274" t="str">
        <f>IFERROR(__xludf.DUMMYFUNCTION("REGEXEXTRACT(FORMULATEXT(D1274),""center=([-0-9.]+,[-0-9.]+)"")"),"#N/A")</f>
        <v>#N/A</v>
      </c>
    </row>
    <row r="1275">
      <c r="A1275" s="1" t="s">
        <v>1277</v>
      </c>
      <c r="B1275" s="1" t="s">
        <v>1101</v>
      </c>
      <c r="C1275" s="2" t="str">
        <f>HYPERLINK("http://4sq.com/989PFv","BITEC (ศูนย์นิทรรศการและการประชุมไบเทค) ")</f>
        <v>BITEC (ศูนย์นิทรรศการและการประชุมไบเทค) </v>
      </c>
      <c r="E1275" t="str">
        <f>IFERROR(__xludf.DUMMYFUNCTION("REGEXEXTRACT(FORMULATEXT(D1275),""center=([-0-9.]+,[-0-9.]+)"")"),"#N/A")</f>
        <v>#N/A</v>
      </c>
    </row>
    <row r="1276">
      <c r="A1276" s="1" t="s">
        <v>1278</v>
      </c>
      <c r="B1276" s="1" t="s">
        <v>1101</v>
      </c>
      <c r="C1276" s="2" t="str">
        <f>HYPERLINK("http://4sq.com/fqH930","Belle Grand Rama IX (เบลล์ แกรนด์ พระราม 9) ")</f>
        <v>Belle Grand Rama IX (เบลล์ แกรนด์ พระราม 9) </v>
      </c>
      <c r="E1276" t="str">
        <f>IFERROR(__xludf.DUMMYFUNCTION("REGEXEXTRACT(FORMULATEXT(D1276),""center=([-0-9.]+,[-0-9.]+)"")"),"#N/A")</f>
        <v>#N/A</v>
      </c>
    </row>
    <row r="1277">
      <c r="A1277" s="1" t="s">
        <v>1279</v>
      </c>
      <c r="B1277" s="1" t="s">
        <v>1101</v>
      </c>
      <c r="C1277" s="2" t="str">
        <f>HYPERLINK("http://4sq.com/989PFv","BITEC (ศูนย์นิทรรศการและการประชุมไบเทค) ")</f>
        <v>BITEC (ศูนย์นิทรรศการและการประชุมไบเทค) </v>
      </c>
      <c r="E1277" t="str">
        <f>IFERROR(__xludf.DUMMYFUNCTION("REGEXEXTRACT(FORMULATEXT(D1277),""center=([-0-9.]+,[-0-9.]+)"")"),"#N/A")</f>
        <v>#N/A</v>
      </c>
    </row>
    <row r="1278">
      <c r="A1278" s="1" t="s">
        <v>1280</v>
      </c>
      <c r="B1278" s="1" t="s">
        <v>1101</v>
      </c>
      <c r="C1278" s="2" t="str">
        <f>HYPERLINK("http://4sq.com/aHJWRT","Four Points by Sheraton Bangkok, Sukhumvit 15 ")</f>
        <v>Four Points by Sheraton Bangkok, Sukhumvit 15 </v>
      </c>
      <c r="E1278" t="str">
        <f>IFERROR(__xludf.DUMMYFUNCTION("REGEXEXTRACT(FORMULATEXT(D1278),""center=([-0-9.]+,[-0-9.]+)"")"),"#N/A")</f>
        <v>#N/A</v>
      </c>
    </row>
    <row r="1279">
      <c r="A1279" s="1" t="s">
        <v>1281</v>
      </c>
      <c r="B1279" s="1" t="s">
        <v>1101</v>
      </c>
      <c r="C1279" s="2" t="str">
        <f>HYPERLINK("http://4sq.com/fqH930","Belle Grand Rama IX (เบลล์ แกรนด์ พระราม 9) ")</f>
        <v>Belle Grand Rama IX (เบลล์ แกรนด์ พระราม 9) </v>
      </c>
      <c r="E1279" t="str">
        <f>IFERROR(__xludf.DUMMYFUNCTION("REGEXEXTRACT(FORMULATEXT(D1279),""center=([-0-9.]+,[-0-9.]+)"")"),"#N/A")</f>
        <v>#N/A</v>
      </c>
    </row>
    <row r="1280">
      <c r="A1280" s="1" t="s">
        <v>1282</v>
      </c>
      <c r="B1280" s="1" t="s">
        <v>1101</v>
      </c>
      <c r="C1280" s="2" t="str">
        <f>HYPERLINK("http://4sq.com/dbOIev","Bangkok Patana School (โรงเรียนบางกอกพัฒนา) ")</f>
        <v>Bangkok Patana School (โรงเรียนบางกอกพัฒนา) </v>
      </c>
      <c r="E1280" t="str">
        <f>IFERROR(__xludf.DUMMYFUNCTION("REGEXEXTRACT(FORMULATEXT(D1280),""center=([-0-9.]+,[-0-9.]+)"")"),"#N/A")</f>
        <v>#N/A</v>
      </c>
    </row>
    <row r="1281">
      <c r="A1281" s="1" t="s">
        <v>1283</v>
      </c>
      <c r="B1281" s="1" t="s">
        <v>1101</v>
      </c>
      <c r="C1281" s="2" t="str">
        <f>HYPERLINK("http://4sq.com/1egrGGW","SWAY ")</f>
        <v>SWAY </v>
      </c>
      <c r="E1281" t="str">
        <f>IFERROR(__xludf.DUMMYFUNCTION("REGEXEXTRACT(FORMULATEXT(D1281),""center=([-0-9.]+,[-0-9.]+)"")"),"#N/A")</f>
        <v>#N/A</v>
      </c>
    </row>
    <row r="1282">
      <c r="A1282" s="1" t="s">
        <v>1284</v>
      </c>
      <c r="B1282" s="1" t="s">
        <v>1101</v>
      </c>
      <c r="C1282" s="2" t="str">
        <f>HYPERLINK("http://4sq.com/1GSAy7C","Nori's Bar ")</f>
        <v>Nori's Bar </v>
      </c>
      <c r="E1282" t="str">
        <f>IFERROR(__xludf.DUMMYFUNCTION("REGEXEXTRACT(FORMULATEXT(D1282),""center=([-0-9.]+,[-0-9.]+)"")"),"#N/A")</f>
        <v>#N/A</v>
      </c>
    </row>
    <row r="1283">
      <c r="A1283" s="1" t="s">
        <v>1285</v>
      </c>
      <c r="B1283" s="1" t="s">
        <v>1101</v>
      </c>
      <c r="C1283" s="2" t="str">
        <f>HYPERLINK("http://4sq.com/aVUyRr","Fortune Town (ฟอร์จูนทาวน์) ")</f>
        <v>Fortune Town (ฟอร์จูนทาวน์) </v>
      </c>
      <c r="E1283" t="str">
        <f>IFERROR(__xludf.DUMMYFUNCTION("REGEXEXTRACT(FORMULATEXT(D1283),""center=([-0-9.]+,[-0-9.]+)"")"),"#N/A")</f>
        <v>#N/A</v>
      </c>
    </row>
    <row r="1284">
      <c r="A1284" s="1" t="s">
        <v>1286</v>
      </c>
      <c r="B1284" s="1" t="s">
        <v>1101</v>
      </c>
      <c r="C128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284" t="str">
        <f>IFERROR(__xludf.DUMMYFUNCTION("REGEXEXTRACT(FORMULATEXT(D1284),""center=([-0-9.]+,[-0-9.]+)"")"),"#N/A")</f>
        <v>#N/A</v>
      </c>
    </row>
    <row r="1285">
      <c r="A1285" s="1" t="s">
        <v>1287</v>
      </c>
      <c r="B1285" s="1" t="s">
        <v>1101</v>
      </c>
      <c r="C1285" s="2" t="str">
        <f>HYPERLINK("http://4sq.com/apTk7R","Burger King (เบอร์เกอร์ คิง) ")</f>
        <v>Burger King (เบอร์เกอร์ คิง) </v>
      </c>
      <c r="E1285" t="str">
        <f>IFERROR(__xludf.DUMMYFUNCTION("REGEXEXTRACT(FORMULATEXT(D1285),""center=([-0-9.]+,[-0-9.]+)"")"),"#N/A")</f>
        <v>#N/A</v>
      </c>
    </row>
    <row r="1286">
      <c r="A1286" s="1" t="s">
        <v>1288</v>
      </c>
      <c r="B1286" s="1" t="s">
        <v>1101</v>
      </c>
      <c r="C1286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286" t="str">
        <f>IFERROR(__xludf.DUMMYFUNCTION("REGEXEXTRACT(FORMULATEXT(D1286),""center=([-0-9.]+,[-0-9.]+)"")"),"#N/A")</f>
        <v>#N/A</v>
      </c>
    </row>
    <row r="1287">
      <c r="A1287" s="1" t="s">
        <v>1289</v>
      </c>
      <c r="B1287" s="1" t="s">
        <v>1101</v>
      </c>
      <c r="C1287" s="2" t="str">
        <f>HYPERLINK("http://4sq.com/a6bcUk","Smoothie Blues ")</f>
        <v>Smoothie Blues </v>
      </c>
      <c r="E1287" t="str">
        <f>IFERROR(__xludf.DUMMYFUNCTION("REGEXEXTRACT(FORMULATEXT(D1287),""center=([-0-9.]+,[-0-9.]+)"")"),"#N/A")</f>
        <v>#N/A</v>
      </c>
    </row>
    <row r="1288">
      <c r="A1288" s="1" t="s">
        <v>1290</v>
      </c>
      <c r="B1288" s="1" t="s">
        <v>1101</v>
      </c>
      <c r="C1288" s="2" t="str">
        <f>HYPERLINK("http://4sq.com/dFAgUn","แม่ริมพลาซ่า (Maerim Plaza) ")</f>
        <v>แม่ริมพลาซ่า (Maerim Plaza) </v>
      </c>
      <c r="E1288" t="str">
        <f>IFERROR(__xludf.DUMMYFUNCTION("REGEXEXTRACT(FORMULATEXT(D1288),""center=([-0-9.]+,[-0-9.]+)"")"),"#N/A")</f>
        <v>#N/A</v>
      </c>
    </row>
    <row r="1289">
      <c r="A1289" s="1" t="s">
        <v>1291</v>
      </c>
      <c r="B1289" s="1" t="s">
        <v>1101</v>
      </c>
      <c r="C1289" s="2" t="str">
        <f>HYPERLINK("http://4sq.com/URdnBR","ม่อนวิวงาม ")</f>
        <v>ม่อนวิวงาม </v>
      </c>
      <c r="E1289" t="str">
        <f>IFERROR(__xludf.DUMMYFUNCTION("REGEXEXTRACT(FORMULATEXT(D1289),""center=([-0-9.]+,[-0-9.]+)"")"),"#N/A")</f>
        <v>#N/A</v>
      </c>
    </row>
    <row r="1290">
      <c r="A1290" s="1" t="s">
        <v>1292</v>
      </c>
      <c r="B1290" s="1" t="s">
        <v>1101</v>
      </c>
      <c r="C1290" s="2" t="str">
        <f>HYPERLINK("http://4sq.com/f5fmXA","Kireethara Boutique Resort ")</f>
        <v>Kireethara Boutique Resort </v>
      </c>
      <c r="E1290" t="str">
        <f>IFERROR(__xludf.DUMMYFUNCTION("REGEXEXTRACT(FORMULATEXT(D1290),""center=([-0-9.]+,[-0-9.]+)"")"),"#N/A")</f>
        <v>#N/A</v>
      </c>
    </row>
    <row r="1291">
      <c r="A1291" s="1" t="s">
        <v>1293</v>
      </c>
      <c r="B1291" s="1" t="s">
        <v>1101</v>
      </c>
      <c r="C1291" s="2" t="str">
        <f>HYPERLINK("http://4sq.com/bOhxum","Sibsan Resort &amp; Spa Maetaeng (สิบแสน รีสอร์ท แอนด์ สปา แม่แตง) ")</f>
        <v>Sibsan Resort &amp; Spa Maetaeng (สิบแสน รีสอร์ท แอนด์ สปา แม่แตง) </v>
      </c>
      <c r="E1291" t="str">
        <f>IFERROR(__xludf.DUMMYFUNCTION("REGEXEXTRACT(FORMULATEXT(D1291),""center=([-0-9.]+,[-0-9.]+)"")"),"#N/A")</f>
        <v>#N/A</v>
      </c>
    </row>
    <row r="1292">
      <c r="A1292" s="1" t="s">
        <v>1294</v>
      </c>
      <c r="B1292" s="1" t="s">
        <v>1101</v>
      </c>
      <c r="C1292" s="2" t="str">
        <f>HYPERLINK("http://4sq.com/QDtjYV","Rawee Waree Tower ")</f>
        <v>Rawee Waree Tower </v>
      </c>
      <c r="E1292" t="str">
        <f>IFERROR(__xludf.DUMMYFUNCTION("REGEXEXTRACT(FORMULATEXT(D1292),""center=([-0-9.]+,[-0-9.]+)"")"),"#N/A")</f>
        <v>#N/A</v>
      </c>
    </row>
    <row r="1293">
      <c r="A1293" s="1" t="s">
        <v>1295</v>
      </c>
      <c r="B1293" s="1" t="s">
        <v>1101</v>
      </c>
      <c r="C1293" s="2" t="str">
        <f>HYPERLINK("http://4sq.com/djBO50","ธนาคารกรุงเทพ (Bangkok Bank) ")</f>
        <v>ธนาคารกรุงเทพ (Bangkok Bank) </v>
      </c>
      <c r="E1293" t="str">
        <f>IFERROR(__xludf.DUMMYFUNCTION("REGEXEXTRACT(FORMULATEXT(D1293),""center=([-0-9.]+,[-0-9.]+)"")"),"#N/A")</f>
        <v>#N/A</v>
      </c>
    </row>
    <row r="1294">
      <c r="A1294" s="1" t="s">
        <v>1296</v>
      </c>
      <c r="B1294" s="1" t="s">
        <v>1101</v>
      </c>
      <c r="C1294" s="2" t="str">
        <f>HYPERLINK("http://4sq.com/hUz4k8","สำนักงานที่ดินจังหวัดเชียงใหม่ ")</f>
        <v>สำนักงานที่ดินจังหวัดเชียงใหม่ </v>
      </c>
      <c r="E1294" t="str">
        <f>IFERROR(__xludf.DUMMYFUNCTION("REGEXEXTRACT(FORMULATEXT(D1294),""center=([-0-9.]+,[-0-9.]+)"")"),"#N/A")</f>
        <v>#N/A</v>
      </c>
    </row>
    <row r="1295">
      <c r="A1295" s="1" t="s">
        <v>1297</v>
      </c>
      <c r="B1295" s="1" t="s">
        <v>1101</v>
      </c>
      <c r="C1295" s="2" t="str">
        <f>HYPERLINK("http://4sq.com/aCCyTW","The Pub ")</f>
        <v>The Pub </v>
      </c>
      <c r="E1295" t="str">
        <f>IFERROR(__xludf.DUMMYFUNCTION("REGEXEXTRACT(FORMULATEXT(D1295),""center=([-0-9.]+,[-0-9.]+)"")"),"#N/A")</f>
        <v>#N/A</v>
      </c>
    </row>
    <row r="1296">
      <c r="A1296" s="1" t="s">
        <v>1298</v>
      </c>
      <c r="B1296" s="1" t="s">
        <v>1101</v>
      </c>
      <c r="C1296" s="2" t="str">
        <f>HYPERLINK("http://4sq.com/9rHN1N","Jirung Health Village Resort Chiang Mai ")</f>
        <v>Jirung Health Village Resort Chiang Mai </v>
      </c>
      <c r="E1296" t="str">
        <f>IFERROR(__xludf.DUMMYFUNCTION("REGEXEXTRACT(FORMULATEXT(D1296),""center=([-0-9.]+,[-0-9.]+)"")"),"#N/A")</f>
        <v>#N/A</v>
      </c>
    </row>
    <row r="1297">
      <c r="A1297" s="1" t="s">
        <v>1299</v>
      </c>
      <c r="B1297" s="1" t="s">
        <v>1101</v>
      </c>
      <c r="C1297" s="2" t="str">
        <f>HYPERLINK("http://4sq.com/eVMMiP","NAP (Nimmanhaemin Art &amp; Design Promenade) ")</f>
        <v>NAP (Nimmanhaemin Art &amp; Design Promenade) </v>
      </c>
      <c r="E1297" t="str">
        <f>IFERROR(__xludf.DUMMYFUNCTION("REGEXEXTRACT(FORMULATEXT(D1297),""center=([-0-9.]+,[-0-9.]+)"")"),"#N/A")</f>
        <v>#N/A</v>
      </c>
    </row>
    <row r="1298">
      <c r="A1298" s="1" t="s">
        <v>1300</v>
      </c>
      <c r="B1298" s="1" t="s">
        <v>1101</v>
      </c>
      <c r="C1298" s="2" t="str">
        <f>HYPERLINK("http://4sq.com/b7UbPs","MIX (มิกซ์) ")</f>
        <v>MIX (มิกซ์) </v>
      </c>
      <c r="E1298" t="str">
        <f>IFERROR(__xludf.DUMMYFUNCTION("REGEXEXTRACT(FORMULATEXT(D1298),""center=([-0-9.]+,[-0-9.]+)"")"),"#N/A")</f>
        <v>#N/A</v>
      </c>
    </row>
    <row r="1299">
      <c r="A1299" s="1" t="s">
        <v>1301</v>
      </c>
      <c r="B1299" s="1" t="s">
        <v>1101</v>
      </c>
      <c r="C1299" s="2" t="str">
        <f>HYPERLINK("http://4sq.com/c8IJRP","ข้าวซอยลําดวน ฟ้าฮ่าม 2 (Khow Soi Lamduan Faharm) ")</f>
        <v>ข้าวซอยลําดวน ฟ้าฮ่าม 2 (Khow Soi Lamduan Faharm) </v>
      </c>
      <c r="E1299" t="str">
        <f>IFERROR(__xludf.DUMMYFUNCTION("REGEXEXTRACT(FORMULATEXT(D1299),""center=([-0-9.]+,[-0-9.]+)"")"),"#N/A")</f>
        <v>#N/A</v>
      </c>
    </row>
    <row r="1300">
      <c r="A1300" s="1" t="s">
        <v>1302</v>
      </c>
      <c r="B1300" s="1" t="s">
        <v>1101</v>
      </c>
      <c r="C1300" s="2" t="str">
        <f>HYPERLINK("http://4sq.com/9oQIxh","ศูนย์ราชการจังหวัดเชียงใหม่ ")</f>
        <v>ศูนย์ราชการจังหวัดเชียงใหม่ </v>
      </c>
      <c r="E1300" t="str">
        <f>IFERROR(__xludf.DUMMYFUNCTION("REGEXEXTRACT(FORMULATEXT(D1300),""center=([-0-9.]+,[-0-9.]+)"")"),"#N/A")</f>
        <v>#N/A</v>
      </c>
    </row>
    <row r="1301">
      <c r="A1301" s="1" t="s">
        <v>1303</v>
      </c>
      <c r="B1301" s="1" t="s">
        <v>1101</v>
      </c>
      <c r="C1301" s="2" t="str">
        <f>HYPERLINK("http://4sq.com/1PubsvN","SpiceRoads Cycle Tours ")</f>
        <v>SpiceRoads Cycle Tours </v>
      </c>
      <c r="E1301" t="str">
        <f>IFERROR(__xludf.DUMMYFUNCTION("REGEXEXTRACT(FORMULATEXT(D1301),""center=([-0-9.]+,[-0-9.]+)"")"),"#N/A")</f>
        <v>#N/A</v>
      </c>
    </row>
    <row r="1302">
      <c r="A1302" s="1" t="s">
        <v>1304</v>
      </c>
      <c r="B1302" s="1" t="s">
        <v>1305</v>
      </c>
      <c r="C1302" s="2" t="str">
        <f>HYPERLINK("http://4sq.com/batEOn","ศูนย์ประชุมและแสดงสินค้านานาชาติฯ (International Convention and Exhibition Centre) ")</f>
        <v>ศูนย์ประชุมและแสดงสินค้านานาชาติฯ (International Convention and Exhibition Centre) </v>
      </c>
      <c r="E1302" t="str">
        <f>IFERROR(__xludf.DUMMYFUNCTION("REGEXEXTRACT(FORMULATEXT(D1302),""center=([-0-9.]+,[-0-9.]+)"")"),"#N/A")</f>
        <v>#N/A</v>
      </c>
    </row>
    <row r="1303">
      <c r="A1303" s="1" t="s">
        <v>1306</v>
      </c>
      <c r="B1303" s="1" t="s">
        <v>1101</v>
      </c>
      <c r="C1303" s="2" t="str">
        <f>HYPERLINK("http://4sq.com/1GjmLUZ","Pizza Pasta by Simon ")</f>
        <v>Pizza Pasta by Simon </v>
      </c>
      <c r="E1303" t="str">
        <f>IFERROR(__xludf.DUMMYFUNCTION("REGEXEXTRACT(FORMULATEXT(D1303),""center=([-0-9.]+,[-0-9.]+)"")"),"#N/A")</f>
        <v>#N/A</v>
      </c>
    </row>
    <row r="1304">
      <c r="A1304" s="1" t="s">
        <v>1307</v>
      </c>
      <c r="B1304" s="1" t="s">
        <v>1101</v>
      </c>
      <c r="C1304" s="2" t="str">
        <f>HYPERLINK("http://4sq.com/1wWoVRN","T-Station Bar &amp; Restaurant ")</f>
        <v>T-Station Bar &amp; Restaurant </v>
      </c>
      <c r="E1304" t="str">
        <f>IFERROR(__xludf.DUMMYFUNCTION("REGEXEXTRACT(FORMULATEXT(D1304),""center=([-0-9.]+,[-0-9.]+)"")"),"#N/A")</f>
        <v>#N/A</v>
      </c>
    </row>
    <row r="1305">
      <c r="A1305" s="1" t="s">
        <v>1308</v>
      </c>
      <c r="B1305" s="1" t="s">
        <v>1309</v>
      </c>
      <c r="C1305" s="2" t="str">
        <f>HYPERLINK("http://4sq.com/1XAEsKt","AIS MAYA ")</f>
        <v>AIS MAYA </v>
      </c>
      <c r="E1305" t="str">
        <f>IFERROR(__xludf.DUMMYFUNCTION("REGEXEXTRACT(FORMULATEXT(D1305),""center=([-0-9.]+,[-0-9.]+)"")"),"#N/A")</f>
        <v>#N/A</v>
      </c>
    </row>
    <row r="1306">
      <c r="A1306" s="1" t="s">
        <v>1308</v>
      </c>
      <c r="B1306" s="1" t="s">
        <v>1101</v>
      </c>
      <c r="C1306" s="2" t="str">
        <f>HYPERLINK("http://4sq.com/1izVBv2","CoCoICHIBANYA (โคโค่อิฉิบันยะ) ")</f>
        <v>CoCoICHIBANYA (โคโค่อิฉิบันยะ) </v>
      </c>
      <c r="E1306" t="str">
        <f>IFERROR(__xludf.DUMMYFUNCTION("REGEXEXTRACT(FORMULATEXT(D1306),""center=([-0-9.]+,[-0-9.]+)"")"),"#N/A")</f>
        <v>#N/A</v>
      </c>
    </row>
    <row r="1307">
      <c r="A1307" s="1" t="s">
        <v>1310</v>
      </c>
      <c r="B1307" s="1" t="s">
        <v>1101</v>
      </c>
      <c r="C1307" s="2" t="str">
        <f>HYPERLINK("http://4sq.com/1sQE853","Chic 39 ")</f>
        <v>Chic 39 </v>
      </c>
      <c r="E1307" t="str">
        <f>IFERROR(__xludf.DUMMYFUNCTION("REGEXEXTRACT(FORMULATEXT(D1307),""center=([-0-9.]+,[-0-9.]+)"")"),"#N/A")</f>
        <v>#N/A</v>
      </c>
    </row>
    <row r="1308">
      <c r="A1308" s="1" t="s">
        <v>1311</v>
      </c>
      <c r="B1308" s="1" t="s">
        <v>1101</v>
      </c>
      <c r="C1308" s="2" t="str">
        <f>HYPERLINK("http://4sq.com/1Fdh640","Hong Fae / โฮง'แฟ ")</f>
        <v>Hong Fae / โฮง'แฟ </v>
      </c>
      <c r="E1308" t="str">
        <f>IFERROR(__xludf.DUMMYFUNCTION("REGEXEXTRACT(FORMULATEXT(D1308),""center=([-0-9.]+,[-0-9.]+)"")"),"#N/A")</f>
        <v>#N/A</v>
      </c>
    </row>
    <row r="1309">
      <c r="A1309" s="1" t="s">
        <v>1312</v>
      </c>
      <c r="B1309" s="1" t="s">
        <v>1101</v>
      </c>
      <c r="C1309" s="2" t="str">
        <f>HYPERLINK("http://4sq.com/1EZfTgZ","pansawan ")</f>
        <v>pansawan </v>
      </c>
      <c r="E1309" t="str">
        <f>IFERROR(__xludf.DUMMYFUNCTION("REGEXEXTRACT(FORMULATEXT(D1309),""center=([-0-9.]+,[-0-9.]+)"")"),"#N/A")</f>
        <v>#N/A</v>
      </c>
    </row>
    <row r="1310">
      <c r="A1310" s="1" t="s">
        <v>1313</v>
      </c>
      <c r="B1310" s="1" t="s">
        <v>1101</v>
      </c>
      <c r="C1310" s="2" t="str">
        <f>HYPERLINK("http://4sq.com/p3PHB2","NACHA COFFEE ")</f>
        <v>NACHA COFFEE </v>
      </c>
      <c r="E1310" t="str">
        <f>IFERROR(__xludf.DUMMYFUNCTION("REGEXEXTRACT(FORMULATEXT(D1310),""center=([-0-9.]+,[-0-9.]+)"")"),"#N/A")</f>
        <v>#N/A</v>
      </c>
    </row>
    <row r="1311">
      <c r="A1311" s="1" t="s">
        <v>1314</v>
      </c>
      <c r="B1311" s="1" t="s">
        <v>1101</v>
      </c>
      <c r="C1311" s="2" t="str">
        <f>HYPERLINK("http://4sq.com/cTCMbh","ปตท. (PTT Jiffy) ")</f>
        <v>ปตท. (PTT Jiffy) </v>
      </c>
      <c r="E1311" t="str">
        <f>IFERROR(__xludf.DUMMYFUNCTION("REGEXEXTRACT(FORMULATEXT(D1311),""center=([-0-9.]+,[-0-9.]+)"")"),"#N/A")</f>
        <v>#N/A</v>
      </c>
    </row>
    <row r="1312">
      <c r="A1312" s="1" t="s">
        <v>1315</v>
      </c>
      <c r="B1312" s="1" t="s">
        <v>1101</v>
      </c>
      <c r="C1312" s="2" t="str">
        <f>HYPERLINK("http://4sq.com/x3UlUu","San Pareni (ซาน พาเรนี) ")</f>
        <v>San Pareni (ซาน พาเรนี) </v>
      </c>
      <c r="E1312" t="str">
        <f>IFERROR(__xludf.DUMMYFUNCTION("REGEXEXTRACT(FORMULATEXT(D1312),""center=([-0-9.]+,[-0-9.]+)"")"),"#N/A")</f>
        <v>#N/A</v>
      </c>
    </row>
    <row r="1313">
      <c r="A1313" s="1" t="s">
        <v>1316</v>
      </c>
      <c r="B1313" s="1" t="s">
        <v>1101</v>
      </c>
      <c r="C1313" s="2" t="str">
        <f>HYPERLINK("http://4sq.com/1f1Floa","ริมปิง (Rimping Grocery) ")</f>
        <v>ริมปิง (Rimping Grocery) </v>
      </c>
      <c r="E1313" t="str">
        <f>IFERROR(__xludf.DUMMYFUNCTION("REGEXEXTRACT(FORMULATEXT(D1313),""center=([-0-9.]+,[-0-9.]+)"")"),"#N/A")</f>
        <v>#N/A</v>
      </c>
    </row>
    <row r="1314">
      <c r="A1314" s="1" t="s">
        <v>1317</v>
      </c>
      <c r="B1314" s="1" t="s">
        <v>1101</v>
      </c>
      <c r="C1314" s="2" t="str">
        <f>HYPERLINK("http://4sq.com/TqhHqQ","Nic's Restaurant &amp; Playground ")</f>
        <v>Nic's Restaurant &amp; Playground </v>
      </c>
      <c r="E1314" t="str">
        <f>IFERROR(__xludf.DUMMYFUNCTION("REGEXEXTRACT(FORMULATEXT(D1314),""center=([-0-9.]+,[-0-9.]+)"")"),"#N/A")</f>
        <v>#N/A</v>
      </c>
    </row>
    <row r="1315">
      <c r="A1315" s="1" t="s">
        <v>1318</v>
      </c>
      <c r="B1315" s="1" t="s">
        <v>1101</v>
      </c>
      <c r="C1315" s="2" t="str">
        <f>HYPERLINK("http://4sq.com/x3UlUu","San Pareni (ซาน พาเรนี) ")</f>
        <v>San Pareni (ซาน พาเรนี) </v>
      </c>
      <c r="E1315" t="str">
        <f>IFERROR(__xludf.DUMMYFUNCTION("REGEXEXTRACT(FORMULATEXT(D1315),""center=([-0-9.]+,[-0-9.]+)"")"),"#N/A")</f>
        <v>#N/A</v>
      </c>
    </row>
    <row r="1316">
      <c r="A1316" s="1" t="s">
        <v>1319</v>
      </c>
      <c r="B1316" s="1" t="s">
        <v>1101</v>
      </c>
      <c r="C1316" s="2" t="str">
        <f>HYPERLINK("http://4sq.com/1GjmLUZ","Pizza Pasta by Simon ")</f>
        <v>Pizza Pasta by Simon </v>
      </c>
      <c r="E1316" t="str">
        <f>IFERROR(__xludf.DUMMYFUNCTION("REGEXEXTRACT(FORMULATEXT(D1316),""center=([-0-9.]+,[-0-9.]+)"")"),"#N/A")</f>
        <v>#N/A</v>
      </c>
    </row>
    <row r="1317">
      <c r="A1317" s="1" t="s">
        <v>1320</v>
      </c>
      <c r="B1317" s="1" t="s">
        <v>1101</v>
      </c>
      <c r="C1317" s="2" t="str">
        <f>HYPERLINK("http://4sq.com/alGf7l","ปตท. (PTT) ")</f>
        <v>ปตท. (PTT) </v>
      </c>
      <c r="E1317" t="str">
        <f>IFERROR(__xludf.DUMMYFUNCTION("REGEXEXTRACT(FORMULATEXT(D1317),""center=([-0-9.]+,[-0-9.]+)"")"),"#N/A")</f>
        <v>#N/A</v>
      </c>
    </row>
    <row r="1318">
      <c r="A1318" s="1" t="s">
        <v>1321</v>
      </c>
      <c r="B1318" s="1" t="s">
        <v>1101</v>
      </c>
      <c r="C1318" s="2" t="str">
        <f>HYPERLINK("http://4sq.com/aUycgs","บ้านไร่ยามเย็น (Baan Rai Yarm Yen) ")</f>
        <v>บ้านไร่ยามเย็น (Baan Rai Yarm Yen) </v>
      </c>
      <c r="E1318" t="str">
        <f>IFERROR(__xludf.DUMMYFUNCTION("REGEXEXTRACT(FORMULATEXT(D1318),""center=([-0-9.]+,[-0-9.]+)"")"),"#N/A")</f>
        <v>#N/A</v>
      </c>
    </row>
    <row r="1319">
      <c r="A1319" s="1" t="s">
        <v>1322</v>
      </c>
      <c r="B1319" s="1" t="s">
        <v>1101</v>
      </c>
      <c r="C1319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1319" t="str">
        <f>IFERROR(__xludf.DUMMYFUNCTION("REGEXEXTRACT(FORMULATEXT(D1319),""center=([-0-9.]+,[-0-9.]+)"")"),"#N/A")</f>
        <v>#N/A</v>
      </c>
    </row>
    <row r="1320">
      <c r="A1320" s="1" t="s">
        <v>1323</v>
      </c>
      <c r="B1320" s="1" t="s">
        <v>1101</v>
      </c>
      <c r="C1320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320" t="str">
        <f>IFERROR(__xludf.DUMMYFUNCTION("REGEXEXTRACT(FORMULATEXT(D1320),""center=([-0-9.]+,[-0-9.]+)"")"),"#N/A")</f>
        <v>#N/A</v>
      </c>
    </row>
    <row r="1321">
      <c r="A1321" s="1" t="s">
        <v>1324</v>
      </c>
      <c r="B1321" s="1" t="s">
        <v>1101</v>
      </c>
      <c r="C1321" s="2" t="str">
        <f>HYPERLINK("http://4sq.com/1cJMZTp","The Duke's (เดอะดุ๊กส์) ")</f>
        <v>The Duke's (เดอะดุ๊กส์) </v>
      </c>
      <c r="E1321" t="str">
        <f>IFERROR(__xludf.DUMMYFUNCTION("REGEXEXTRACT(FORMULATEXT(D1321),""center=([-0-9.]+,[-0-9.]+)"")"),"#N/A")</f>
        <v>#N/A</v>
      </c>
    </row>
    <row r="1322">
      <c r="A1322" s="1" t="s">
        <v>1325</v>
      </c>
      <c r="B1322" s="1" t="s">
        <v>1101</v>
      </c>
      <c r="C1322" s="2" t="str">
        <f>HYPERLINK("http://4sq.com/1GjmLUZ","Pizza Pasta by Simon ")</f>
        <v>Pizza Pasta by Simon </v>
      </c>
      <c r="E1322" t="str">
        <f>IFERROR(__xludf.DUMMYFUNCTION("REGEXEXTRACT(FORMULATEXT(D1322),""center=([-0-9.]+,[-0-9.]+)"")"),"#N/A")</f>
        <v>#N/A</v>
      </c>
    </row>
    <row r="1323">
      <c r="A1323" s="1" t="s">
        <v>1326</v>
      </c>
      <c r="B1323" s="1" t="s">
        <v>1101</v>
      </c>
      <c r="C1323" s="2" t="str">
        <f>HYPERLINK("http://4sq.com/myR2lB","Sala Café (ศาลากาแฟ) ")</f>
        <v>Sala Café (ศาลากาแฟ) </v>
      </c>
      <c r="E1323" t="str">
        <f>IFERROR(__xludf.DUMMYFUNCTION("REGEXEXTRACT(FORMULATEXT(D1323),""center=([-0-9.]+,[-0-9.]+)"")"),"#N/A")</f>
        <v>#N/A</v>
      </c>
    </row>
    <row r="1324">
      <c r="A1324" s="1" t="s">
        <v>1327</v>
      </c>
      <c r="B1324" s="1" t="s">
        <v>1101</v>
      </c>
      <c r="C1324" s="2" t="str">
        <f>HYPERLINK("http://4sq.com/VuG5rl","Steak Of The Day ")</f>
        <v>Steak Of The Day </v>
      </c>
      <c r="E1324" t="str">
        <f>IFERROR(__xludf.DUMMYFUNCTION("REGEXEXTRACT(FORMULATEXT(D1324),""center=([-0-9.]+,[-0-9.]+)"")"),"#N/A")</f>
        <v>#N/A</v>
      </c>
    </row>
    <row r="1325">
      <c r="A1325" s="1" t="s">
        <v>1328</v>
      </c>
      <c r="B1325" s="1" t="s">
        <v>1101</v>
      </c>
      <c r="C1325" s="2" t="str">
        <f>HYPERLINK("http://4sq.com/1CEqIhb","Big Daddy's Diner ")</f>
        <v>Big Daddy's Diner </v>
      </c>
      <c r="E1325" t="str">
        <f>IFERROR(__xludf.DUMMYFUNCTION("REGEXEXTRACT(FORMULATEXT(D1325),""center=([-0-9.]+,[-0-9.]+)"")"),"#N/A")</f>
        <v>#N/A</v>
      </c>
    </row>
    <row r="1326">
      <c r="A1326" s="1" t="s">
        <v>1329</v>
      </c>
      <c r="B1326" s="1" t="s">
        <v>1101</v>
      </c>
      <c r="C1326" s="2" t="str">
        <f>HYPERLINK("http://4sq.com/dFAgUn","แม่ริมพลาซ่า (Maerim Plaza) ")</f>
        <v>แม่ริมพลาซ่า (Maerim Plaza) </v>
      </c>
      <c r="E1326" t="str">
        <f>IFERROR(__xludf.DUMMYFUNCTION("REGEXEXTRACT(FORMULATEXT(D1326),""center=([-0-9.]+,[-0-9.]+)"")"),"#N/A")</f>
        <v>#N/A</v>
      </c>
    </row>
    <row r="1327">
      <c r="A1327" s="1" t="s">
        <v>1330</v>
      </c>
      <c r="B1327" s="1" t="s">
        <v>1101</v>
      </c>
      <c r="C1327" s="2" t="str">
        <f>HYPERLINK("http://4sq.com/1HUrpXh","ข้าวซอยรสลำ ")</f>
        <v>ข้าวซอยรสลำ </v>
      </c>
      <c r="E1327" t="str">
        <f>IFERROR(__xludf.DUMMYFUNCTION("REGEXEXTRACT(FORMULATEXT(D1327),""center=([-0-9.]+,[-0-9.]+)"")"),"#N/A")</f>
        <v>#N/A</v>
      </c>
    </row>
    <row r="1328">
      <c r="A1328" s="1" t="s">
        <v>1331</v>
      </c>
      <c r="B1328" s="1" t="s">
        <v>1101</v>
      </c>
      <c r="C1328" s="2" t="str">
        <f>HYPERLINK("http://4sq.com/1uTcCs4","Local Cafe (คาเฟ่บ้านนอก) ")</f>
        <v>Local Cafe (คาเฟ่บ้านนอก) </v>
      </c>
      <c r="E1328" t="str">
        <f>IFERROR(__xludf.DUMMYFUNCTION("REGEXEXTRACT(FORMULATEXT(D1328),""center=([-0-9.]+,[-0-9.]+)"")"),"#N/A")</f>
        <v>#N/A</v>
      </c>
    </row>
    <row r="1329">
      <c r="A1329" s="1" t="s">
        <v>1332</v>
      </c>
      <c r="B1329" s="1" t="s">
        <v>1101</v>
      </c>
      <c r="C1329" s="2" t="str">
        <f>HYPERLINK("http://4sq.com/o3ZEdO","See Paak Restaurant ")</f>
        <v>See Paak Restaurant </v>
      </c>
      <c r="E1329" t="str">
        <f>IFERROR(__xludf.DUMMYFUNCTION("REGEXEXTRACT(FORMULATEXT(D1329),""center=([-0-9.]+,[-0-9.]+)"")"),"#N/A")</f>
        <v>#N/A</v>
      </c>
    </row>
    <row r="1330">
      <c r="A1330" s="1" t="s">
        <v>1333</v>
      </c>
      <c r="B1330" s="1" t="s">
        <v>1101</v>
      </c>
      <c r="C1330" s="2" t="str">
        <f>HYPERLINK("http://4sq.com/1bD7gWe","โรงพยาบาลกรุงเทพเชียงใหม่ (Bangkok Hospital Chiang Mai) ")</f>
        <v>โรงพยาบาลกรุงเทพเชียงใหม่ (Bangkok Hospital Chiang Mai) </v>
      </c>
      <c r="E1330" t="str">
        <f>IFERROR(__xludf.DUMMYFUNCTION("REGEXEXTRACT(FORMULATEXT(D1330),""center=([-0-9.]+,[-0-9.]+)"")"),"#N/A")</f>
        <v>#N/A</v>
      </c>
    </row>
    <row r="1331">
      <c r="A1331" s="1" t="s">
        <v>1334</v>
      </c>
      <c r="B1331" s="1" t="s">
        <v>1101</v>
      </c>
      <c r="C1331" s="2" t="str">
        <f>HYPERLINK("http://4sq.com/1nqEUD6","Subway ")</f>
        <v>Subway </v>
      </c>
      <c r="E1331" t="str">
        <f>IFERROR(__xludf.DUMMYFUNCTION("REGEXEXTRACT(FORMULATEXT(D1331),""center=([-0-9.]+,[-0-9.]+)"")"),"#N/A")</f>
        <v>#N/A</v>
      </c>
    </row>
    <row r="1332">
      <c r="A1332" s="1" t="s">
        <v>1335</v>
      </c>
      <c r="B1332" s="1" t="s">
        <v>1101</v>
      </c>
      <c r="C1332" s="2" t="str">
        <f>HYPERLINK("http://4sq.com/o3ZEdO","See Paak Restaurant ")</f>
        <v>See Paak Restaurant </v>
      </c>
      <c r="E1332" t="str">
        <f>IFERROR(__xludf.DUMMYFUNCTION("REGEXEXTRACT(FORMULATEXT(D1332),""center=([-0-9.]+,[-0-9.]+)"")"),"#N/A")</f>
        <v>#N/A</v>
      </c>
    </row>
    <row r="1333">
      <c r="A1333" s="1" t="s">
        <v>1336</v>
      </c>
      <c r="B1333" s="1" t="s">
        <v>1101</v>
      </c>
      <c r="C1333" s="2" t="str">
        <f>HYPERLINK("http://4sq.com/1bpS1ih","Major Cineplex (เมเจอร์ ซีนีเพล็กซ์) ")</f>
        <v>Major Cineplex (เมเจอร์ ซีนีเพล็กซ์) </v>
      </c>
      <c r="E1333" t="str">
        <f>IFERROR(__xludf.DUMMYFUNCTION("REGEXEXTRACT(FORMULATEXT(D1333),""center=([-0-9.]+,[-0-9.]+)"")"),"#N/A")</f>
        <v>#N/A</v>
      </c>
    </row>
    <row r="1334">
      <c r="A1334" s="1" t="s">
        <v>1337</v>
      </c>
      <c r="B1334" s="1" t="s">
        <v>1101</v>
      </c>
      <c r="C1334" s="2" t="str">
        <f>HYPERLINK("http://4sq.com/br00XB","Wing41 Air Force Base Headquater ")</f>
        <v>Wing41 Air Force Base Headquater </v>
      </c>
      <c r="E1334" t="str">
        <f>IFERROR(__xludf.DUMMYFUNCTION("REGEXEXTRACT(FORMULATEXT(D1334),""center=([-0-9.]+,[-0-9.]+)"")"),"#N/A")</f>
        <v>#N/A</v>
      </c>
    </row>
    <row r="1335">
      <c r="A1335" s="1" t="s">
        <v>1338</v>
      </c>
      <c r="B1335" s="1" t="s">
        <v>1101</v>
      </c>
      <c r="C133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335" t="str">
        <f>IFERROR(__xludf.DUMMYFUNCTION("REGEXEXTRACT(FORMULATEXT(D1335),""center=([-0-9.]+,[-0-9.]+)"")"),"#N/A")</f>
        <v>#N/A</v>
      </c>
    </row>
    <row r="1336">
      <c r="A1336" s="1" t="s">
        <v>1339</v>
      </c>
      <c r="B1336" s="1" t="s">
        <v>1101</v>
      </c>
      <c r="C1336" s="2" t="str">
        <f>HYPERLINK("http://4sq.com/1jCCPEP","Fuji (ฟูจิ) ")</f>
        <v>Fuji (ฟูจิ) </v>
      </c>
      <c r="E1336" t="str">
        <f>IFERROR(__xludf.DUMMYFUNCTION("REGEXEXTRACT(FORMULATEXT(D1336),""center=([-0-9.]+,[-0-9.]+)"")"),"#N/A")</f>
        <v>#N/A</v>
      </c>
    </row>
    <row r="1337">
      <c r="A1337" s="1" t="s">
        <v>1340</v>
      </c>
      <c r="B1337" s="1" t="s">
        <v>1101</v>
      </c>
      <c r="C1337" s="2" t="str">
        <f>HYPERLINK("http://4sq.com/eKzsNz","Chedi Sathan Temple ")</f>
        <v>Chedi Sathan Temple </v>
      </c>
      <c r="E1337" t="str">
        <f>IFERROR(__xludf.DUMMYFUNCTION("REGEXEXTRACT(FORMULATEXT(D1337),""center=([-0-9.]+,[-0-9.]+)"")"),"#N/A")</f>
        <v>#N/A</v>
      </c>
    </row>
    <row r="1338">
      <c r="A1338" s="1" t="s">
        <v>1341</v>
      </c>
      <c r="B1338" s="1" t="s">
        <v>1101</v>
      </c>
      <c r="C1338" s="2" t="str">
        <f>HYPERLINK("http://4sq.com/13qrSfI","Kaffee Bitte ")</f>
        <v>Kaffee Bitte </v>
      </c>
      <c r="E1338" t="str">
        <f>IFERROR(__xludf.DUMMYFUNCTION("REGEXEXTRACT(FORMULATEXT(D1338),""center=([-0-9.]+,[-0-9.]+)"")"),"#N/A")</f>
        <v>#N/A</v>
      </c>
    </row>
    <row r="1339">
      <c r="A1339" s="1" t="s">
        <v>1342</v>
      </c>
      <c r="B1339" s="1" t="s">
        <v>1101</v>
      </c>
      <c r="C1339" s="2" t="str">
        <f>HYPERLINK("http://4sq.com/1uTcCs4","Local Cafe (คาเฟ่บ้านนอก) ")</f>
        <v>Local Cafe (คาเฟ่บ้านนอก) </v>
      </c>
      <c r="E1339" t="str">
        <f>IFERROR(__xludf.DUMMYFUNCTION("REGEXEXTRACT(FORMULATEXT(D1339),""center=([-0-9.]+,[-0-9.]+)"")"),"#N/A")</f>
        <v>#N/A</v>
      </c>
    </row>
    <row r="1340">
      <c r="A1340" s="1" t="s">
        <v>1343</v>
      </c>
      <c r="B1340" s="1" t="s">
        <v>1101</v>
      </c>
      <c r="C1340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  <c r="E1340" t="str">
        <f>IFERROR(__xludf.DUMMYFUNCTION("REGEXEXTRACT(FORMULATEXT(D1340),""center=([-0-9.]+,[-0-9.]+)"")"),"#N/A")</f>
        <v>#N/A</v>
      </c>
    </row>
    <row r="1341">
      <c r="A1341" s="1" t="s">
        <v>1344</v>
      </c>
      <c r="B1341" s="1" t="s">
        <v>1101</v>
      </c>
      <c r="C1341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341" t="str">
        <f>IFERROR(__xludf.DUMMYFUNCTION("REGEXEXTRACT(FORMULATEXT(D1341),""center=([-0-9.]+,[-0-9.]+)"")"),"#N/A")</f>
        <v>#N/A</v>
      </c>
    </row>
    <row r="1342">
      <c r="A1342" s="1" t="s">
        <v>1345</v>
      </c>
      <c r="B1342" s="1" t="s">
        <v>1101</v>
      </c>
      <c r="C1342" s="2" t="str">
        <f>HYPERLINK("http://4sq.com/fqH930","Belle Grand Rama IX (เบลล์ แกรนด์ พระราม 9) ")</f>
        <v>Belle Grand Rama IX (เบลล์ แกรนด์ พระราม 9) </v>
      </c>
      <c r="E1342" t="str">
        <f>IFERROR(__xludf.DUMMYFUNCTION("REGEXEXTRACT(FORMULATEXT(D1342),""center=([-0-9.]+,[-0-9.]+)"")"),"#N/A")</f>
        <v>#N/A</v>
      </c>
    </row>
    <row r="1343">
      <c r="A1343" s="1" t="s">
        <v>1346</v>
      </c>
      <c r="B1343" s="1" t="s">
        <v>1101</v>
      </c>
      <c r="C1343" s="2" t="str">
        <f>HYPERLINK("http://4sq.com/JDAKvL","Mix Restaurant &amp; Bar ")</f>
        <v>Mix Restaurant &amp; Bar </v>
      </c>
      <c r="E1343" t="str">
        <f>IFERROR(__xludf.DUMMYFUNCTION("REGEXEXTRACT(FORMULATEXT(D1343),""center=([-0-9.]+,[-0-9.]+)"")"),"#N/A")</f>
        <v>#N/A</v>
      </c>
    </row>
    <row r="1344">
      <c r="A1344" s="1" t="s">
        <v>1347</v>
      </c>
      <c r="B1344" s="1" t="s">
        <v>1101</v>
      </c>
      <c r="C1344" s="2" t="str">
        <f>HYPERLINK("http://4sq.com/bAJ7ty","S&amp;P (เอสแอนด์พี) ")</f>
        <v>S&amp;P (เอสแอนด์พี) </v>
      </c>
      <c r="E1344" t="str">
        <f>IFERROR(__xludf.DUMMYFUNCTION("REGEXEXTRACT(FORMULATEXT(D1344),""center=([-0-9.]+,[-0-9.]+)"")"),"#N/A")</f>
        <v>#N/A</v>
      </c>
    </row>
    <row r="1345">
      <c r="A1345" s="1" t="s">
        <v>1348</v>
      </c>
      <c r="B1345" s="1" t="s">
        <v>1101</v>
      </c>
      <c r="C1345" s="2" t="str">
        <f>HYPERLINK("http://4sq.com/1frVFQV","Mango Villages ")</f>
        <v>Mango Villages </v>
      </c>
      <c r="E1345" t="str">
        <f>IFERROR(__xludf.DUMMYFUNCTION("REGEXEXTRACT(FORMULATEXT(D1345),""center=([-0-9.]+,[-0-9.]+)"")"),"#N/A")</f>
        <v>#N/A</v>
      </c>
    </row>
    <row r="1346">
      <c r="A1346" s="1" t="s">
        <v>1349</v>
      </c>
      <c r="B1346" s="1" t="s">
        <v>1101</v>
      </c>
      <c r="C1346" s="2" t="str">
        <f>HYPERLINK("http://4sq.com/MK0R4n","Fatty's Bar&amp;Diner ")</f>
        <v>Fatty's Bar&amp;Diner </v>
      </c>
      <c r="E1346" t="str">
        <f>IFERROR(__xludf.DUMMYFUNCTION("REGEXEXTRACT(FORMULATEXT(D1346),""center=([-0-9.]+,[-0-9.]+)"")"),"#N/A")</f>
        <v>#N/A</v>
      </c>
    </row>
    <row r="1347">
      <c r="A1347" s="1" t="s">
        <v>1350</v>
      </c>
      <c r="B1347" s="1" t="s">
        <v>1101</v>
      </c>
      <c r="C1347" s="2" t="str">
        <f>HYPERLINK("http://4sq.com/fqH930","Belle Grand Rama IX (เบลล์ แกรนด์ พระราม 9) ")</f>
        <v>Belle Grand Rama IX (เบลล์ แกรนด์ พระราม 9) </v>
      </c>
      <c r="E1347" t="str">
        <f>IFERROR(__xludf.DUMMYFUNCTION("REGEXEXTRACT(FORMULATEXT(D1347),""center=([-0-9.]+,[-0-9.]+)"")"),"#N/A")</f>
        <v>#N/A</v>
      </c>
    </row>
    <row r="1348">
      <c r="A1348" s="1" t="s">
        <v>1351</v>
      </c>
      <c r="B1348" s="1" t="s">
        <v>1101</v>
      </c>
      <c r="C1348" s="2" t="str">
        <f>HYPERLINK("http://4sq.com/l3OwxX","Angolo ")</f>
        <v>Angolo </v>
      </c>
      <c r="E1348" t="str">
        <f>IFERROR(__xludf.DUMMYFUNCTION("REGEXEXTRACT(FORMULATEXT(D1348),""center=([-0-9.]+,[-0-9.]+)"")"),"#N/A")</f>
        <v>#N/A</v>
      </c>
    </row>
    <row r="1349">
      <c r="A1349" s="1" t="s">
        <v>1352</v>
      </c>
      <c r="B1349" s="1" t="s">
        <v>1101</v>
      </c>
      <c r="C1349" s="2" t="str">
        <f>HYPERLINK("http://4sq.com/quP7dM","Smiling Albino ")</f>
        <v>Smiling Albino </v>
      </c>
      <c r="E1349" t="str">
        <f>IFERROR(__xludf.DUMMYFUNCTION("REGEXEXTRACT(FORMULATEXT(D1349),""center=([-0-9.]+,[-0-9.]+)"")"),"#N/A")</f>
        <v>#N/A</v>
      </c>
    </row>
    <row r="1350">
      <c r="A1350" s="1" t="s">
        <v>1353</v>
      </c>
      <c r="B1350" s="1" t="s">
        <v>1101</v>
      </c>
      <c r="C1350" s="2" t="str">
        <f>HYPERLINK("http://4sq.com/dbQ83j","Centurion park condo ")</f>
        <v>Centurion park condo </v>
      </c>
      <c r="E1350" t="str">
        <f>IFERROR(__xludf.DUMMYFUNCTION("REGEXEXTRACT(FORMULATEXT(D1350),""center=([-0-9.]+,[-0-9.]+)"")"),"#N/A")</f>
        <v>#N/A</v>
      </c>
    </row>
    <row r="1351">
      <c r="A1351" s="1" t="s">
        <v>1354</v>
      </c>
      <c r="B1351" s="1" t="s">
        <v>1101</v>
      </c>
      <c r="C1351" s="2" t="str">
        <f>HYPERLINK("http://4sq.com/9gfpYu","ครัวแม่ปัญญา By ศรีสุดา ")</f>
        <v>ครัวแม่ปัญญา By ศรีสุดา </v>
      </c>
      <c r="E1351" t="str">
        <f>IFERROR(__xludf.DUMMYFUNCTION("REGEXEXTRACT(FORMULATEXT(D1351),""center=([-0-9.]+,[-0-9.]+)"")"),"#N/A")</f>
        <v>#N/A</v>
      </c>
    </row>
    <row r="1352">
      <c r="A1352" s="1" t="s">
        <v>1355</v>
      </c>
      <c r="B1352" s="1" t="s">
        <v>1101</v>
      </c>
      <c r="C1352" s="2" t="str">
        <f>HYPERLINK("http://4sq.com/5oqenb","อนุสาวรีย์ชัยสมรภูมิ (Victory Monument) ")</f>
        <v>อนุสาวรีย์ชัยสมรภูมิ (Victory Monument) </v>
      </c>
      <c r="E1352" t="str">
        <f>IFERROR(__xludf.DUMMYFUNCTION("REGEXEXTRACT(FORMULATEXT(D1352),""center=([-0-9.]+,[-0-9.]+)"")"),"#N/A")</f>
        <v>#N/A</v>
      </c>
    </row>
    <row r="1353">
      <c r="A1353" s="1" t="s">
        <v>1356</v>
      </c>
      <c r="B1353" s="1" t="s">
        <v>1101</v>
      </c>
      <c r="C1353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  <c r="E1353" t="str">
        <f>IFERROR(__xludf.DUMMYFUNCTION("REGEXEXTRACT(FORMULATEXT(D1353),""center=([-0-9.]+,[-0-9.]+)"")"),"#N/A")</f>
        <v>#N/A</v>
      </c>
    </row>
    <row r="1354">
      <c r="A1354" s="1" t="s">
        <v>1357</v>
      </c>
      <c r="B1354" s="1" t="s">
        <v>1101</v>
      </c>
      <c r="C1354" s="2" t="str">
        <f>HYPERLINK("http://4sq.com/1ItZRP3","The Coffee Club (เดอะ คอฟฟี่ คลับ) ")</f>
        <v>The Coffee Club (เดอะ คอฟฟี่ คลับ) </v>
      </c>
      <c r="E1354" t="str">
        <f>IFERROR(__xludf.DUMMYFUNCTION("REGEXEXTRACT(FORMULATEXT(D1354),""center=([-0-9.]+,[-0-9.]+)"")"),"#N/A")</f>
        <v>#N/A</v>
      </c>
    </row>
    <row r="1355">
      <c r="A1355" s="1" t="s">
        <v>1358</v>
      </c>
      <c r="B1355" s="1" t="s">
        <v>1101</v>
      </c>
      <c r="C1355" s="2" t="str">
        <f>HYPERLINK("http://4sq.com/1GjmLUZ","Pizza Pasta by Simon ")</f>
        <v>Pizza Pasta by Simon </v>
      </c>
      <c r="E1355" t="str">
        <f>IFERROR(__xludf.DUMMYFUNCTION("REGEXEXTRACT(FORMULATEXT(D1355),""center=([-0-9.]+,[-0-9.]+)"")"),"#N/A")</f>
        <v>#N/A</v>
      </c>
    </row>
    <row r="1356">
      <c r="A1356" s="1" t="s">
        <v>1359</v>
      </c>
      <c r="B1356" s="1" t="s">
        <v>1101</v>
      </c>
      <c r="C1356" s="2" t="str">
        <f>HYPERLINK("http://4sq.com/1uTcCs4","Local Cafe (คาเฟ่บ้านนอก) ")</f>
        <v>Local Cafe (คาเฟ่บ้านนอก) </v>
      </c>
      <c r="E1356" t="str">
        <f>IFERROR(__xludf.DUMMYFUNCTION("REGEXEXTRACT(FORMULATEXT(D1356),""center=([-0-9.]+,[-0-9.]+)"")"),"#N/A")</f>
        <v>#N/A</v>
      </c>
    </row>
    <row r="1357">
      <c r="A1357" s="1" t="s">
        <v>1360</v>
      </c>
      <c r="B1357" s="1" t="s">
        <v>1101</v>
      </c>
      <c r="C1357" s="2" t="str">
        <f>HYPERLINK("http://4sq.com/1ZQBMcT","Jarndiew favorite of Thais ")</f>
        <v>Jarndiew favorite of Thais </v>
      </c>
      <c r="E1357" t="str">
        <f>IFERROR(__xludf.DUMMYFUNCTION("REGEXEXTRACT(FORMULATEXT(D1357),""center=([-0-9.]+,[-0-9.]+)"")"),"#N/A")</f>
        <v>#N/A</v>
      </c>
    </row>
    <row r="1358">
      <c r="A1358" s="1" t="s">
        <v>1361</v>
      </c>
      <c r="B1358" s="1" t="s">
        <v>1101</v>
      </c>
      <c r="C1358" s="2" t="str">
        <f>HYPERLINK("http://4sq.com/1GjmLUZ","Pizza Pasta by Simon ")</f>
        <v>Pizza Pasta by Simon </v>
      </c>
      <c r="E1358" t="str">
        <f>IFERROR(__xludf.DUMMYFUNCTION("REGEXEXTRACT(FORMULATEXT(D1358),""center=([-0-9.]+,[-0-9.]+)"")"),"#N/A")</f>
        <v>#N/A</v>
      </c>
    </row>
    <row r="1359">
      <c r="A1359" s="1" t="s">
        <v>1362</v>
      </c>
      <c r="B1359" s="1" t="s">
        <v>1101</v>
      </c>
      <c r="C1359" s="2" t="str">
        <f>HYPERLINK("http://4sq.com/9Xt3FL","ห้วยตึงเฒ่า (Huay Tueng Tao) ")</f>
        <v>ห้วยตึงเฒ่า (Huay Tueng Tao) </v>
      </c>
      <c r="E1359" t="str">
        <f>IFERROR(__xludf.DUMMYFUNCTION("REGEXEXTRACT(FORMULATEXT(D1359),""center=([-0-9.]+,[-0-9.]+)"")"),"#N/A")</f>
        <v>#N/A</v>
      </c>
    </row>
    <row r="1360">
      <c r="A1360" s="1" t="s">
        <v>1363</v>
      </c>
      <c r="B1360" s="1" t="s">
        <v>1101</v>
      </c>
      <c r="C1360" s="2" t="str">
        <f>HYPERLINK("http://4sq.com/1BjQ2z6","SS1254372 Cafe ")</f>
        <v>SS1254372 Cafe </v>
      </c>
      <c r="E1360" t="str">
        <f>IFERROR(__xludf.DUMMYFUNCTION("REGEXEXTRACT(FORMULATEXT(D1360),""center=([-0-9.]+,[-0-9.]+)"")"),"#N/A")</f>
        <v>#N/A</v>
      </c>
    </row>
    <row r="1361">
      <c r="A1361" s="1" t="s">
        <v>1364</v>
      </c>
      <c r="B1361" s="1" t="s">
        <v>1101</v>
      </c>
      <c r="C1361" s="2" t="str">
        <f>HYPERLINK("http://4sq.com/o3ZEdO","See Paak Restaurant ")</f>
        <v>See Paak Restaurant </v>
      </c>
      <c r="E1361" t="str">
        <f>IFERROR(__xludf.DUMMYFUNCTION("REGEXEXTRACT(FORMULATEXT(D1361),""center=([-0-9.]+,[-0-9.]+)"")"),"#N/A")</f>
        <v>#N/A</v>
      </c>
    </row>
    <row r="1362">
      <c r="A1362" s="1" t="s">
        <v>1365</v>
      </c>
      <c r="B1362" s="1" t="s">
        <v>1101</v>
      </c>
      <c r="C1362" s="2" t="str">
        <f>HYPERLINK("http://4sq.com/1uTcCs4","Local Cafe (คาเฟ่บ้านนอก) ")</f>
        <v>Local Cafe (คาเฟ่บ้านนอก) </v>
      </c>
      <c r="E1362" t="str">
        <f>IFERROR(__xludf.DUMMYFUNCTION("REGEXEXTRACT(FORMULATEXT(D1362),""center=([-0-9.]+,[-0-9.]+)"")"),"#N/A")</f>
        <v>#N/A</v>
      </c>
    </row>
    <row r="1363">
      <c r="A1363" s="1" t="s">
        <v>1366</v>
      </c>
      <c r="B1363" s="1" t="s">
        <v>1101</v>
      </c>
      <c r="C1363" s="2" t="str">
        <f>HYPERLINK("http://4sq.com/aUycgs","บ้านไร่ยามเย็น (Baan Rai Yarm Yen) ")</f>
        <v>บ้านไร่ยามเย็น (Baan Rai Yarm Yen) </v>
      </c>
      <c r="E1363" t="str">
        <f>IFERROR(__xludf.DUMMYFUNCTION("REGEXEXTRACT(FORMULATEXT(D1363),""center=([-0-9.]+,[-0-9.]+)"")"),"#N/A")</f>
        <v>#N/A</v>
      </c>
    </row>
    <row r="1364">
      <c r="A1364" s="1" t="s">
        <v>1367</v>
      </c>
      <c r="B1364" s="1" t="s">
        <v>1101</v>
      </c>
      <c r="C1364" s="2" t="str">
        <f>HYPERLINK("http://4sq.com/eF8Lbu","มีโชคพลาซ่า (Meechok Plaza) ")</f>
        <v>มีโชคพลาซ่า (Meechok Plaza) </v>
      </c>
      <c r="E1364" t="str">
        <f>IFERROR(__xludf.DUMMYFUNCTION("REGEXEXTRACT(FORMULATEXT(D1364),""center=([-0-9.]+,[-0-9.]+)"")"),"#N/A")</f>
        <v>#N/A</v>
      </c>
    </row>
    <row r="1365">
      <c r="A1365" s="1" t="s">
        <v>1368</v>
      </c>
      <c r="B1365" s="1" t="s">
        <v>1101</v>
      </c>
      <c r="C1365" s="2" t="str">
        <f>HYPERLINK("http://4sq.com/1eCpkTQ","MAYA (เมญ่า) ")</f>
        <v>MAYA (เมญ่า) </v>
      </c>
      <c r="E1365" t="str">
        <f>IFERROR(__xludf.DUMMYFUNCTION("REGEXEXTRACT(FORMULATEXT(D1365),""center=([-0-9.]+,[-0-9.]+)"")"),"#N/A")</f>
        <v>#N/A</v>
      </c>
    </row>
    <row r="1366">
      <c r="A1366" s="1" t="s">
        <v>1369</v>
      </c>
      <c r="B1366" s="1" t="s">
        <v>1370</v>
      </c>
      <c r="C1366" s="2" t="str">
        <f>HYPERLINK("http://4sq.com/aBeuqJ","ตรวจคนเข้าเมือง จ.เชียงใหม่ (Chiang Mai Immigration) ")</f>
        <v>ตรวจคนเข้าเมือง จ.เชียงใหม่ (Chiang Mai Immigration) </v>
      </c>
      <c r="E1366" t="str">
        <f>IFERROR(__xludf.DUMMYFUNCTION("REGEXEXTRACT(FORMULATEXT(D1366),""center=([-0-9.]+,[-0-9.]+)"")"),"#N/A")</f>
        <v>#N/A</v>
      </c>
    </row>
    <row r="1367">
      <c r="A1367" s="1" t="s">
        <v>1371</v>
      </c>
      <c r="B1367" s="1" t="s">
        <v>1101</v>
      </c>
      <c r="C1367" s="2" t="str">
        <f>HYPERLINK("http://4sq.com/axLFNw","ปตท. (PTT) ")</f>
        <v>ปตท. (PTT) </v>
      </c>
      <c r="E1367" t="str">
        <f>IFERROR(__xludf.DUMMYFUNCTION("REGEXEXTRACT(FORMULATEXT(D1367),""center=([-0-9.]+,[-0-9.]+)"")"),"#N/A")</f>
        <v>#N/A</v>
      </c>
    </row>
    <row r="1368">
      <c r="A1368" s="1" t="s">
        <v>1372</v>
      </c>
      <c r="B1368" s="1" t="s">
        <v>1101</v>
      </c>
      <c r="C1368" s="2" t="str">
        <f>HYPERLINK("http://4sq.com/1UAssUD","Mamma Mia ")</f>
        <v>Mamma Mia </v>
      </c>
      <c r="E1368" t="str">
        <f>IFERROR(__xludf.DUMMYFUNCTION("REGEXEXTRACT(FORMULATEXT(D1368),""center=([-0-9.]+,[-0-9.]+)"")"),"#N/A")</f>
        <v>#N/A</v>
      </c>
    </row>
    <row r="1369">
      <c r="A1369" s="1" t="s">
        <v>1373</v>
      </c>
      <c r="B1369" s="1" t="s">
        <v>1101</v>
      </c>
      <c r="C1369" s="2" t="str">
        <f>HYPERLINK("http://4sq.com/1GjmLUZ","Pizza Pasta by Simon ")</f>
        <v>Pizza Pasta by Simon </v>
      </c>
      <c r="E1369" t="str">
        <f>IFERROR(__xludf.DUMMYFUNCTION("REGEXEXTRACT(FORMULATEXT(D1369),""center=([-0-9.]+,[-0-9.]+)"")"),"#N/A")</f>
        <v>#N/A</v>
      </c>
    </row>
    <row r="1370">
      <c r="A1370" s="1" t="s">
        <v>1374</v>
      </c>
      <c r="B1370" s="1" t="s">
        <v>1101</v>
      </c>
      <c r="C1370" s="2" t="str">
        <f>HYPERLINK("http://4sq.com/o3ZEdO","See Paak Restaurant ")</f>
        <v>See Paak Restaurant </v>
      </c>
      <c r="E1370" t="str">
        <f>IFERROR(__xludf.DUMMYFUNCTION("REGEXEXTRACT(FORMULATEXT(D1370),""center=([-0-9.]+,[-0-9.]+)"")"),"#N/A")</f>
        <v>#N/A</v>
      </c>
    </row>
    <row r="1371">
      <c r="A1371" s="1" t="s">
        <v>1375</v>
      </c>
      <c r="B1371" s="1" t="s">
        <v>1101</v>
      </c>
      <c r="C1371" s="2" t="str">
        <f>HYPERLINK("http://4sq.com/1eCpkTQ","MAYA (เมญ่า) ")</f>
        <v>MAYA (เมญ่า) </v>
      </c>
      <c r="E1371" t="str">
        <f>IFERROR(__xludf.DUMMYFUNCTION("REGEXEXTRACT(FORMULATEXT(D1371),""center=([-0-9.]+,[-0-9.]+)"")"),"#N/A")</f>
        <v>#N/A</v>
      </c>
    </row>
    <row r="1372">
      <c r="A1372" s="1" t="s">
        <v>1376</v>
      </c>
      <c r="B1372" s="1" t="s">
        <v>1101</v>
      </c>
      <c r="C1372" s="2" t="str">
        <f>HYPERLINK("http://4sq.com/aI08BQ","Four Seasons Resort Chiang Mai ")</f>
        <v>Four Seasons Resort Chiang Mai </v>
      </c>
      <c r="E1372" t="str">
        <f>IFERROR(__xludf.DUMMYFUNCTION("REGEXEXTRACT(FORMULATEXT(D1372),""center=([-0-9.]+,[-0-9.]+)"")"),"#N/A")</f>
        <v>#N/A</v>
      </c>
    </row>
    <row r="1373">
      <c r="A1373" s="1" t="s">
        <v>1377</v>
      </c>
      <c r="B1373" s="1" t="s">
        <v>1101</v>
      </c>
      <c r="C1373" s="2" t="str">
        <f>HYPERLINK("http://4sq.com/cxtbt0","สวนพฤกษศาสตร์สมเด็จพระนางเจ้าสิริกิติ์ (Queen Sirikit Botanic Garden) ")</f>
        <v>สวนพฤกษศาสตร์สมเด็จพระนางเจ้าสิริกิติ์ (Queen Sirikit Botanic Garden) </v>
      </c>
      <c r="E1373" t="str">
        <f>IFERROR(__xludf.DUMMYFUNCTION("REGEXEXTRACT(FORMULATEXT(D1373),""center=([-0-9.]+,[-0-9.]+)"")"),"#N/A")</f>
        <v>#N/A</v>
      </c>
    </row>
    <row r="1374">
      <c r="A1374" s="1" t="s">
        <v>1378</v>
      </c>
      <c r="B1374" s="1" t="s">
        <v>1101</v>
      </c>
      <c r="C1374" s="2" t="str">
        <f>HYPERLINK("http://4sq.com/1HUrpXh","ข้าวซอยรสลำ ")</f>
        <v>ข้าวซอยรสลำ </v>
      </c>
      <c r="E1374" t="str">
        <f>IFERROR(__xludf.DUMMYFUNCTION("REGEXEXTRACT(FORMULATEXT(D1374),""center=([-0-9.]+,[-0-9.]+)"")"),"#N/A")</f>
        <v>#N/A</v>
      </c>
    </row>
    <row r="1375">
      <c r="A1375" s="1" t="s">
        <v>1379</v>
      </c>
      <c r="B1375" s="1" t="s">
        <v>1101</v>
      </c>
      <c r="C1375" s="2" t="str">
        <f>HYPERLINK("http://4sq.com/13qrSfI","Kaffee Bitte at Plai-na (คาฟเฟ บิตเต แอท ปลายนา) ")</f>
        <v>Kaffee Bitte at Plai-na (คาฟเฟ บิตเต แอท ปลายนา) </v>
      </c>
      <c r="E1375" t="str">
        <f>IFERROR(__xludf.DUMMYFUNCTION("REGEXEXTRACT(FORMULATEXT(D1375),""center=([-0-9.]+,[-0-9.]+)"")"),"#N/A")</f>
        <v>#N/A</v>
      </c>
    </row>
    <row r="1376">
      <c r="A1376" s="1" t="s">
        <v>1380</v>
      </c>
      <c r="B1376" s="1" t="s">
        <v>1101</v>
      </c>
      <c r="C1376" s="2" t="str">
        <f>HYPERLINK("http://4sq.com/1cafSmt","โป่งเหมืองแร่ ")</f>
        <v>โป่งเหมืองแร่ </v>
      </c>
      <c r="E1376" t="str">
        <f>IFERROR(__xludf.DUMMYFUNCTION("REGEXEXTRACT(FORMULATEXT(D1376),""center=([-0-9.]+,[-0-9.]+)"")"),"#N/A")</f>
        <v>#N/A</v>
      </c>
    </row>
    <row r="1377">
      <c r="A1377" s="1" t="s">
        <v>1381</v>
      </c>
      <c r="B1377" s="1" t="s">
        <v>1101</v>
      </c>
      <c r="C1377" s="2" t="str">
        <f>HYPERLINK("http://4sq.com/bA6Dp1","ปาย (Pai) ")</f>
        <v>ปาย (Pai) </v>
      </c>
      <c r="E1377" t="str">
        <f>IFERROR(__xludf.DUMMYFUNCTION("REGEXEXTRACT(FORMULATEXT(D1377),""center=([-0-9.]+,[-0-9.]+)"")"),"#N/A")</f>
        <v>#N/A</v>
      </c>
    </row>
    <row r="1378">
      <c r="A1378" s="1" t="s">
        <v>1382</v>
      </c>
      <c r="B1378" s="1" t="s">
        <v>1101</v>
      </c>
      <c r="C1378" s="2" t="str">
        <f>HYPERLINK("http://4sq.com/aABBDM","Baan Suan Rim Pai ")</f>
        <v>Baan Suan Rim Pai </v>
      </c>
      <c r="E1378" t="str">
        <f>IFERROR(__xludf.DUMMYFUNCTION("REGEXEXTRACT(FORMULATEXT(D1378),""center=([-0-9.]+,[-0-9.]+)"")"),"#N/A")</f>
        <v>#N/A</v>
      </c>
    </row>
    <row r="1379">
      <c r="A1379" s="1" t="s">
        <v>1383</v>
      </c>
      <c r="B1379" s="1" t="s">
        <v>1101</v>
      </c>
      <c r="C1379" s="2" t="str">
        <f>HYPERLINK("http://4sq.com/aQZ11o","Almost Famous ")</f>
        <v>Almost Famous </v>
      </c>
      <c r="E1379" t="str">
        <f>IFERROR(__xludf.DUMMYFUNCTION("REGEXEXTRACT(FORMULATEXT(D1379),""center=([-0-9.]+,[-0-9.]+)"")"),"#N/A")</f>
        <v>#N/A</v>
      </c>
    </row>
    <row r="1380">
      <c r="A1380" s="1" t="s">
        <v>1384</v>
      </c>
      <c r="B1380" s="1" t="s">
        <v>1101</v>
      </c>
      <c r="C1380" s="2" t="str">
        <f>HYPERLINK("http://4sq.com/rciZaO","Big's Little Cafe' ")</f>
        <v>Big's Little Cafe' </v>
      </c>
      <c r="E1380" t="str">
        <f>IFERROR(__xludf.DUMMYFUNCTION("REGEXEXTRACT(FORMULATEXT(D1380),""center=([-0-9.]+,[-0-9.]+)"")"),"#N/A")</f>
        <v>#N/A</v>
      </c>
    </row>
    <row r="1381">
      <c r="A1381" s="1" t="s">
        <v>1385</v>
      </c>
      <c r="B1381" s="1" t="s">
        <v>1101</v>
      </c>
      <c r="C1381" s="2" t="str">
        <f>HYPERLINK("http://4sq.com/1MRo2b7","ศาลาไอติม ")</f>
        <v>ศาลาไอติม </v>
      </c>
      <c r="E1381" t="str">
        <f>IFERROR(__xludf.DUMMYFUNCTION("REGEXEXTRACT(FORMULATEXT(D1381),""center=([-0-9.]+,[-0-9.]+)"")"),"#N/A")</f>
        <v>#N/A</v>
      </c>
    </row>
    <row r="1382">
      <c r="A1382" s="1" t="s">
        <v>1386</v>
      </c>
      <c r="B1382" s="1" t="s">
        <v>1101</v>
      </c>
      <c r="C1382" s="2" t="str">
        <f>HYPERLINK("http://4sq.com/1uTcCs4","Local Cafe (คาเฟ่บ้านนอก) ")</f>
        <v>Local Cafe (คาเฟ่บ้านนอก) </v>
      </c>
      <c r="E1382" t="str">
        <f>IFERROR(__xludf.DUMMYFUNCTION("REGEXEXTRACT(FORMULATEXT(D1382),""center=([-0-9.]+,[-0-9.]+)"")"),"#N/A")</f>
        <v>#N/A</v>
      </c>
    </row>
    <row r="1383">
      <c r="A1383" s="1" t="s">
        <v>1387</v>
      </c>
      <c r="B1383" s="1" t="s">
        <v>1101</v>
      </c>
      <c r="C1383" s="2" t="str">
        <f>HYPERLINK("http://4sq.com/dc0ZyP","โรงพยาบาลเชียงใหม่ ราม (Chiangmai Ram Hospital) ")</f>
        <v>โรงพยาบาลเชียงใหม่ ราม (Chiangmai Ram Hospital) </v>
      </c>
      <c r="E1383" t="str">
        <f>IFERROR(__xludf.DUMMYFUNCTION("REGEXEXTRACT(FORMULATEXT(D1383),""center=([-0-9.]+,[-0-9.]+)"")"),"#N/A")</f>
        <v>#N/A</v>
      </c>
    </row>
    <row r="1384">
      <c r="A1384" s="1" t="s">
        <v>1388</v>
      </c>
      <c r="B1384" s="1" t="s">
        <v>1101</v>
      </c>
      <c r="C1384" s="2" t="str">
        <f>HYPERLINK("http://4sq.com/1leydG4","Kaweh Café ")</f>
        <v>Kaweh Café </v>
      </c>
      <c r="E1384" t="str">
        <f>IFERROR(__xludf.DUMMYFUNCTION("REGEXEXTRACT(FORMULATEXT(D1384),""center=([-0-9.]+,[-0-9.]+)"")"),"#N/A")</f>
        <v>#N/A</v>
      </c>
    </row>
    <row r="1385">
      <c r="A1385" s="1" t="s">
        <v>1389</v>
      </c>
      <c r="B1385" s="1" t="s">
        <v>1101</v>
      </c>
      <c r="C1385" s="2" t="str">
        <f>HYPERLINK("http://4sq.com/1NMIaul","Cheunjai Coffee&amp;Thai food ")</f>
        <v>Cheunjai Coffee&amp;Thai food </v>
      </c>
      <c r="E1385" t="str">
        <f>IFERROR(__xludf.DUMMYFUNCTION("REGEXEXTRACT(FORMULATEXT(D1385),""center=([-0-9.]+,[-0-9.]+)"")"),"#N/A")</f>
        <v>#N/A</v>
      </c>
    </row>
    <row r="1386">
      <c r="A1386" s="1" t="s">
        <v>1390</v>
      </c>
      <c r="B1386" s="1" t="s">
        <v>1101</v>
      </c>
      <c r="C1386" s="2" t="str">
        <f>HYPERLINK("http://4sq.com/o3ZEdO","See Paak Restaurant ")</f>
        <v>See Paak Restaurant </v>
      </c>
      <c r="E1386" t="str">
        <f>IFERROR(__xludf.DUMMYFUNCTION("REGEXEXTRACT(FORMULATEXT(D1386),""center=([-0-9.]+,[-0-9.]+)"")"),"#N/A")</f>
        <v>#N/A</v>
      </c>
    </row>
    <row r="1387">
      <c r="A1387" s="1" t="s">
        <v>1391</v>
      </c>
      <c r="B1387" s="1" t="s">
        <v>1101</v>
      </c>
      <c r="C1387" s="2" t="str">
        <f>HYPERLINK("http://4sq.com/u3uj6W","Krapood Farm Kitchen + Pub ")</f>
        <v>Krapood Farm Kitchen + Pub </v>
      </c>
      <c r="E1387" t="str">
        <f>IFERROR(__xludf.DUMMYFUNCTION("REGEXEXTRACT(FORMULATEXT(D1387),""center=([-0-9.]+,[-0-9.]+)"")"),"#N/A")</f>
        <v>#N/A</v>
      </c>
    </row>
    <row r="1388">
      <c r="A1388" s="1" t="s">
        <v>1392</v>
      </c>
      <c r="B1388" s="1" t="s">
        <v>1101</v>
      </c>
      <c r="C1388" s="2" t="str">
        <f>HYPERLINK("http://4sq.com/1uTcCs4","Local Cafe (คาเฟ่บ้านนอก) ")</f>
        <v>Local Cafe (คาเฟ่บ้านนอก) </v>
      </c>
      <c r="E1388" t="str">
        <f>IFERROR(__xludf.DUMMYFUNCTION("REGEXEXTRACT(FORMULATEXT(D1388),""center=([-0-9.]+,[-0-9.]+)"")"),"#N/A")</f>
        <v>#N/A</v>
      </c>
    </row>
    <row r="1389">
      <c r="A1389" s="1" t="s">
        <v>1393</v>
      </c>
      <c r="B1389" s="1" t="s">
        <v>1101</v>
      </c>
      <c r="C1389" s="2" t="str">
        <f>HYPERLINK("http://4sq.com/clG1h1","กาแฟวาวี (Wawee Coffee) ")</f>
        <v>กาแฟวาวี (Wawee Coffee) </v>
      </c>
      <c r="E1389" t="str">
        <f>IFERROR(__xludf.DUMMYFUNCTION("REGEXEXTRACT(FORMULATEXT(D1389),""center=([-0-9.]+,[-0-9.]+)"")"),"#N/A")</f>
        <v>#N/A</v>
      </c>
    </row>
    <row r="1390">
      <c r="A1390" s="1" t="s">
        <v>1394</v>
      </c>
      <c r="B1390" s="1" t="s">
        <v>1101</v>
      </c>
      <c r="C1390" s="2" t="str">
        <f>HYPERLINK("http://4sq.com/VROGQA","กาแฟวาวี (Wawee Coffee) ")</f>
        <v>กาแฟวาวี (Wawee Coffee) </v>
      </c>
      <c r="E1390" t="str">
        <f>IFERROR(__xludf.DUMMYFUNCTION("REGEXEXTRACT(FORMULATEXT(D1390),""center=([-0-9.]+,[-0-9.]+)"")"),"#N/A")</f>
        <v>#N/A</v>
      </c>
    </row>
    <row r="1391">
      <c r="A1391" s="1" t="s">
        <v>1395</v>
      </c>
      <c r="B1391" s="1" t="s">
        <v>1101</v>
      </c>
      <c r="C1391" s="2" t="str">
        <f>HYPERLINK("http://4sq.com/9uSYt7","Krung Thai Bank (ธนาคารกรุงไทย) ")</f>
        <v>Krung Thai Bank (ธนาคารกรุงไทย) </v>
      </c>
      <c r="E1391" t="str">
        <f>IFERROR(__xludf.DUMMYFUNCTION("REGEXEXTRACT(FORMULATEXT(D1391),""center=([-0-9.]+,[-0-9.]+)"")"),"#N/A")</f>
        <v>#N/A</v>
      </c>
    </row>
    <row r="1392">
      <c r="A1392" s="1" t="s">
        <v>1396</v>
      </c>
      <c r="B1392" s="1" t="s">
        <v>1101</v>
      </c>
      <c r="C1392" s="2" t="str">
        <f>HYPERLINK("http://4sq.com/hjWEPh","Nimseeseng Transport 1988 (นิ่มซี่เส็งขนส่ง 1988) ")</f>
        <v>Nimseeseng Transport 1988 (นิ่มซี่เส็งขนส่ง 1988) </v>
      </c>
      <c r="E1392" t="str">
        <f>IFERROR(__xludf.DUMMYFUNCTION("REGEXEXTRACT(FORMULATEXT(D1392),""center=([-0-9.]+,[-0-9.]+)"")"),"#N/A")</f>
        <v>#N/A</v>
      </c>
    </row>
    <row r="1393">
      <c r="A1393" s="1" t="s">
        <v>1397</v>
      </c>
      <c r="B1393" s="1" t="s">
        <v>1101</v>
      </c>
      <c r="C1393" s="2" t="str">
        <f>HYPERLINK("http://4sq.com/1NMIaul","Cheunjai Coffee&amp;Thai food ")</f>
        <v>Cheunjai Coffee&amp;Thai food </v>
      </c>
      <c r="E1393" t="str">
        <f>IFERROR(__xludf.DUMMYFUNCTION("REGEXEXTRACT(FORMULATEXT(D1393),""center=([-0-9.]+,[-0-9.]+)"")"),"#N/A")</f>
        <v>#N/A</v>
      </c>
    </row>
    <row r="1394">
      <c r="A1394" s="1" t="s">
        <v>1398</v>
      </c>
      <c r="B1394" s="1" t="s">
        <v>1101</v>
      </c>
      <c r="C1394" s="2" t="str">
        <f>HYPERLINK("http://4sq.com/1GjmLUZ","Pizza Pasta by Simon ")</f>
        <v>Pizza Pasta by Simon </v>
      </c>
      <c r="E1394" t="str">
        <f>IFERROR(__xludf.DUMMYFUNCTION("REGEXEXTRACT(FORMULATEXT(D1394),""center=([-0-9.]+,[-0-9.]+)"")"),"#N/A")</f>
        <v>#N/A</v>
      </c>
    </row>
    <row r="1395">
      <c r="A1395" s="1" t="s">
        <v>1399</v>
      </c>
      <c r="B1395" s="1" t="s">
        <v>1101</v>
      </c>
      <c r="C1395" s="2" t="str">
        <f>HYPERLINK("http://4sq.com/o3ZEdO","See Paak Restaurant ")</f>
        <v>See Paak Restaurant </v>
      </c>
      <c r="E1395" t="str">
        <f>IFERROR(__xludf.DUMMYFUNCTION("REGEXEXTRACT(FORMULATEXT(D1395),""center=([-0-9.]+,[-0-9.]+)"")"),"#N/A")</f>
        <v>#N/A</v>
      </c>
    </row>
    <row r="1396">
      <c r="A1396" s="1" t="s">
        <v>1400</v>
      </c>
      <c r="B1396" s="1" t="s">
        <v>1101</v>
      </c>
      <c r="C1396" s="2" t="str">
        <f>HYPERLINK("http://4sq.com/I28LVE","Café de Oasis (คาเฟ่ เดอ โอเอซิส) ")</f>
        <v>Café de Oasis (คาเฟ่ เดอ โอเอซิส) </v>
      </c>
      <c r="E1396" t="str">
        <f>IFERROR(__xludf.DUMMYFUNCTION("REGEXEXTRACT(FORMULATEXT(D1396),""center=([-0-9.]+,[-0-9.]+)"")"),"#N/A")</f>
        <v>#N/A</v>
      </c>
    </row>
    <row r="1397">
      <c r="A1397" s="1" t="s">
        <v>1401</v>
      </c>
      <c r="B1397" s="1" t="s">
        <v>1101</v>
      </c>
      <c r="C1397" s="2" t="str">
        <f>HYPERLINK("http://4sq.com/u7TQhI","เชียงดาว ")</f>
        <v>เชียงดาว </v>
      </c>
      <c r="E1397" t="str">
        <f>IFERROR(__xludf.DUMMYFUNCTION("REGEXEXTRACT(FORMULATEXT(D1397),""center=([-0-9.]+,[-0-9.]+)"")"),"#N/A")</f>
        <v>#N/A</v>
      </c>
    </row>
    <row r="1398">
      <c r="A1398" s="1" t="s">
        <v>1402</v>
      </c>
      <c r="B1398" s="1" t="s">
        <v>1101</v>
      </c>
      <c r="C1398" s="2" t="str">
        <f>HYPERLINK("http://4sq.com/1TAz3is","s service ")</f>
        <v>s service </v>
      </c>
      <c r="E1398" t="str">
        <f>IFERROR(__xludf.DUMMYFUNCTION("REGEXEXTRACT(FORMULATEXT(D1398),""center=([-0-9.]+,[-0-9.]+)"")"),"#N/A")</f>
        <v>#N/A</v>
      </c>
    </row>
    <row r="1399">
      <c r="A1399" s="1" t="s">
        <v>1403</v>
      </c>
      <c r="B1399" s="1" t="s">
        <v>1101</v>
      </c>
      <c r="C1399" s="2" t="str">
        <f>HYPERLINK("http://4sq.com/17dbEyl","7/11#5067 บ้านอรุโณทัย อ.เชียงดาว ")</f>
        <v>7/11#5067 บ้านอรุโณทัย อ.เชียงดาว </v>
      </c>
      <c r="E1399" t="str">
        <f>IFERROR(__xludf.DUMMYFUNCTION("REGEXEXTRACT(FORMULATEXT(D1399),""center=([-0-9.]+,[-0-9.]+)"")"),"#N/A")</f>
        <v>#N/A</v>
      </c>
    </row>
    <row r="1400">
      <c r="A1400" s="1" t="s">
        <v>1404</v>
      </c>
      <c r="B1400" s="1" t="s">
        <v>1101</v>
      </c>
      <c r="C1400" s="2" t="str">
        <f>HYPERLINK("http://4sq.com/czutcr","รีสอร์ทธรรมชาติอ่างขาง (Angkhang Nature Resort) ")</f>
        <v>รีสอร์ทธรรมชาติอ่างขาง (Angkhang Nature Resort) </v>
      </c>
      <c r="E1400" t="str">
        <f>IFERROR(__xludf.DUMMYFUNCTION("REGEXEXTRACT(FORMULATEXT(D1400),""center=([-0-9.]+,[-0-9.]+)"")"),"#N/A")</f>
        <v>#N/A</v>
      </c>
    </row>
    <row r="1401">
      <c r="A1401" s="1" t="s">
        <v>1405</v>
      </c>
      <c r="B1401" s="1" t="s">
        <v>1101</v>
      </c>
      <c r="C1401" s="2" t="str">
        <f>HYPERLINK("http://4sq.com/fQrFrq","สถานีเกษตรหลวงอ่างขาง (Royal Agricultural Station Angkhang) ")</f>
        <v>สถานีเกษตรหลวงอ่างขาง (Royal Agricultural Station Angkhang) </v>
      </c>
      <c r="E1401" t="str">
        <f>IFERROR(__xludf.DUMMYFUNCTION("REGEXEXTRACT(FORMULATEXT(D1401),""center=([-0-9.]+,[-0-9.]+)"")"),"#N/A")</f>
        <v>#N/A</v>
      </c>
    </row>
    <row r="1402">
      <c r="A1402" s="1" t="s">
        <v>1406</v>
      </c>
      <c r="B1402" s="1" t="s">
        <v>1101</v>
      </c>
      <c r="C1402" s="2" t="str">
        <f>HYPERLINK("http://4sq.com/o3ZEdO","See Paak Restaurant ")</f>
        <v>See Paak Restaurant </v>
      </c>
      <c r="E1402" t="str">
        <f>IFERROR(__xludf.DUMMYFUNCTION("REGEXEXTRACT(FORMULATEXT(D1402),""center=([-0-9.]+,[-0-9.]+)"")"),"#N/A")</f>
        <v>#N/A</v>
      </c>
    </row>
    <row r="1403">
      <c r="A1403" s="1" t="s">
        <v>1407</v>
      </c>
      <c r="B1403" s="1" t="s">
        <v>1101</v>
      </c>
      <c r="C1403" s="2" t="str">
        <f>HYPERLINK("http://4sq.com/djBO50","ธนาคารกรุงเทพ (Bangkok Bank) ")</f>
        <v>ธนาคารกรุงเทพ (Bangkok Bank) </v>
      </c>
      <c r="E1403" t="str">
        <f>IFERROR(__xludf.DUMMYFUNCTION("REGEXEXTRACT(FORMULATEXT(D1403),""center=([-0-9.]+,[-0-9.]+)"")"),"#N/A")</f>
        <v>#N/A</v>
      </c>
    </row>
    <row r="1404">
      <c r="A1404" s="1" t="s">
        <v>1408</v>
      </c>
      <c r="B1404" s="1" t="s">
        <v>1101</v>
      </c>
      <c r="C1404" s="2" t="str">
        <f>HYPERLINK("http://4sq.com/hUz4k8","สำนักงานที่ดินจังหวัดเชียงใหม่ ")</f>
        <v>สำนักงานที่ดินจังหวัดเชียงใหม่ </v>
      </c>
      <c r="E1404" t="str">
        <f>IFERROR(__xludf.DUMMYFUNCTION("REGEXEXTRACT(FORMULATEXT(D1404),""center=([-0-9.]+,[-0-9.]+)"")"),"#N/A")</f>
        <v>#N/A</v>
      </c>
    </row>
    <row r="1405">
      <c r="A1405" s="1" t="s">
        <v>1409</v>
      </c>
      <c r="B1405" s="1" t="s">
        <v>1101</v>
      </c>
      <c r="C1405" s="2" t="str">
        <f>HYPERLINK("http://4sq.com/1ffg45c","ก๋วยเตี๋ยวเรือฟ้ามุ่ย (@ The Harbour) ")</f>
        <v>ก๋วยเตี๋ยวเรือฟ้ามุ่ย (@ The Harbour) </v>
      </c>
      <c r="E1405" t="str">
        <f>IFERROR(__xludf.DUMMYFUNCTION("REGEXEXTRACT(FORMULATEXT(D1405),""center=([-0-9.]+,[-0-9.]+)"")"),"#N/A")</f>
        <v>#N/A</v>
      </c>
    </row>
    <row r="1406">
      <c r="A1406" s="1" t="s">
        <v>1410</v>
      </c>
      <c r="B1406" s="1" t="s">
        <v>1101</v>
      </c>
      <c r="C1406" s="2" t="str">
        <f>HYPERLINK("http://4sq.com/9LdumZ","Think Park (ธิงคพาร์ค) ")</f>
        <v>Think Park (ธิงคพาร์ค) </v>
      </c>
      <c r="E1406" t="str">
        <f>IFERROR(__xludf.DUMMYFUNCTION("REGEXEXTRACT(FORMULATEXT(D1406),""center=([-0-9.]+,[-0-9.]+)"")"),"#N/A")</f>
        <v>#N/A</v>
      </c>
    </row>
    <row r="1407">
      <c r="A1407" s="1" t="s">
        <v>1411</v>
      </c>
      <c r="B1407" s="1" t="s">
        <v>1101</v>
      </c>
      <c r="C1407" s="2" t="str">
        <f>HYPERLINK("http://4sq.com/bkqKmM","มหาวิทยาลัยพายัพ (Payap University) ")</f>
        <v>มหาวิทยาลัยพายัพ (Payap University) </v>
      </c>
      <c r="E1407" t="str">
        <f>IFERROR(__xludf.DUMMYFUNCTION("REGEXEXTRACT(FORMULATEXT(D1407),""center=([-0-9.]+,[-0-9.]+)"")"),"#N/A")</f>
        <v>#N/A</v>
      </c>
    </row>
    <row r="1408">
      <c r="A1408" s="1" t="s">
        <v>1412</v>
      </c>
      <c r="B1408" s="1" t="s">
        <v>1101</v>
      </c>
      <c r="C1408" s="2" t="str">
        <f>HYPERLINK("http://4sq.com/o3ZEdO","See Paak Restaurant ")</f>
        <v>See Paak Restaurant </v>
      </c>
      <c r="E1408" t="str">
        <f>IFERROR(__xludf.DUMMYFUNCTION("REGEXEXTRACT(FORMULATEXT(D1408),""center=([-0-9.]+,[-0-9.]+)"")"),"#N/A")</f>
        <v>#N/A</v>
      </c>
    </row>
    <row r="1409">
      <c r="A1409" s="1" t="s">
        <v>1413</v>
      </c>
      <c r="B1409" s="1" t="s">
        <v>1414</v>
      </c>
      <c r="C1409" s="2" t="str">
        <f>HYPERLINK("http://4sq.com/15MH9YQ","TOM N TOMS COFFEE ")</f>
        <v>TOM N TOMS COFFEE </v>
      </c>
      <c r="E1409" t="str">
        <f>IFERROR(__xludf.DUMMYFUNCTION("REGEXEXTRACT(FORMULATEXT(D1409),""center=([-0-9.]+,[-0-9.]+)"")"),"#N/A")</f>
        <v>#N/A</v>
      </c>
    </row>
    <row r="1410">
      <c r="A1410" s="1" t="s">
        <v>1415</v>
      </c>
      <c r="B1410" s="1" t="s">
        <v>1101</v>
      </c>
      <c r="C1410" s="2" t="str">
        <f>HYPERLINK("http://4sq.com/aCCyTW","The Pub ")</f>
        <v>The Pub </v>
      </c>
      <c r="E1410" t="str">
        <f>IFERROR(__xludf.DUMMYFUNCTION("REGEXEXTRACT(FORMULATEXT(D1410),""center=([-0-9.]+,[-0-9.]+)"")"),"#N/A")</f>
        <v>#N/A</v>
      </c>
    </row>
    <row r="1411">
      <c r="A1411" s="1" t="s">
        <v>1416</v>
      </c>
      <c r="B1411" s="1" t="s">
        <v>1101</v>
      </c>
      <c r="C1411" s="2" t="str">
        <f>HYPERLINK("http://4sq.com/dwBNev","แกงร้อนบ้านสวน (Kang Ron Baan Suan) ")</f>
        <v>แกงร้อนบ้านสวน (Kang Ron Baan Suan) </v>
      </c>
      <c r="E1411" t="str">
        <f>IFERROR(__xludf.DUMMYFUNCTION("REGEXEXTRACT(FORMULATEXT(D1411),""center=([-0-9.]+,[-0-9.]+)"")"),"#N/A")</f>
        <v>#N/A</v>
      </c>
    </row>
    <row r="1412">
      <c r="A1412" s="1" t="s">
        <v>1417</v>
      </c>
      <c r="B1412" s="1" t="s">
        <v>1101</v>
      </c>
      <c r="C1412" s="2" t="str">
        <f>HYPERLINK("http://4sq.com/o3ZEdO","See Paak Restaurant ")</f>
        <v>See Paak Restaurant </v>
      </c>
      <c r="E1412" t="str">
        <f>IFERROR(__xludf.DUMMYFUNCTION("REGEXEXTRACT(FORMULATEXT(D1412),""center=([-0-9.]+,[-0-9.]+)"")"),"#N/A")</f>
        <v>#N/A</v>
      </c>
    </row>
    <row r="1413">
      <c r="A1413" s="1" t="s">
        <v>1418</v>
      </c>
      <c r="B1413" s="1" t="s">
        <v>1101</v>
      </c>
      <c r="C1413" s="2" t="str">
        <f>HYPERLINK("http://4sq.com/aBeuqJ","ตรวจคนเข้าเมือง จ.เชียงใหม่ (Chiang Mai Immigration) ")</f>
        <v>ตรวจคนเข้าเมือง จ.เชียงใหม่ (Chiang Mai Immigration) </v>
      </c>
      <c r="E1413" t="str">
        <f>IFERROR(__xludf.DUMMYFUNCTION("REGEXEXTRACT(FORMULATEXT(D1413),""center=([-0-9.]+,[-0-9.]+)"")"),"#N/A")</f>
        <v>#N/A</v>
      </c>
    </row>
    <row r="1414">
      <c r="A1414" s="1" t="s">
        <v>1419</v>
      </c>
      <c r="B1414" s="1" t="s">
        <v>1101</v>
      </c>
      <c r="C1414" s="2" t="str">
        <f>HYPERLINK("http://4sq.com/aI08BQ","Four Seasons Resort Chiang Mai ")</f>
        <v>Four Seasons Resort Chiang Mai </v>
      </c>
      <c r="E1414" t="str">
        <f>IFERROR(__xludf.DUMMYFUNCTION("REGEXEXTRACT(FORMULATEXT(D1414),""center=([-0-9.]+,[-0-9.]+)"")"),"#N/A")</f>
        <v>#N/A</v>
      </c>
    </row>
    <row r="1415">
      <c r="A1415" s="1" t="s">
        <v>1420</v>
      </c>
      <c r="B1415" s="1" t="s">
        <v>1101</v>
      </c>
      <c r="C1415" s="2" t="str">
        <f>HYPERLINK("http://4sq.com/TqhHqQ","Nic's Restaurant &amp; Playground ")</f>
        <v>Nic's Restaurant &amp; Playground </v>
      </c>
      <c r="E1415" t="str">
        <f>IFERROR(__xludf.DUMMYFUNCTION("REGEXEXTRACT(FORMULATEXT(D1415),""center=([-0-9.]+,[-0-9.]+)"")"),"#N/A")</f>
        <v>#N/A</v>
      </c>
    </row>
    <row r="1416">
      <c r="A1416" s="1" t="s">
        <v>1421</v>
      </c>
      <c r="B1416" s="1" t="s">
        <v>1101</v>
      </c>
      <c r="C1416" s="2" t="str">
        <f>HYPERLINK("http://4sq.com/1NMIaul","Cheunjai Coffee&amp;Thai food ")</f>
        <v>Cheunjai Coffee&amp;Thai food </v>
      </c>
      <c r="E1416" t="str">
        <f>IFERROR(__xludf.DUMMYFUNCTION("REGEXEXTRACT(FORMULATEXT(D1416),""center=([-0-9.]+,[-0-9.]+)"")"),"#N/A")</f>
        <v>#N/A</v>
      </c>
    </row>
    <row r="1417">
      <c r="A1417" s="1" t="s">
        <v>1422</v>
      </c>
      <c r="B1417" s="1" t="s">
        <v>1101</v>
      </c>
      <c r="C1417" s="2" t="str">
        <f>HYPERLINK("http://4sq.com/VROGQA","กาแฟวาวี (Wawee Coffee) ")</f>
        <v>กาแฟวาวี (Wawee Coffee) </v>
      </c>
      <c r="E1417" t="str">
        <f>IFERROR(__xludf.DUMMYFUNCTION("REGEXEXTRACT(FORMULATEXT(D1417),""center=([-0-9.]+,[-0-9.]+)"")"),"#N/A")</f>
        <v>#N/A</v>
      </c>
    </row>
    <row r="1418">
      <c r="A1418" s="1" t="s">
        <v>1423</v>
      </c>
      <c r="B1418" s="1" t="s">
        <v>1101</v>
      </c>
      <c r="C1418" s="2" t="str">
        <f>HYPERLINK("http://4sq.com/1GjmLUZ","Pizza Pasta by Simon ")</f>
        <v>Pizza Pasta by Simon </v>
      </c>
      <c r="E1418" t="str">
        <f>IFERROR(__xludf.DUMMYFUNCTION("REGEXEXTRACT(FORMULATEXT(D1418),""center=([-0-9.]+,[-0-9.]+)"")"),"#N/A")</f>
        <v>#N/A</v>
      </c>
    </row>
    <row r="1419">
      <c r="A1419" s="1" t="s">
        <v>1424</v>
      </c>
      <c r="B1419" s="1" t="s">
        <v>1101</v>
      </c>
      <c r="C1419" s="2" t="str">
        <f>HYPERLINK("http://4sq.com/1LwwIEn","Let It Be ")</f>
        <v>Let It Be </v>
      </c>
      <c r="E1419" t="str">
        <f>IFERROR(__xludf.DUMMYFUNCTION("REGEXEXTRACT(FORMULATEXT(D1419),""center=([-0-9.]+,[-0-9.]+)"")"),"#N/A")</f>
        <v>#N/A</v>
      </c>
    </row>
    <row r="1420">
      <c r="A1420" s="1" t="s">
        <v>1425</v>
      </c>
      <c r="B1420" s="1" t="s">
        <v>1101</v>
      </c>
      <c r="C1420" s="2" t="str">
        <f>HYPERLINK("http://4sq.com/1T6nsHJ","HAYA ")</f>
        <v>HAYA </v>
      </c>
      <c r="E1420" t="str">
        <f>IFERROR(__xludf.DUMMYFUNCTION("REGEXEXTRACT(FORMULATEXT(D1420),""center=([-0-9.]+,[-0-9.]+)"")"),"#N/A")</f>
        <v>#N/A</v>
      </c>
    </row>
    <row r="1421">
      <c r="A1421" s="1" t="s">
        <v>1426</v>
      </c>
      <c r="B1421" s="1" t="s">
        <v>1101</v>
      </c>
      <c r="C1421" s="2" t="str">
        <f>HYPERLINK("http://4sq.com/1oGuMyQ","Yentoufo Bar ")</f>
        <v>Yentoufo Bar </v>
      </c>
      <c r="E1421" t="str">
        <f>IFERROR(__xludf.DUMMYFUNCTION("REGEXEXTRACT(FORMULATEXT(D1421),""center=([-0-9.]+,[-0-9.]+)"")"),"#N/A")</f>
        <v>#N/A</v>
      </c>
    </row>
    <row r="1422">
      <c r="A1422" s="1" t="s">
        <v>1427</v>
      </c>
      <c r="B1422" s="1" t="s">
        <v>1101</v>
      </c>
      <c r="C1422" s="2" t="str">
        <f>HYPERLINK("http://4sq.com/1lpaXII","Snowbuff Coffee (สโนว์บั๊ฟ คอฟฟี่) ")</f>
        <v>Snowbuff Coffee (สโนว์บั๊ฟ คอฟฟี่) </v>
      </c>
      <c r="E1422" t="str">
        <f>IFERROR(__xludf.DUMMYFUNCTION("REGEXEXTRACT(FORMULATEXT(D1422),""center=([-0-9.]+,[-0-9.]+)"")"),"#N/A")</f>
        <v>#N/A</v>
      </c>
    </row>
    <row r="1423">
      <c r="A1423" s="1" t="s">
        <v>1428</v>
      </c>
      <c r="B1423" s="1" t="s">
        <v>1101</v>
      </c>
      <c r="C1423" s="2" t="str">
        <f>HYPERLINK("http://4sq.com/o3ZEdO","See Paak Restaurant ")</f>
        <v>See Paak Restaurant </v>
      </c>
      <c r="E1423" t="str">
        <f>IFERROR(__xludf.DUMMYFUNCTION("REGEXEXTRACT(FORMULATEXT(D1423),""center=([-0-9.]+,[-0-9.]+)"")"),"#N/A")</f>
        <v>#N/A</v>
      </c>
    </row>
    <row r="1424">
      <c r="A1424" s="1" t="s">
        <v>1429</v>
      </c>
      <c r="B1424" s="1" t="s">
        <v>1101</v>
      </c>
      <c r="C1424" s="2" t="str">
        <f>HYPERLINK("http://4sq.com/1rS89V1","Subway 24 Hrs. at Nimmanahaemind ")</f>
        <v>Subway 24 Hrs. at Nimmanahaemind </v>
      </c>
      <c r="E1424" t="str">
        <f>IFERROR(__xludf.DUMMYFUNCTION("REGEXEXTRACT(FORMULATEXT(D1424),""center=([-0-9.]+,[-0-9.]+)"")"),"#N/A")</f>
        <v>#N/A</v>
      </c>
    </row>
    <row r="1425">
      <c r="A1425" s="1" t="s">
        <v>1430</v>
      </c>
      <c r="B1425" s="1" t="s">
        <v>1101</v>
      </c>
      <c r="C1425" s="2" t="str">
        <f>HYPERLINK("http://4sq.com/pa8psl","Mac Café ")</f>
        <v>Mac Café </v>
      </c>
      <c r="E1425" t="str">
        <f>IFERROR(__xludf.DUMMYFUNCTION("REGEXEXTRACT(FORMULATEXT(D1425),""center=([-0-9.]+,[-0-9.]+)"")"),"#N/A")</f>
        <v>#N/A</v>
      </c>
    </row>
    <row r="1426">
      <c r="A1426" s="1" t="s">
        <v>1431</v>
      </c>
      <c r="B1426" s="1" t="s">
        <v>1101</v>
      </c>
      <c r="C1426" s="2" t="str">
        <f>HYPERLINK("http://4sq.com/vxBDsk","ธ.กสิกรไทย แม่ริมพลาซ่า ")</f>
        <v>ธ.กสิกรไทย แม่ริมพลาซ่า </v>
      </c>
      <c r="E1426" t="str">
        <f>IFERROR(__xludf.DUMMYFUNCTION("REGEXEXTRACT(FORMULATEXT(D1426),""center=([-0-9.]+,[-0-9.]+)"")"),"#N/A")</f>
        <v>#N/A</v>
      </c>
    </row>
    <row r="1427">
      <c r="A1427" s="1" t="s">
        <v>1432</v>
      </c>
      <c r="B1427" s="1" t="s">
        <v>1101</v>
      </c>
      <c r="C1427" s="2" t="str">
        <f>HYPERLINK("http://4sq.com/gzBkmg","U.S. Consulate General Chiang Mai (สถานกงสุลสหรัฐอเมริกา) ")</f>
        <v>U.S. Consulate General Chiang Mai (สถานกงสุลสหรัฐอเมริกา) </v>
      </c>
      <c r="E1427" t="str">
        <f>IFERROR(__xludf.DUMMYFUNCTION("REGEXEXTRACT(FORMULATEXT(D1427),""center=([-0-9.]+,[-0-9.]+)"")"),"#N/A")</f>
        <v>#N/A</v>
      </c>
    </row>
    <row r="1428">
      <c r="A1428" s="1" t="s">
        <v>1433</v>
      </c>
      <c r="B1428" s="1" t="s">
        <v>1101</v>
      </c>
      <c r="C1428" s="2" t="str">
        <f>HYPERLINK("http://4sq.com/lh3q7w","สุขสถาน Coffee and Bakery ")</f>
        <v>สุขสถาน Coffee and Bakery </v>
      </c>
      <c r="E1428" t="str">
        <f>IFERROR(__xludf.DUMMYFUNCTION("REGEXEXTRACT(FORMULATEXT(D1428),""center=([-0-9.]+,[-0-9.]+)"")"),"#N/A")</f>
        <v>#N/A</v>
      </c>
    </row>
    <row r="1429">
      <c r="A1429" s="1" t="s">
        <v>1434</v>
      </c>
      <c r="B1429" s="1" t="s">
        <v>1101</v>
      </c>
      <c r="C1429" s="2" t="str">
        <f>HYPERLINK("http://4sq.com/9dAeh7","Boat (โบ๊ต) ")</f>
        <v>Boat (โบ๊ต) </v>
      </c>
      <c r="E1429" t="str">
        <f>IFERROR(__xludf.DUMMYFUNCTION("REGEXEXTRACT(FORMULATEXT(D1429),""center=([-0-9.]+,[-0-9.]+)"")"),"#N/A")</f>
        <v>#N/A</v>
      </c>
    </row>
    <row r="1430">
      <c r="A1430" s="1" t="s">
        <v>1435</v>
      </c>
      <c r="B1430" s="1" t="s">
        <v>1101</v>
      </c>
      <c r="C1430" s="2" t="str">
        <f>HYPERLINK("http://4sq.com/1hRl1pZ","ซุปเปอร์ถูก ")</f>
        <v>ซุปเปอร์ถูก </v>
      </c>
      <c r="E1430" t="str">
        <f>IFERROR(__xludf.DUMMYFUNCTION("REGEXEXTRACT(FORMULATEXT(D1430),""center=([-0-9.]+,[-0-9.]+)"")"),"#N/A")</f>
        <v>#N/A</v>
      </c>
    </row>
    <row r="1431">
      <c r="A1431" s="1" t="s">
        <v>1436</v>
      </c>
      <c r="B1431" s="1" t="s">
        <v>1101</v>
      </c>
      <c r="C1431" s="2" t="str">
        <f>HYPERLINK("http://4sq.com/16mMaY2","Musashi Contemporary Sushi Bar ")</f>
        <v>Musashi Contemporary Sushi Bar </v>
      </c>
      <c r="E1431" t="str">
        <f>IFERROR(__xludf.DUMMYFUNCTION("REGEXEXTRACT(FORMULATEXT(D1431),""center=([-0-9.]+,[-0-9.]+)"")"),"#N/A")</f>
        <v>#N/A</v>
      </c>
    </row>
    <row r="1432">
      <c r="A1432" s="1" t="s">
        <v>1437</v>
      </c>
      <c r="B1432" s="1" t="s">
        <v>1101</v>
      </c>
      <c r="C1432" s="2" t="str">
        <f>HYPERLINK("http://4sq.com/hInNp6","Esso (เอสโซ่) ")</f>
        <v>Esso (เอสโซ่) </v>
      </c>
      <c r="E1432" t="str">
        <f>IFERROR(__xludf.DUMMYFUNCTION("REGEXEXTRACT(FORMULATEXT(D1432),""center=([-0-9.]+,[-0-9.]+)"")"),"#N/A")</f>
        <v>#N/A</v>
      </c>
    </row>
    <row r="1433">
      <c r="A1433" s="1" t="s">
        <v>1438</v>
      </c>
      <c r="B1433" s="1" t="s">
        <v>1101</v>
      </c>
      <c r="C1433" s="2" t="str">
        <f>HYPERLINK("http://4sq.com/ii4BhD","Coffee Wish ")</f>
        <v>Coffee Wish </v>
      </c>
      <c r="E1433" t="str">
        <f>IFERROR(__xludf.DUMMYFUNCTION("REGEXEXTRACT(FORMULATEXT(D1433),""center=([-0-9.]+,[-0-9.]+)"")"),"#N/A")</f>
        <v>#N/A</v>
      </c>
    </row>
    <row r="1434">
      <c r="A1434" s="1" t="s">
        <v>1439</v>
      </c>
      <c r="B1434" s="1" t="s">
        <v>1101</v>
      </c>
      <c r="C1434" s="2" t="str">
        <f>HYPERLINK("http://4sq.com/o3ZEdO","See Paak Restaurant ")</f>
        <v>See Paak Restaurant </v>
      </c>
      <c r="E1434" t="str">
        <f>IFERROR(__xludf.DUMMYFUNCTION("REGEXEXTRACT(FORMULATEXT(D1434),""center=([-0-9.]+,[-0-9.]+)"")"),"#N/A")</f>
        <v>#N/A</v>
      </c>
    </row>
    <row r="1435">
      <c r="A1435" s="1" t="s">
        <v>1440</v>
      </c>
      <c r="B1435" s="1" t="s">
        <v>1101</v>
      </c>
      <c r="C1435" s="2" t="str">
        <f>HYPERLINK("http://4sq.com/1GjmLUZ","Pizza Pasta by Simon ")</f>
        <v>Pizza Pasta by Simon </v>
      </c>
      <c r="E1435" t="str">
        <f>IFERROR(__xludf.DUMMYFUNCTION("REGEXEXTRACT(FORMULATEXT(D1435),""center=([-0-9.]+,[-0-9.]+)"")"),"#N/A")</f>
        <v>#N/A</v>
      </c>
    </row>
    <row r="1436">
      <c r="A1436" s="1" t="s">
        <v>1441</v>
      </c>
      <c r="B1436" s="1" t="s">
        <v>1101</v>
      </c>
      <c r="C1436" s="2" t="str">
        <f>HYPERLINK("http://4sq.com/VfDtuo","เถิน Park 2454 ")</f>
        <v>เถิน Park 2454 </v>
      </c>
      <c r="E1436" t="str">
        <f>IFERROR(__xludf.DUMMYFUNCTION("REGEXEXTRACT(FORMULATEXT(D1436),""center=([-0-9.]+,[-0-9.]+)"")"),"#N/A")</f>
        <v>#N/A</v>
      </c>
    </row>
    <row r="1437">
      <c r="A1437" s="1" t="s">
        <v>1442</v>
      </c>
      <c r="B1437" s="1" t="s">
        <v>1101</v>
      </c>
      <c r="C1437" s="2" t="str">
        <f>HYPERLINK("http://4sq.com/kqzwob","Oasis Bar&amp;Restauntrent ")</f>
        <v>Oasis Bar&amp;Restauntrent </v>
      </c>
      <c r="E1437" t="str">
        <f>IFERROR(__xludf.DUMMYFUNCTION("REGEXEXTRACT(FORMULATEXT(D1437),""center=([-0-9.]+,[-0-9.]+)"")"),"#N/A")</f>
        <v>#N/A</v>
      </c>
    </row>
    <row r="1438">
      <c r="A1438" s="1" t="s">
        <v>1443</v>
      </c>
      <c r="B1438" s="1" t="s">
        <v>1101</v>
      </c>
      <c r="C1438" s="2" t="str">
        <f>HYPERLINK("http://4sq.com/c31TW4","ปตท.​ (PTT NGV) ")</f>
        <v>ปตท.​ (PTT NGV) </v>
      </c>
      <c r="E1438" t="str">
        <f>IFERROR(__xludf.DUMMYFUNCTION("REGEXEXTRACT(FORMULATEXT(D1438),""center=([-0-9.]+,[-0-9.]+)"")"),"#N/A")</f>
        <v>#N/A</v>
      </c>
    </row>
    <row r="1439">
      <c r="A1439" s="1" t="s">
        <v>1444</v>
      </c>
      <c r="B1439" s="1" t="s">
        <v>1101</v>
      </c>
      <c r="C1439" s="2" t="str">
        <f>HYPERLINK("http://4sq.com/MifImD","The Coffee Club (เดอะคอฟฟี่คลับ) ")</f>
        <v>The Coffee Club (เดอะคอฟฟี่คลับ) </v>
      </c>
      <c r="E1439" t="str">
        <f>IFERROR(__xludf.DUMMYFUNCTION("REGEXEXTRACT(FORMULATEXT(D1439),""center=([-0-9.]+,[-0-9.]+)"")"),"#N/A")</f>
        <v>#N/A</v>
      </c>
    </row>
    <row r="1440">
      <c r="A1440" s="1" t="s">
        <v>1445</v>
      </c>
      <c r="B1440" s="1" t="s">
        <v>1101</v>
      </c>
      <c r="C1440" s="2" t="str">
        <f>HYPERLINK("http://4sq.com/6faMgT","Siam Paragon (สยามพารากอน) ")</f>
        <v>Siam Paragon (สยามพารากอน) </v>
      </c>
      <c r="E1440" t="str">
        <f>IFERROR(__xludf.DUMMYFUNCTION("REGEXEXTRACT(FORMULATEXT(D1440),""center=([-0-9.]+,[-0-9.]+)"")"),"#N/A")</f>
        <v>#N/A</v>
      </c>
    </row>
    <row r="1441">
      <c r="A1441" s="1" t="s">
        <v>1446</v>
      </c>
      <c r="B1441" s="1" t="s">
        <v>1101</v>
      </c>
      <c r="C1441" s="2" t="str">
        <f>HYPERLINK("http://4sq.com/5myePd","Noodle House ")</f>
        <v>Noodle House </v>
      </c>
      <c r="E1441" t="str">
        <f>IFERROR(__xludf.DUMMYFUNCTION("REGEXEXTRACT(FORMULATEXT(D1441),""center=([-0-9.]+,[-0-9.]+)"")"),"#N/A")</f>
        <v>#N/A</v>
      </c>
    </row>
    <row r="1442">
      <c r="A1442" s="1" t="s">
        <v>1447</v>
      </c>
      <c r="B1442" s="1" t="s">
        <v>1101</v>
      </c>
      <c r="C1442" s="2" t="str">
        <f>HYPERLINK("http://4sq.com/1mVcFhl","Siam Square One (สยามสแควร์วัน) ")</f>
        <v>Siam Square One (สยามสแควร์วัน) </v>
      </c>
      <c r="E1442" t="str">
        <f>IFERROR(__xludf.DUMMYFUNCTION("REGEXEXTRACT(FORMULATEXT(D1442),""center=([-0-9.]+,[-0-9.]+)"")"),"#N/A")</f>
        <v>#N/A</v>
      </c>
    </row>
    <row r="1443">
      <c r="A1443" s="1" t="s">
        <v>1448</v>
      </c>
      <c r="B1443" s="1" t="s">
        <v>1101</v>
      </c>
      <c r="C1443" s="2" t="str">
        <f>HYPERLINK("http://4sq.com/4rr65r","Roadhouse Barbecue ")</f>
        <v>Roadhouse Barbecue </v>
      </c>
      <c r="E1443" t="str">
        <f>IFERROR(__xludf.DUMMYFUNCTION("REGEXEXTRACT(FORMULATEXT(D1443),""center=([-0-9.]+,[-0-9.]+)"")"),"#N/A")</f>
        <v>#N/A</v>
      </c>
    </row>
    <row r="1444">
      <c r="A1444" s="1" t="s">
        <v>1449</v>
      </c>
      <c r="B1444" s="1" t="s">
        <v>1101</v>
      </c>
      <c r="C1444" s="2" t="str">
        <f>HYPERLINK("http://4sq.com/fqH930","Belle Grand Rama IX (เบลล์ แกรนด์ พระราม 9) ")</f>
        <v>Belle Grand Rama IX (เบลล์ แกรนด์ พระราม 9) </v>
      </c>
      <c r="E1444" t="str">
        <f>IFERROR(__xludf.DUMMYFUNCTION("REGEXEXTRACT(FORMULATEXT(D1444),""center=([-0-9.]+,[-0-9.]+)"")"),"#N/A")</f>
        <v>#N/A</v>
      </c>
    </row>
    <row r="1445">
      <c r="A1445" s="1" t="s">
        <v>1450</v>
      </c>
      <c r="B1445" s="1" t="s">
        <v>1101</v>
      </c>
      <c r="C1445" s="2" t="str">
        <f>HYPERLINK("http://4sq.com/1n0q0sa","Kourakuen (โคราคุเอ็น) 幸楽苑 ")</f>
        <v>Kourakuen (โคราคุเอ็น) 幸楽苑 </v>
      </c>
      <c r="E1445" t="str">
        <f>IFERROR(__xludf.DUMMYFUNCTION("REGEXEXTRACT(FORMULATEXT(D1445),""center=([-0-9.]+,[-0-9.]+)"")"),"#N/A")</f>
        <v>#N/A</v>
      </c>
    </row>
    <row r="1446">
      <c r="A1446" s="1" t="s">
        <v>1451</v>
      </c>
      <c r="B1446" s="1" t="s">
        <v>1101</v>
      </c>
      <c r="C1446" s="2" t="str">
        <f>HYPERLINK("http://4sq.com/17AXm5B","Pink Tender (พิ้งค์ เทนเดอร์) ")</f>
        <v>Pink Tender (พิ้งค์ เทนเดอร์) </v>
      </c>
      <c r="E1446" t="str">
        <f>IFERROR(__xludf.DUMMYFUNCTION("REGEXEXTRACT(FORMULATEXT(D1446),""center=([-0-9.]+,[-0-9.]+)"")"),"#N/A")</f>
        <v>#N/A</v>
      </c>
    </row>
    <row r="1447">
      <c r="A1447" s="1" t="s">
        <v>1452</v>
      </c>
      <c r="B1447" s="1" t="s">
        <v>1101</v>
      </c>
      <c r="C1447" s="2" t="str">
        <f>HYPERLINK("http://4sq.com/1XulqFC","Starbucks (สตาร์บัคส์) ")</f>
        <v>Starbucks (สตาร์บัคส์) </v>
      </c>
      <c r="E1447" t="str">
        <f>IFERROR(__xludf.DUMMYFUNCTION("REGEXEXTRACT(FORMULATEXT(D1447),""center=([-0-9.]+,[-0-9.]+)"")"),"#N/A")</f>
        <v>#N/A</v>
      </c>
    </row>
    <row r="1448">
      <c r="A1448" s="1" t="s">
        <v>1453</v>
      </c>
      <c r="B1448" s="1" t="s">
        <v>1101</v>
      </c>
      <c r="C1448" s="2" t="str">
        <f>HYPERLINK("http://4sq.com/MifImD","The Coffee Club (เดอะคอฟฟี่คลับ) ")</f>
        <v>The Coffee Club (เดอะคอฟฟี่คลับ) </v>
      </c>
      <c r="E1448" t="str">
        <f>IFERROR(__xludf.DUMMYFUNCTION("REGEXEXTRACT(FORMULATEXT(D1448),""center=([-0-9.]+,[-0-9.]+)"")"),"#N/A")</f>
        <v>#N/A</v>
      </c>
    </row>
    <row r="1449">
      <c r="A1449" s="1" t="s">
        <v>1454</v>
      </c>
      <c r="B1449" s="1" t="s">
        <v>1455</v>
      </c>
      <c r="C1449" s="2" t="str">
        <f>HYPERLINK("http://4sq.com/Qii9kZ","Starbucks (สตาร์บัคส์) ")</f>
        <v>Starbucks (สตาร์บัคส์) </v>
      </c>
      <c r="E1449" t="str">
        <f>IFERROR(__xludf.DUMMYFUNCTION("REGEXEXTRACT(FORMULATEXT(D1449),""center=([-0-9.]+,[-0-9.]+)"")"),"#N/A")</f>
        <v>#N/A</v>
      </c>
    </row>
    <row r="1450">
      <c r="A1450" s="1" t="s">
        <v>1456</v>
      </c>
      <c r="B1450" s="1" t="s">
        <v>1101</v>
      </c>
      <c r="C1450" s="2" t="str">
        <f>HYPERLINK("http://4sq.com/acCCHE","My Resort Hua Hin ")</f>
        <v>My Resort Hua Hin </v>
      </c>
      <c r="E1450" t="str">
        <f>IFERROR(__xludf.DUMMYFUNCTION("REGEXEXTRACT(FORMULATEXT(D1450),""center=([-0-9.]+,[-0-9.]+)"")"),"#N/A")</f>
        <v>#N/A</v>
      </c>
    </row>
    <row r="1451">
      <c r="A1451" s="1" t="s">
        <v>1457</v>
      </c>
      <c r="B1451" s="1" t="s">
        <v>1101</v>
      </c>
      <c r="C1451" s="2" t="str">
        <f>HYPERLINK("http://4sq.com/bisbD9","Papa John Grill Restaurant and Beer Garden ")</f>
        <v>Papa John Grill Restaurant and Beer Garden </v>
      </c>
      <c r="E1451" t="str">
        <f>IFERROR(__xludf.DUMMYFUNCTION("REGEXEXTRACT(FORMULATEXT(D1451),""center=([-0-9.]+,[-0-9.]+)"")"),"#N/A")</f>
        <v>#N/A</v>
      </c>
    </row>
    <row r="1452">
      <c r="A1452" s="1" t="s">
        <v>1458</v>
      </c>
      <c r="B1452" s="1" t="s">
        <v>1101</v>
      </c>
      <c r="C1452" s="2" t="str">
        <f>HYPERLINK("http://4sq.com/acCCHE","My Resort Hua Hin ")</f>
        <v>My Resort Hua Hin </v>
      </c>
      <c r="E1452" t="str">
        <f>IFERROR(__xludf.DUMMYFUNCTION("REGEXEXTRACT(FORMULATEXT(D1452),""center=([-0-9.]+,[-0-9.]+)"")"),"#N/A")</f>
        <v>#N/A</v>
      </c>
    </row>
    <row r="1453">
      <c r="A1453" s="1" t="s">
        <v>1459</v>
      </c>
      <c r="B1453" s="1" t="s">
        <v>1101</v>
      </c>
      <c r="C1453" s="2" t="str">
        <f>HYPERLINK("http://4sq.com/eBDxxv","สุภัทรา ริมทะเล (Supatra-by-the Sea) ")</f>
        <v>สุภัทรา ริมทะเล (Supatra-by-the Sea) </v>
      </c>
      <c r="E1453" t="str">
        <f>IFERROR(__xludf.DUMMYFUNCTION("REGEXEXTRACT(FORMULATEXT(D1453),""center=([-0-9.]+,[-0-9.]+)"")"),"#N/A")</f>
        <v>#N/A</v>
      </c>
    </row>
    <row r="1454">
      <c r="A1454" s="1" t="s">
        <v>1460</v>
      </c>
      <c r="B1454" s="1" t="s">
        <v>1101</v>
      </c>
      <c r="C1454" s="2" t="str">
        <f>HYPERLINK("http://4sq.com/96pKvq","เจี้ยเส็ง ")</f>
        <v>เจี้ยเส็ง </v>
      </c>
      <c r="E1454" t="str">
        <f>IFERROR(__xludf.DUMMYFUNCTION("REGEXEXTRACT(FORMULATEXT(D1454),""center=([-0-9.]+,[-0-9.]+)"")"),"#N/A")</f>
        <v>#N/A</v>
      </c>
    </row>
    <row r="1455">
      <c r="A1455" s="1" t="s">
        <v>1461</v>
      </c>
      <c r="B1455" s="1" t="s">
        <v>1101</v>
      </c>
      <c r="C1455" s="2" t="str">
        <f>HYPERLINK("http://4sq.com/eBDxxv","สุภัทรา ริมทะเล (Supatra-by-the Sea) ")</f>
        <v>สุภัทรา ริมทะเล (Supatra-by-the Sea) </v>
      </c>
      <c r="E1455" t="str">
        <f>IFERROR(__xludf.DUMMYFUNCTION("REGEXEXTRACT(FORMULATEXT(D1455),""center=([-0-9.]+,[-0-9.]+)"")"),"#N/A")</f>
        <v>#N/A</v>
      </c>
    </row>
    <row r="1456">
      <c r="A1456" s="1" t="s">
        <v>1462</v>
      </c>
      <c r="B1456" s="1" t="s">
        <v>1101</v>
      </c>
      <c r="C1456" s="2" t="str">
        <f>HYPERLINK("http://4sq.com/yvtsZB","The Crest Santora ")</f>
        <v>The Crest Santora </v>
      </c>
      <c r="E1456" t="str">
        <f>IFERROR(__xludf.DUMMYFUNCTION("REGEXEXTRACT(FORMULATEXT(D1456),""center=([-0-9.]+,[-0-9.]+)"")"),"#N/A")</f>
        <v>#N/A</v>
      </c>
    </row>
    <row r="1457">
      <c r="A1457" s="1" t="s">
        <v>1463</v>
      </c>
      <c r="B1457" s="1" t="s">
        <v>1464</v>
      </c>
      <c r="C1457" s="2" t="str">
        <f>HYPERLINK("http://4sq.com/8nshzI","Cicada Market (ซิเคด้า มาร์เก็ต) ")</f>
        <v>Cicada Market (ซิเคด้า มาร์เก็ต) </v>
      </c>
      <c r="E1457" t="str">
        <f>IFERROR(__xludf.DUMMYFUNCTION("REGEXEXTRACT(FORMULATEXT(D1457),""center=([-0-9.]+,[-0-9.]+)"")"),"#N/A")</f>
        <v>#N/A</v>
      </c>
    </row>
    <row r="1458">
      <c r="A1458" s="1" t="s">
        <v>1465</v>
      </c>
      <c r="B1458" s="1" t="s">
        <v>1101</v>
      </c>
      <c r="C1458" s="2" t="str">
        <f>HYPERLINK("http://4sq.com/cZkrxp","The Baguette (เดอะ บักเก็ต) ")</f>
        <v>The Baguette (เดอะ บักเก็ต) </v>
      </c>
      <c r="E1458" t="str">
        <f>IFERROR(__xludf.DUMMYFUNCTION("REGEXEXTRACT(FORMULATEXT(D1458),""center=([-0-9.]+,[-0-9.]+)"")"),"#N/A")</f>
        <v>#N/A</v>
      </c>
    </row>
    <row r="1459">
      <c r="A1459" s="1" t="s">
        <v>1466</v>
      </c>
      <c r="B1459" s="1" t="s">
        <v>1101</v>
      </c>
      <c r="C1459" s="2" t="str">
        <f>HYPERLINK("http://4sq.com/kVpZOx","สวนหลวงราชินี (19 ไร่) Hua Hin Queen's Park ")</f>
        <v>สวนหลวงราชินี (19 ไร่) Hua Hin Queen's Park </v>
      </c>
      <c r="E1459" t="str">
        <f>IFERROR(__xludf.DUMMYFUNCTION("REGEXEXTRACT(FORMULATEXT(D1459),""center=([-0-9.]+,[-0-9.]+)"")"),"#N/A")</f>
        <v>#N/A</v>
      </c>
    </row>
    <row r="1460">
      <c r="A1460" s="1" t="s">
        <v>1467</v>
      </c>
      <c r="B1460" s="1" t="s">
        <v>1101</v>
      </c>
      <c r="C1460" s="2" t="str">
        <f>HYPERLINK("http://4sq.com/91Xf7Y","Premium Outlet Cha-am (พรีเมี่ยม เอ้าท์เล็ท ชะอำ) ")</f>
        <v>Premium Outlet Cha-am (พรีเมี่ยม เอ้าท์เล็ท ชะอำ) </v>
      </c>
      <c r="E1460" t="str">
        <f>IFERROR(__xludf.DUMMYFUNCTION("REGEXEXTRACT(FORMULATEXT(D1460),""center=([-0-9.]+,[-0-9.]+)"")"),"#N/A")</f>
        <v>#N/A</v>
      </c>
    </row>
    <row r="1461">
      <c r="A1461" s="1" t="s">
        <v>1468</v>
      </c>
      <c r="B1461" s="1" t="s">
        <v>1101</v>
      </c>
      <c r="C1461" s="2" t="str">
        <f>HYPERLINK("http://4sq.com/quP7dM","Smiling Albino ")</f>
        <v>Smiling Albino </v>
      </c>
      <c r="E1461" t="str">
        <f>IFERROR(__xludf.DUMMYFUNCTION("REGEXEXTRACT(FORMULATEXT(D1461),""center=([-0-9.]+,[-0-9.]+)"")"),"#N/A")</f>
        <v>#N/A</v>
      </c>
    </row>
    <row r="1462">
      <c r="A1462" s="1" t="s">
        <v>1469</v>
      </c>
      <c r="B1462" s="1" t="s">
        <v>1101</v>
      </c>
      <c r="C1462" s="2" t="str">
        <f>HYPERLINK("http://4sq.com/cOayJy","โรงแรมกานต์มณี พาเลซ (Karnmanee Palace) ")</f>
        <v>โรงแรมกานต์มณี พาเลซ (Karnmanee Palace) </v>
      </c>
      <c r="E1462" t="str">
        <f>IFERROR(__xludf.DUMMYFUNCTION("REGEXEXTRACT(FORMULATEXT(D1462),""center=([-0-9.]+,[-0-9.]+)"")"),"#N/A")</f>
        <v>#N/A</v>
      </c>
    </row>
    <row r="1463">
      <c r="A1463" s="1" t="s">
        <v>1470</v>
      </c>
      <c r="B1463" s="1" t="s">
        <v>1101</v>
      </c>
      <c r="C1463" s="2" t="str">
        <f>HYPERLINK("http://4sq.com/5gnRsF","MBK Center (เอ็ม บี เค เซ็นเตอร์) ")</f>
        <v>MBK Center (เอ็ม บี เค เซ็นเตอร์) </v>
      </c>
      <c r="E1463" t="str">
        <f>IFERROR(__xludf.DUMMYFUNCTION("REGEXEXTRACT(FORMULATEXT(D1463),""center=([-0-9.]+,[-0-9.]+)"")"),"#N/A")</f>
        <v>#N/A</v>
      </c>
    </row>
    <row r="1464">
      <c r="A1464" s="1" t="s">
        <v>1471</v>
      </c>
      <c r="B1464" s="1" t="s">
        <v>1101</v>
      </c>
      <c r="C1464" s="2" t="str">
        <f>HYPERLINK("http://4sq.com/6faMgT","Siam Paragon (สยามพารากอน) ")</f>
        <v>Siam Paragon (สยามพารากอน) </v>
      </c>
      <c r="E1464" t="str">
        <f>IFERROR(__xludf.DUMMYFUNCTION("REGEXEXTRACT(FORMULATEXT(D1464),""center=([-0-9.]+,[-0-9.]+)"")"),"#N/A")</f>
        <v>#N/A</v>
      </c>
    </row>
    <row r="1465">
      <c r="A1465" s="1" t="s">
        <v>1472</v>
      </c>
      <c r="B1465" s="1" t="s">
        <v>1101</v>
      </c>
      <c r="C1465" s="2" t="str">
        <f>HYPERLINK("http://4sq.com/eWZfrg","Shell Gas Station ")</f>
        <v>Shell Gas Station </v>
      </c>
      <c r="E1465" t="str">
        <f>IFERROR(__xludf.DUMMYFUNCTION("REGEXEXTRACT(FORMULATEXT(D1465),""center=([-0-9.]+,[-0-9.]+)"")"),"#N/A")</f>
        <v>#N/A</v>
      </c>
    </row>
    <row r="1466">
      <c r="A1466" s="1" t="s">
        <v>1473</v>
      </c>
      <c r="B1466" s="1" t="s">
        <v>1101</v>
      </c>
      <c r="C1466" s="2" t="str">
        <f>HYPERLINK("http://4sq.com/1YDokbI","ปั้มน้ำมันเชลล์(กิมปิโตรเลี่ยม) ")</f>
        <v>ปั้มน้ำมันเชลล์(กิมปิโตรเลี่ยม) </v>
      </c>
      <c r="E1466" t="str">
        <f>IFERROR(__xludf.DUMMYFUNCTION("REGEXEXTRACT(FORMULATEXT(D1466),""center=([-0-9.]+,[-0-9.]+)"")"),"#N/A")</f>
        <v>#N/A</v>
      </c>
    </row>
    <row r="1467">
      <c r="A1467" s="1" t="s">
        <v>1474</v>
      </c>
      <c r="B1467" s="1" t="s">
        <v>1101</v>
      </c>
      <c r="C1467" s="2" t="str">
        <f>HYPERLINK("http://4sq.com/1DVj7Cf","Foresto Sukhothai Guesthouse ")</f>
        <v>Foresto Sukhothai Guesthouse </v>
      </c>
      <c r="E1467" t="str">
        <f>IFERROR(__xludf.DUMMYFUNCTION("REGEXEXTRACT(FORMULATEXT(D1467),""center=([-0-9.]+,[-0-9.]+)"")"),"#N/A")</f>
        <v>#N/A</v>
      </c>
    </row>
    <row r="1468">
      <c r="A1468" s="1" t="s">
        <v>1475</v>
      </c>
      <c r="B1468" s="1" t="s">
        <v>1101</v>
      </c>
      <c r="C1468" s="2" t="str">
        <f>HYPERLINK("http://4sq.com/ao6gIR","อุทยานประวัติศาสตร์สุโขทัย (Historic Town of Sukhothai) ")</f>
        <v>อุทยานประวัติศาสตร์สุโขทัย (Historic Town of Sukhothai) </v>
      </c>
      <c r="E1468" t="str">
        <f>IFERROR(__xludf.DUMMYFUNCTION("REGEXEXTRACT(FORMULATEXT(D1468),""center=([-0-9.]+,[-0-9.]+)"")"),"#N/A")</f>
        <v>#N/A</v>
      </c>
    </row>
    <row r="1469">
      <c r="A1469" s="1" t="s">
        <v>1476</v>
      </c>
      <c r="B1469" s="1" t="s">
        <v>1101</v>
      </c>
      <c r="C1469" s="2" t="str">
        <f>HYPERLINK("http://4sq.com/1kHbwLf","บ้านหอมกลิ่นดิน Cafe ")</f>
        <v>บ้านหอมกลิ่นดิน Cafe </v>
      </c>
      <c r="E1469" t="str">
        <f>IFERROR(__xludf.DUMMYFUNCTION("REGEXEXTRACT(FORMULATEXT(D1469),""center=([-0-9.]+,[-0-9.]+)"")"),"#N/A")</f>
        <v>#N/A</v>
      </c>
    </row>
    <row r="1470">
      <c r="A1470" s="1" t="s">
        <v>1477</v>
      </c>
      <c r="B1470" s="1" t="s">
        <v>1101</v>
      </c>
      <c r="C1470" s="2" t="str">
        <f>HYPERLINK("http://4sq.com/1GjmLUZ","Pizza Pasta by Simon ")</f>
        <v>Pizza Pasta by Simon </v>
      </c>
      <c r="E1470" t="str">
        <f>IFERROR(__xludf.DUMMYFUNCTION("REGEXEXTRACT(FORMULATEXT(D1470),""center=([-0-9.]+,[-0-9.]+)"")"),"#N/A")</f>
        <v>#N/A</v>
      </c>
    </row>
    <row r="1471">
      <c r="A1471" s="1" t="s">
        <v>1478</v>
      </c>
      <c r="B1471" s="1" t="s">
        <v>1101</v>
      </c>
      <c r="C1471" s="2" t="str">
        <f>HYPERLINK("http://4sq.com/1e6LrSS","ธนาคารกสิกรไทย (KASIKORNBANK) ")</f>
        <v>ธนาคารกสิกรไทย (KASIKORNBANK) </v>
      </c>
      <c r="E1471" t="str">
        <f>IFERROR(__xludf.DUMMYFUNCTION("REGEXEXTRACT(FORMULATEXT(D1471),""center=([-0-9.]+,[-0-9.]+)"")"),"#N/A")</f>
        <v>#N/A</v>
      </c>
    </row>
    <row r="1472">
      <c r="A1472" s="1" t="s">
        <v>1479</v>
      </c>
      <c r="B1472" s="1" t="s">
        <v>1101</v>
      </c>
      <c r="C1472" s="2" t="str">
        <f>HYPERLINK("http://4sq.com/9rHN1N","Jirung Health Village Resort Chiang Mai ")</f>
        <v>Jirung Health Village Resort Chiang Mai </v>
      </c>
      <c r="E1472" t="str">
        <f>IFERROR(__xludf.DUMMYFUNCTION("REGEXEXTRACT(FORMULATEXT(D1472),""center=([-0-9.]+,[-0-9.]+)"")"),"#N/A")</f>
        <v>#N/A</v>
      </c>
    </row>
    <row r="1473">
      <c r="A1473" s="1" t="s">
        <v>1480</v>
      </c>
      <c r="B1473" s="1" t="s">
        <v>1101</v>
      </c>
      <c r="C1473" s="2" t="str">
        <f>HYPERLINK("http://4sq.com/uU597b","Baa Baa Black Cafe ")</f>
        <v>Baa Baa Black Cafe </v>
      </c>
      <c r="E1473" t="str">
        <f>IFERROR(__xludf.DUMMYFUNCTION("REGEXEXTRACT(FORMULATEXT(D1473),""center=([-0-9.]+,[-0-9.]+)"")"),"#N/A")</f>
        <v>#N/A</v>
      </c>
    </row>
    <row r="1474">
      <c r="A1474" s="1" t="s">
        <v>1481</v>
      </c>
      <c r="B1474" s="1" t="s">
        <v>1101</v>
      </c>
      <c r="C1474" s="2" t="str">
        <f>HYPERLINK("http://4sq.com/1NMIaul","Cheunjai Coffee&amp;Thai food ")</f>
        <v>Cheunjai Coffee&amp;Thai food </v>
      </c>
      <c r="E1474" t="str">
        <f>IFERROR(__xludf.DUMMYFUNCTION("REGEXEXTRACT(FORMULATEXT(D1474),""center=([-0-9.]+,[-0-9.]+)"")"),"#N/A")</f>
        <v>#N/A</v>
      </c>
    </row>
    <row r="1475">
      <c r="A1475" s="1" t="s">
        <v>1482</v>
      </c>
      <c r="B1475" s="1" t="s">
        <v>1101</v>
      </c>
      <c r="C1475" s="2" t="str">
        <f>HYPERLINK("http://4sq.com/1rS89V1","Subway 24 Hrs. at Nimmanahaemind ")</f>
        <v>Subway 24 Hrs. at Nimmanahaemind </v>
      </c>
      <c r="E1475" t="str">
        <f>IFERROR(__xludf.DUMMYFUNCTION("REGEXEXTRACT(FORMULATEXT(D1475),""center=([-0-9.]+,[-0-9.]+)"")"),"#N/A")</f>
        <v>#N/A</v>
      </c>
    </row>
    <row r="1476">
      <c r="A1476" s="1" t="s">
        <v>1483</v>
      </c>
      <c r="B1476" s="1" t="s">
        <v>1101</v>
      </c>
      <c r="C1476" s="2" t="str">
        <f>HYPERLINK("http://4sq.com/1WZ0JPr","enoteca ")</f>
        <v>enoteca </v>
      </c>
      <c r="E1476" t="str">
        <f>IFERROR(__xludf.DUMMYFUNCTION("REGEXEXTRACT(FORMULATEXT(D1476),""center=([-0-9.]+,[-0-9.]+)"")"),"#N/A")</f>
        <v>#N/A</v>
      </c>
    </row>
    <row r="1477">
      <c r="A1477" s="1" t="s">
        <v>1484</v>
      </c>
      <c r="B1477" s="1" t="s">
        <v>1101</v>
      </c>
      <c r="C1477" s="2" t="str">
        <f>HYPERLINK("http://4sq.com/26zoFO8","PK Bike ")</f>
        <v>PK Bike </v>
      </c>
      <c r="E1477" t="str">
        <f>IFERROR(__xludf.DUMMYFUNCTION("REGEXEXTRACT(FORMULATEXT(D1477),""center=([-0-9.]+,[-0-9.]+)"")"),"#N/A")</f>
        <v>#N/A</v>
      </c>
    </row>
    <row r="1478">
      <c r="A1478" s="1" t="s">
        <v>1485</v>
      </c>
      <c r="B1478" s="1" t="s">
        <v>1101</v>
      </c>
      <c r="C1478" s="2" t="str">
        <f>HYPERLINK("http://4sq.com/hjWEPh","Nimseeseng Transport 1988 (นิ่มซี่เส็งขนส่ง 1988) ")</f>
        <v>Nimseeseng Transport 1988 (นิ่มซี่เส็งขนส่ง 1988) </v>
      </c>
      <c r="E1478" t="str">
        <f>IFERROR(__xludf.DUMMYFUNCTION("REGEXEXTRACT(FORMULATEXT(D1478),""center=([-0-9.]+,[-0-9.]+)"")"),"#N/A")</f>
        <v>#N/A</v>
      </c>
    </row>
    <row r="1479">
      <c r="A1479" s="1" t="s">
        <v>1486</v>
      </c>
      <c r="B1479" s="1" t="s">
        <v>1101</v>
      </c>
      <c r="C1479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479" t="str">
        <f>IFERROR(__xludf.DUMMYFUNCTION("REGEXEXTRACT(FORMULATEXT(D1479),""center=([-0-9.]+,[-0-9.]+)"")"),"#N/A")</f>
        <v>#N/A</v>
      </c>
    </row>
    <row r="1480">
      <c r="A1480" s="1" t="s">
        <v>1487</v>
      </c>
      <c r="B1480" s="1" t="s">
        <v>1101</v>
      </c>
      <c r="C1480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480" t="str">
        <f>IFERROR(__xludf.DUMMYFUNCTION("REGEXEXTRACT(FORMULATEXT(D1480),""center=([-0-9.]+,[-0-9.]+)"")"),"#N/A")</f>
        <v>#N/A</v>
      </c>
    </row>
    <row r="1481">
      <c r="A1481" s="1" t="s">
        <v>1488</v>
      </c>
      <c r="B1481" s="1" t="s">
        <v>1101</v>
      </c>
      <c r="C1481" s="2" t="str">
        <f>HYPERLINK("http://4sq.com/1bqZ1Oa","Drink Drank Drunk Minibar ")</f>
        <v>Drink Drank Drunk Minibar </v>
      </c>
      <c r="E1481" t="str">
        <f>IFERROR(__xludf.DUMMYFUNCTION("REGEXEXTRACT(FORMULATEXT(D1481),""center=([-0-9.]+,[-0-9.]+)"")"),"#N/A")</f>
        <v>#N/A</v>
      </c>
    </row>
    <row r="1482">
      <c r="A1482" s="1" t="s">
        <v>1489</v>
      </c>
      <c r="B1482" s="1" t="s">
        <v>1101</v>
      </c>
      <c r="C1482" s="2" t="str">
        <f>HYPERLINK("http://4sq.com/4Un8by","BTS Phra Khanong (E8) (BTS พระโขนง) ")</f>
        <v>BTS Phra Khanong (E8) (BTS พระโขนง) </v>
      </c>
      <c r="E1482" t="str">
        <f>IFERROR(__xludf.DUMMYFUNCTION("REGEXEXTRACT(FORMULATEXT(D1482),""center=([-0-9.]+,[-0-9.]+)"")"),"#N/A")</f>
        <v>#N/A</v>
      </c>
    </row>
    <row r="1483">
      <c r="A1483" s="1" t="s">
        <v>1490</v>
      </c>
      <c r="B1483" s="1" t="s">
        <v>1101</v>
      </c>
      <c r="C1483" s="2" t="str">
        <f>HYPERLINK("http://4sq.com/85Neg4","Asia Hotel Bangkok (โรงแรมเอเซีย) ")</f>
        <v>Asia Hotel Bangkok (โรงแรมเอเซีย) </v>
      </c>
      <c r="E1483" t="str">
        <f>IFERROR(__xludf.DUMMYFUNCTION("REGEXEXTRACT(FORMULATEXT(D1483),""center=([-0-9.]+,[-0-9.]+)"")"),"#N/A")</f>
        <v>#N/A</v>
      </c>
    </row>
    <row r="1484">
      <c r="A1484" s="1" t="s">
        <v>1491</v>
      </c>
      <c r="B1484" s="1" t="s">
        <v>1101</v>
      </c>
      <c r="C1484" s="2" t="str">
        <f>HYPERLINK("http://4sq.com/5gnRsF","MBK Center (เอ็ม บี เค เซ็นเตอร์) ")</f>
        <v>MBK Center (เอ็ม บี เค เซ็นเตอร์) </v>
      </c>
      <c r="E1484" t="str">
        <f>IFERROR(__xludf.DUMMYFUNCTION("REGEXEXTRACT(FORMULATEXT(D1484),""center=([-0-9.]+,[-0-9.]+)"")"),"#N/A")</f>
        <v>#N/A</v>
      </c>
    </row>
    <row r="1485">
      <c r="A1485" s="1" t="s">
        <v>1492</v>
      </c>
      <c r="B1485" s="1" t="s">
        <v>1101</v>
      </c>
      <c r="C1485" s="2" t="str">
        <f>HYPERLINK("http://4sq.com/d3Ch3r","True Urban Park &amp; TrueCoffee (ทรู เออร์แบนพาร์ค &amp; ทรูคอฟฟี่) ")</f>
        <v>True Urban Park &amp; TrueCoffee (ทรู เออร์แบนพาร์ค &amp; ทรูคอฟฟี่) </v>
      </c>
      <c r="E1485" t="str">
        <f>IFERROR(__xludf.DUMMYFUNCTION("REGEXEXTRACT(FORMULATEXT(D1485),""center=([-0-9.]+,[-0-9.]+)"")"),"#N/A")</f>
        <v>#N/A</v>
      </c>
    </row>
    <row r="1486">
      <c r="A1486" s="1" t="s">
        <v>1493</v>
      </c>
      <c r="B1486" s="1" t="s">
        <v>1101</v>
      </c>
      <c r="C1486" s="2" t="str">
        <f>HYPERLINK("http://4sq.com/Latpkm","Perfect Masterpiece ")</f>
        <v>Perfect Masterpiece </v>
      </c>
      <c r="E1486" t="str">
        <f>IFERROR(__xludf.DUMMYFUNCTION("REGEXEXTRACT(FORMULATEXT(D1486),""center=([-0-9.]+,[-0-9.]+)"")"),"#N/A")</f>
        <v>#N/A</v>
      </c>
    </row>
    <row r="1487">
      <c r="A1487" s="1" t="s">
        <v>1494</v>
      </c>
      <c r="B1487" s="1" t="s">
        <v>1101</v>
      </c>
      <c r="C1487" s="2" t="str">
        <f>HYPERLINK("http://4sq.com/aDZ5gt","Paulaner Garden ")</f>
        <v>Paulaner Garden </v>
      </c>
      <c r="E1487" t="str">
        <f>IFERROR(__xludf.DUMMYFUNCTION("REGEXEXTRACT(FORMULATEXT(D1487),""center=([-0-9.]+,[-0-9.]+)"")"),"#N/A")</f>
        <v>#N/A</v>
      </c>
    </row>
    <row r="1488">
      <c r="A1488" s="1" t="s">
        <v>1495</v>
      </c>
      <c r="B1488" s="1" t="s">
        <v>1101</v>
      </c>
      <c r="C1488" s="2" t="str">
        <f>HYPERLINK("http://4sq.com/fAWkjh","Chu Chocolate Bar &amp; Café (ชู ช็อคโกแล็ต บาร์ &amp; คาเฟ่) ")</f>
        <v>Chu Chocolate Bar &amp; Café (ชู ช็อคโกแล็ต บาร์ &amp; คาเฟ่) </v>
      </c>
      <c r="E1488" t="str">
        <f>IFERROR(__xludf.DUMMYFUNCTION("REGEXEXTRACT(FORMULATEXT(D1488),""center=([-0-9.]+,[-0-9.]+)"")"),"#N/A")</f>
        <v>#N/A</v>
      </c>
    </row>
    <row r="1489">
      <c r="A1489" s="1" t="s">
        <v>1496</v>
      </c>
      <c r="B1489" s="1" t="s">
        <v>1101</v>
      </c>
      <c r="C1489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489" t="str">
        <f>IFERROR(__xludf.DUMMYFUNCTION("REGEXEXTRACT(FORMULATEXT(D1489),""center=([-0-9.]+,[-0-9.]+)"")"),"#N/A")</f>
        <v>#N/A</v>
      </c>
    </row>
    <row r="1490">
      <c r="A1490" s="1" t="s">
        <v>1497</v>
      </c>
      <c r="B1490" s="1" t="s">
        <v>1101</v>
      </c>
      <c r="C1490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490" t="str">
        <f>IFERROR(__xludf.DUMMYFUNCTION("REGEXEXTRACT(FORMULATEXT(D1490),""center=([-0-9.]+,[-0-9.]+)"")"),"#N/A")</f>
        <v>#N/A</v>
      </c>
    </row>
    <row r="1491">
      <c r="A1491" s="1" t="s">
        <v>1498</v>
      </c>
      <c r="B1491" s="1" t="s">
        <v>1101</v>
      </c>
      <c r="C1491" s="2" t="str">
        <f>HYPERLINK("http://4sq.com/96C3Ox","Mae Sa Waterfall (น้ำตกแม่สา) ")</f>
        <v>Mae Sa Waterfall (น้ำตกแม่สา) </v>
      </c>
      <c r="E1491" t="str">
        <f>IFERROR(__xludf.DUMMYFUNCTION("REGEXEXTRACT(FORMULATEXT(D1491),""center=([-0-9.]+,[-0-9.]+)"")"),"#N/A")</f>
        <v>#N/A</v>
      </c>
    </row>
    <row r="1492">
      <c r="A1492" s="1" t="s">
        <v>1499</v>
      </c>
      <c r="B1492" s="1" t="s">
        <v>1101</v>
      </c>
      <c r="C1492" s="2" t="str">
        <f>HYPERLINK("http://4sq.com/1LwwIEn","Let It Be ")</f>
        <v>Let It Be </v>
      </c>
      <c r="E1492" t="str">
        <f>IFERROR(__xludf.DUMMYFUNCTION("REGEXEXTRACT(FORMULATEXT(D1492),""center=([-0-9.]+,[-0-9.]+)"")"),"#N/A")</f>
        <v>#N/A</v>
      </c>
    </row>
    <row r="1493">
      <c r="A1493" s="1" t="s">
        <v>1500</v>
      </c>
      <c r="B1493" s="1" t="s">
        <v>1101</v>
      </c>
      <c r="C1493" s="2" t="str">
        <f>HYPERLINK("http://4sq.com/g9twhu","CALTEX สนามม้า ")</f>
        <v>CALTEX สนามม้า </v>
      </c>
      <c r="E1493" t="str">
        <f>IFERROR(__xludf.DUMMYFUNCTION("REGEXEXTRACT(FORMULATEXT(D1493),""center=([-0-9.]+,[-0-9.]+)"")"),"#N/A")</f>
        <v>#N/A</v>
      </c>
    </row>
    <row r="1494">
      <c r="A1494" s="1" t="s">
        <v>1501</v>
      </c>
      <c r="B1494" s="1" t="s">
        <v>1101</v>
      </c>
      <c r="C1494" s="2" t="str">
        <f t="shared" ref="C1494:C1495" si="34">HYPERLINK("http://4sq.com/1uTcCs4","Local Cafe (คาเฟ่บ้านนอก) ")</f>
        <v>Local Cafe (คาเฟ่บ้านนอก) </v>
      </c>
      <c r="E1494" t="str">
        <f>IFERROR(__xludf.DUMMYFUNCTION("REGEXEXTRACT(FORMULATEXT(D1494),""center=([-0-9.]+,[-0-9.]+)"")"),"#N/A")</f>
        <v>#N/A</v>
      </c>
    </row>
    <row r="1495">
      <c r="A1495" s="4" t="s">
        <v>1502</v>
      </c>
      <c r="B1495" s="1"/>
      <c r="C1495" s="2" t="str">
        <f t="shared" si="34"/>
        <v>Local Cafe (คาเฟ่บ้านนอก) </v>
      </c>
      <c r="E1495" t="str">
        <f>IFERROR(__xludf.DUMMYFUNCTION("REGEXEXTRACT(FORMULATEXT(D1495),""center=([-0-9.]+,[-0-9.]+)"")"),"#N/A")</f>
        <v>#N/A</v>
      </c>
    </row>
    <row r="1496">
      <c r="A1496" s="4" t="s">
        <v>1503</v>
      </c>
      <c r="B1496" s="1" t="s">
        <v>1101</v>
      </c>
      <c r="C1496" s="2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  <c r="E1496" t="str">
        <f>IFERROR(__xludf.DUMMYFUNCTION("REGEXEXTRACT(FORMULATEXT(D1496),""center=([-0-9.]+,[-0-9.]+)"")"),"#N/A")</f>
        <v>#N/A</v>
      </c>
    </row>
    <row r="1497">
      <c r="A1497" s="4" t="s">
        <v>1504</v>
      </c>
      <c r="B1497" s="1" t="s">
        <v>1101</v>
      </c>
      <c r="C1497" s="2" t="str">
        <f>HYPERLINK("http://4sq.com/1LwwIEn","Let It Be ")</f>
        <v>Let It Be </v>
      </c>
      <c r="E1497" t="str">
        <f>IFERROR(__xludf.DUMMYFUNCTION("REGEXEXTRACT(FORMULATEXT(D1497),""center=([-0-9.]+,[-0-9.]+)"")"),"#N/A")</f>
        <v>#N/A</v>
      </c>
    </row>
    <row r="1498">
      <c r="A1498" s="4" t="s">
        <v>1505</v>
      </c>
      <c r="B1498" s="1" t="s">
        <v>1101</v>
      </c>
      <c r="C1498" s="2" t="str">
        <f>HYPERLINK("http://4sq.com/1GjmLUZ","Pizza Pasta by Simon ")</f>
        <v>Pizza Pasta by Simon </v>
      </c>
      <c r="E1498" t="str">
        <f>IFERROR(__xludf.DUMMYFUNCTION("REGEXEXTRACT(FORMULATEXT(D1498),""center=([-0-9.]+,[-0-9.]+)"")"),"#N/A")</f>
        <v>#N/A</v>
      </c>
    </row>
    <row r="1499">
      <c r="A1499" s="4" t="s">
        <v>1506</v>
      </c>
      <c r="B1499" s="1" t="s">
        <v>1101</v>
      </c>
      <c r="C1499" s="2" t="str">
        <f>HYPERLINK("http://4sq.com/1jTBwo9","KURTOSH ( the home of chimney cake ) ")</f>
        <v>KURTOSH ( the home of chimney cake ) </v>
      </c>
      <c r="E1499" t="str">
        <f>IFERROR(__xludf.DUMMYFUNCTION("REGEXEXTRACT(FORMULATEXT(D1499),""center=([-0-9.]+,[-0-9.]+)"")"),"#N/A")</f>
        <v>#N/A</v>
      </c>
    </row>
    <row r="1500">
      <c r="A1500" s="4" t="s">
        <v>1507</v>
      </c>
      <c r="B1500" s="1" t="s">
        <v>1101</v>
      </c>
      <c r="C1500" s="2" t="str">
        <f>HYPERLINK("http://4sq.com/9adz8k","Susco ")</f>
        <v>Susco </v>
      </c>
      <c r="E1500" t="str">
        <f>IFERROR(__xludf.DUMMYFUNCTION("REGEXEXTRACT(FORMULATEXT(D1500),""center=([-0-9.]+,[-0-9.]+)"")"),"#N/A")</f>
        <v>#N/A</v>
      </c>
    </row>
    <row r="1501">
      <c r="A1501" s="4" t="s">
        <v>1508</v>
      </c>
      <c r="B1501" s="1" t="s">
        <v>1101</v>
      </c>
      <c r="C1501" s="2" t="str">
        <f>HYPERLINK("http://4sq.com/1NMIaul","Cheunjai Coffee&amp;Thai food ")</f>
        <v>Cheunjai Coffee&amp;Thai food </v>
      </c>
      <c r="E1501" t="str">
        <f>IFERROR(__xludf.DUMMYFUNCTION("REGEXEXTRACT(FORMULATEXT(D1501),""center=([-0-9.]+,[-0-9.]+)"")"),"#N/A")</f>
        <v>#N/A</v>
      </c>
    </row>
    <row r="1502">
      <c r="A1502" s="4" t="s">
        <v>1509</v>
      </c>
      <c r="B1502" s="1" t="s">
        <v>1101</v>
      </c>
      <c r="C1502" s="2" t="str">
        <f>HYPERLINK("http://4sq.com/9Xt3FL","Huay Tueng Tao (ห้วยตึงเฒ่า) ")</f>
        <v>Huay Tueng Tao (ห้วยตึงเฒ่า) </v>
      </c>
      <c r="E1502" t="str">
        <f>IFERROR(__xludf.DUMMYFUNCTION("REGEXEXTRACT(FORMULATEXT(D1502),""center=([-0-9.]+,[-0-9.]+)"")"),"#N/A")</f>
        <v>#N/A</v>
      </c>
    </row>
    <row r="1503">
      <c r="A1503" s="4" t="s">
        <v>1510</v>
      </c>
      <c r="B1503" s="1" t="s">
        <v>1101</v>
      </c>
      <c r="C1503" s="2" t="str">
        <f>HYPERLINK("http://4sq.com/1ln165h","Kawasaki แสงสัยธุรกิจยานยนต์ ")</f>
        <v>Kawasaki แสงสัยธุรกิจยานยนต์ </v>
      </c>
      <c r="E1503" t="str">
        <f>IFERROR(__xludf.DUMMYFUNCTION("REGEXEXTRACT(FORMULATEXT(D1503),""center=([-0-9.]+,[-0-9.]+)"")"),"#N/A")</f>
        <v>#N/A</v>
      </c>
    </row>
    <row r="1504">
      <c r="A1504" s="4" t="s">
        <v>1511</v>
      </c>
      <c r="B1504" s="1" t="s">
        <v>1101</v>
      </c>
      <c r="C1504" s="2" t="str">
        <f>HYPERLINK("http://4sq.com/9gQjfr","S&amp;P (เอสแอนด์พี) ")</f>
        <v>S&amp;P (เอสแอนด์พี) </v>
      </c>
      <c r="E1504" t="str">
        <f>IFERROR(__xludf.DUMMYFUNCTION("REGEXEXTRACT(FORMULATEXT(D1504),""center=([-0-9.]+,[-0-9.]+)"")"),"#N/A")</f>
        <v>#N/A</v>
      </c>
    </row>
    <row r="1505">
      <c r="A1505" s="4" t="s">
        <v>1512</v>
      </c>
      <c r="B1505" s="1" t="s">
        <v>1101</v>
      </c>
      <c r="C1505" s="2" t="str">
        <f>HYPERLINK("http://4sq.com/1U9Ec2j","honda active riding chiang mai ")</f>
        <v>honda active riding chiang mai </v>
      </c>
      <c r="E1505" t="str">
        <f>IFERROR(__xludf.DUMMYFUNCTION("REGEXEXTRACT(FORMULATEXT(D1505),""center=([-0-9.]+,[-0-9.]+)"")"),"#N/A")</f>
        <v>#N/A</v>
      </c>
    </row>
    <row r="1506">
      <c r="A1506" s="4" t="s">
        <v>1513</v>
      </c>
      <c r="B1506" s="1" t="s">
        <v>1101</v>
      </c>
      <c r="C1506" s="2" t="str">
        <f>HYPERLINK("http://4sq.com/LVSPnL","ลุงแปด อร่อยไม่รู้จบ ")</f>
        <v>ลุงแปด อร่อยไม่รู้จบ </v>
      </c>
      <c r="E1506" t="str">
        <f>IFERROR(__xludf.DUMMYFUNCTION("REGEXEXTRACT(FORMULATEXT(D1506),""center=([-0-9.]+,[-0-9.]+)"")"),"#N/A")</f>
        <v>#N/A</v>
      </c>
    </row>
    <row r="1507">
      <c r="A1507" s="4" t="s">
        <v>1514</v>
      </c>
      <c r="B1507" s="1" t="s">
        <v>1101</v>
      </c>
      <c r="C1507" s="2" t="str">
        <f>HYPERLINK("http://4sq.com/9LgIDQ","PTT (ปตท.) ")</f>
        <v>PTT (ปตท.) </v>
      </c>
      <c r="E1507" t="str">
        <f>IFERROR(__xludf.DUMMYFUNCTION("REGEXEXTRACT(FORMULATEXT(D1507),""center=([-0-9.]+,[-0-9.]+)"")"),"#N/A")</f>
        <v>#N/A</v>
      </c>
    </row>
    <row r="1508">
      <c r="A1508" s="4" t="s">
        <v>1515</v>
      </c>
      <c r="B1508" s="1" t="s">
        <v>1101</v>
      </c>
      <c r="C1508" s="2" t="str">
        <f>HYPERLINK("http://4sq.com/dOw1ld","PTT แม่ต๋ำ ")</f>
        <v>PTT แม่ต๋ำ </v>
      </c>
      <c r="E1508" t="str">
        <f>IFERROR(__xludf.DUMMYFUNCTION("REGEXEXTRACT(FORMULATEXT(D1508),""center=([-0-9.]+,[-0-9.]+)"")"),"#N/A")</f>
        <v>#N/A</v>
      </c>
    </row>
    <row r="1509">
      <c r="A1509" s="4" t="s">
        <v>1516</v>
      </c>
      <c r="B1509" s="1" t="s">
        <v>1101</v>
      </c>
      <c r="C1509" s="2" t="str">
        <f>HYPERLINK("http://4sq.com/dVKEkx","Nan River (แม่น้ำน่าน) ")</f>
        <v>Nan River (แม่น้ำน่าน) </v>
      </c>
      <c r="E1509" t="str">
        <f>IFERROR(__xludf.DUMMYFUNCTION("REGEXEXTRACT(FORMULATEXT(D1509),""center=([-0-9.]+,[-0-9.]+)"")"),"#N/A")</f>
        <v>#N/A</v>
      </c>
    </row>
    <row r="1510">
      <c r="A1510" s="4" t="s">
        <v>1517</v>
      </c>
      <c r="B1510" s="1" t="s">
        <v>1101</v>
      </c>
      <c r="C1510" s="2" t="str">
        <f>HYPERLINK("http://4sq.com/hrdv1r","Ptt. สวนตาล. น่าน ")</f>
        <v>Ptt. สวนตาล. น่าน </v>
      </c>
      <c r="E1510" t="str">
        <f>IFERROR(__xludf.DUMMYFUNCTION("REGEXEXTRACT(FORMULATEXT(D1510),""center=([-0-9.]+,[-0-9.]+)"")"),"#N/A")</f>
        <v>#N/A</v>
      </c>
    </row>
    <row r="1511">
      <c r="A1511" s="4" t="s">
        <v>1518</v>
      </c>
      <c r="B1511" s="1" t="s">
        <v>1101</v>
      </c>
      <c r="C1511" s="2" t="str">
        <f>HYPERLINK("http://4sq.com/w2KCFR","ปั๊ม ปตท อ.ปัว | PTT Pua ")</f>
        <v>ปั๊ม ปตท อ.ปัว | PTT Pua </v>
      </c>
      <c r="E1511" t="str">
        <f>IFERROR(__xludf.DUMMYFUNCTION("REGEXEXTRACT(FORMULATEXT(D1511),""center=([-0-9.]+,[-0-9.]+)"")"),"#N/A")</f>
        <v>#N/A</v>
      </c>
    </row>
    <row r="1512">
      <c r="A1512" s="4" t="s">
        <v>1519</v>
      </c>
      <c r="B1512" s="1" t="s">
        <v>1101</v>
      </c>
      <c r="C1512" s="2" t="str">
        <f>HYPERLINK("http://4sq.com/dXWZcT","Green Hill Resort ")</f>
        <v>Green Hill Resort </v>
      </c>
      <c r="E1512" t="str">
        <f>IFERROR(__xludf.DUMMYFUNCTION("REGEXEXTRACT(FORMULATEXT(D1512),""center=([-0-9.]+,[-0-9.]+)"")"),"#N/A")</f>
        <v>#N/A</v>
      </c>
    </row>
    <row r="1513">
      <c r="A1513" s="4" t="s">
        <v>1520</v>
      </c>
      <c r="B1513" s="1" t="s">
        <v>1101</v>
      </c>
      <c r="C1513" s="2" t="str">
        <f>HYPERLINK("http://4sq.com/1qFLKOF","เชียงบานหมูกระทะ ")</f>
        <v>เชียงบานหมูกระทะ </v>
      </c>
      <c r="E1513" t="str">
        <f>IFERROR(__xludf.DUMMYFUNCTION("REGEXEXTRACT(FORMULATEXT(D1513),""center=([-0-9.]+,[-0-9.]+)"")"),"#N/A")</f>
        <v>#N/A</v>
      </c>
    </row>
    <row r="1514">
      <c r="A1514" s="4" t="s">
        <v>1521</v>
      </c>
      <c r="B1514" s="1" t="s">
        <v>1522</v>
      </c>
      <c r="C1514" s="2" t="str">
        <f>HYPERLINK("http://4sq.com/fwbujj","น้ำตกภูซาง ")</f>
        <v>น้ำตกภูซาง </v>
      </c>
      <c r="E1514" t="str">
        <f>IFERROR(__xludf.DUMMYFUNCTION("REGEXEXTRACT(FORMULATEXT(D1514),""center=([-0-9.]+,[-0-9.]+)"")"),"#N/A")</f>
        <v>#N/A</v>
      </c>
    </row>
    <row r="1515">
      <c r="A1515" s="4" t="s">
        <v>1523</v>
      </c>
      <c r="B1515" s="1" t="s">
        <v>1101</v>
      </c>
      <c r="C1515" s="2" t="str">
        <f>HYPERLINK("http://4sq.com/hsiuDQ","Phu Chee Fah (ภูชี้ฟ้า) ")</f>
        <v>Phu Chee Fah (ภูชี้ฟ้า) </v>
      </c>
      <c r="E1515" t="str">
        <f>IFERROR(__xludf.DUMMYFUNCTION("REGEXEXTRACT(FORMULATEXT(D1515),""center=([-0-9.]+,[-0-9.]+)"")"),"#N/A")</f>
        <v>#N/A</v>
      </c>
    </row>
    <row r="1516">
      <c r="A1516" s="4" t="s">
        <v>1524</v>
      </c>
      <c r="B1516" s="1" t="s">
        <v>1101</v>
      </c>
      <c r="C1516" s="2" t="str">
        <f>HYPERLINK("http://4sq.com/9Hjm7r","Namkhong Riverside Hotel (โรงแรมน้ำโขงริเวอร์ไซด์) ")</f>
        <v>Namkhong Riverside Hotel (โรงแรมน้ำโขงริเวอร์ไซด์) </v>
      </c>
      <c r="E1516" t="str">
        <f>IFERROR(__xludf.DUMMYFUNCTION("REGEXEXTRACT(FORMULATEXT(D1516),""center=([-0-9.]+,[-0-9.]+)"")"),"#N/A")</f>
        <v>#N/A</v>
      </c>
    </row>
    <row r="1517">
      <c r="A1517" s="4" t="s">
        <v>1525</v>
      </c>
      <c r="B1517" s="1" t="s">
        <v>1101</v>
      </c>
      <c r="C1517" s="2" t="str">
        <f>HYPERLINK("http://4sq.com/eACzZU","Bambo Snack Bar ")</f>
        <v>Bambo Snack Bar </v>
      </c>
      <c r="E1517" t="str">
        <f>IFERROR(__xludf.DUMMYFUNCTION("REGEXEXTRACT(FORMULATEXT(D1517),""center=([-0-9.]+,[-0-9.]+)"")"),"#N/A")</f>
        <v>#N/A</v>
      </c>
    </row>
    <row r="1518">
      <c r="A1518" s="4" t="s">
        <v>1526</v>
      </c>
      <c r="B1518" s="1" t="s">
        <v>1101</v>
      </c>
      <c r="C1518" s="2" t="str">
        <f>HYPERLINK("http://4sq.com/9gVFlF","The Golden Triangle (สามเหลี่ยมทองคำ) ")</f>
        <v>The Golden Triangle (สามเหลี่ยมทองคำ) </v>
      </c>
      <c r="E1518" t="str">
        <f>IFERROR(__xludf.DUMMYFUNCTION("REGEXEXTRACT(FORMULATEXT(D1518),""center=([-0-9.]+,[-0-9.]+)"")"),"#N/A")</f>
        <v>#N/A</v>
      </c>
    </row>
    <row r="1519">
      <c r="A1519" s="4" t="s">
        <v>1527</v>
      </c>
      <c r="B1519" s="1" t="s">
        <v>1101</v>
      </c>
      <c r="C1519" s="2" t="str">
        <f>HYPERLINK("http://4sq.com/HpMbPv","7-11 ห้วยไคร้ ")</f>
        <v>7-11 ห้วยไคร้ </v>
      </c>
      <c r="E1519" t="str">
        <f>IFERROR(__xludf.DUMMYFUNCTION("REGEXEXTRACT(FORMULATEXT(D1519),""center=([-0-9.]+,[-0-9.]+)"")"),"#N/A")</f>
        <v>#N/A</v>
      </c>
    </row>
    <row r="1520">
      <c r="A1520" s="4" t="s">
        <v>1528</v>
      </c>
      <c r="B1520" s="1" t="s">
        <v>1101</v>
      </c>
      <c r="C1520" s="2" t="str">
        <f>HYPERLINK("http://4sq.com/hjpKVR","กุ้งเต้นบ้านโบราณ ")</f>
        <v>กุ้งเต้นบ้านโบราณ </v>
      </c>
      <c r="E1520" t="str">
        <f>IFERROR(__xludf.DUMMYFUNCTION("REGEXEXTRACT(FORMULATEXT(D1520),""center=([-0-9.]+,[-0-9.]+)"")"),"#N/A")</f>
        <v>#N/A</v>
      </c>
    </row>
    <row r="1521">
      <c r="A1521" s="4" t="s">
        <v>1529</v>
      </c>
      <c r="B1521" s="1" t="s">
        <v>1101</v>
      </c>
      <c r="C1521" s="2" t="str">
        <f>HYPERLINK("http://4sq.com/dnp5uA","AUA ")</f>
        <v>AUA </v>
      </c>
      <c r="E1521" t="str">
        <f>IFERROR(__xludf.DUMMYFUNCTION("REGEXEXTRACT(FORMULATEXT(D1521),""center=([-0-9.]+,[-0-9.]+)"")"),"#N/A")</f>
        <v>#N/A</v>
      </c>
    </row>
    <row r="1522">
      <c r="A1522" s="4" t="s">
        <v>1530</v>
      </c>
      <c r="B1522" s="1" t="s">
        <v>1101</v>
      </c>
      <c r="C1522" s="2" t="str">
        <f>HYPERLINK("http://4sq.com/abPeFc","Ginger &amp; Kafé ")</f>
        <v>Ginger &amp; Kafé </v>
      </c>
      <c r="E1522" t="str">
        <f>IFERROR(__xludf.DUMMYFUNCTION("REGEXEXTRACT(FORMULATEXT(D1522),""center=([-0-9.]+,[-0-9.]+)"")"),"#N/A")</f>
        <v>#N/A</v>
      </c>
    </row>
    <row r="1523">
      <c r="A1523" s="4" t="s">
        <v>1531</v>
      </c>
      <c r="B1523" s="1" t="s">
        <v>1101</v>
      </c>
      <c r="C1523" s="2" t="str">
        <f>HYPERLINK("http://4sq.com/1MkbF74","Black Canyon (แบล็คแคนยอน) ")</f>
        <v>Black Canyon (แบล็คแคนยอน) </v>
      </c>
      <c r="E1523" t="str">
        <f>IFERROR(__xludf.DUMMYFUNCTION("REGEXEXTRACT(FORMULATEXT(D1523),""center=([-0-9.]+,[-0-9.]+)"")"),"#N/A")</f>
        <v>#N/A</v>
      </c>
    </row>
    <row r="1524">
      <c r="A1524" s="4" t="s">
        <v>1532</v>
      </c>
      <c r="B1524" s="1" t="s">
        <v>1101</v>
      </c>
      <c r="C1524" s="2" t="str">
        <f>HYPERLINK("http://4sq.com/o3ZEdO","See Paak Restaurant ")</f>
        <v>See Paak Restaurant </v>
      </c>
      <c r="E1524" t="str">
        <f>IFERROR(__xludf.DUMMYFUNCTION("REGEXEXTRACT(FORMULATEXT(D1524),""center=([-0-9.]+,[-0-9.]+)"")"),"#N/A")</f>
        <v>#N/A</v>
      </c>
    </row>
    <row r="1525">
      <c r="A1525" s="4" t="s">
        <v>1533</v>
      </c>
      <c r="B1525" s="1" t="s">
        <v>1101</v>
      </c>
      <c r="C1525" s="2" t="str">
        <f>HYPERLINK("http://4sq.com/1uTcCs4","Local Cafe (คาเฟ่บ้านนอก) ")</f>
        <v>Local Cafe (คาเฟ่บ้านนอก) </v>
      </c>
      <c r="E1525" t="str">
        <f>IFERROR(__xludf.DUMMYFUNCTION("REGEXEXTRACT(FORMULATEXT(D1525),""center=([-0-9.]+,[-0-9.]+)"")"),"#N/A")</f>
        <v>#N/A</v>
      </c>
    </row>
    <row r="1526">
      <c r="A1526" s="4" t="s">
        <v>1534</v>
      </c>
      <c r="B1526" s="1" t="s">
        <v>1101</v>
      </c>
      <c r="C1526" s="2" t="str">
        <f>HYPERLINK("http://4sq.com/1glAL7r","The Duke's ")</f>
        <v>The Duke's </v>
      </c>
      <c r="E1526" t="str">
        <f>IFERROR(__xludf.DUMMYFUNCTION("REGEXEXTRACT(FORMULATEXT(D1526),""center=([-0-9.]+,[-0-9.]+)"")"),"#N/A")</f>
        <v>#N/A</v>
      </c>
    </row>
    <row r="1527">
      <c r="A1527" s="4" t="s">
        <v>1535</v>
      </c>
      <c r="B1527" s="1" t="s">
        <v>1101</v>
      </c>
      <c r="C1527" s="2" t="str">
        <f>HYPERLINK("http://4sq.com/1BjQ2z6","SS1254372 Cafe ")</f>
        <v>SS1254372 Cafe </v>
      </c>
      <c r="E1527" t="str">
        <f>IFERROR(__xludf.DUMMYFUNCTION("REGEXEXTRACT(FORMULATEXT(D1527),""center=([-0-9.]+,[-0-9.]+)"")"),"#N/A")</f>
        <v>#N/A</v>
      </c>
    </row>
    <row r="1528">
      <c r="A1528" s="4" t="s">
        <v>1536</v>
      </c>
      <c r="B1528" s="1" t="s">
        <v>1101</v>
      </c>
      <c r="C1528" s="2" t="str">
        <f>HYPERLINK("http://4sq.com/1gKlqYY","PINGGOO ")</f>
        <v>PINGGOO </v>
      </c>
      <c r="E1528" t="str">
        <f>IFERROR(__xludf.DUMMYFUNCTION("REGEXEXTRACT(FORMULATEXT(D1528),""center=([-0-9.]+,[-0-9.]+)"")"),"#N/A")</f>
        <v>#N/A</v>
      </c>
    </row>
    <row r="1529">
      <c r="A1529" s="4" t="s">
        <v>1537</v>
      </c>
      <c r="B1529" s="1" t="s">
        <v>1101</v>
      </c>
      <c r="C1529" s="2" t="str">
        <f>HYPERLINK("http://4sq.com/o3ZEdO","See Paak Restaurant ")</f>
        <v>See Paak Restaurant </v>
      </c>
      <c r="E1529" t="str">
        <f>IFERROR(__xludf.DUMMYFUNCTION("REGEXEXTRACT(FORMULATEXT(D1529),""center=([-0-9.]+,[-0-9.]+)"")"),"#N/A")</f>
        <v>#N/A</v>
      </c>
    </row>
    <row r="1530">
      <c r="A1530" s="4" t="s">
        <v>1538</v>
      </c>
      <c r="B1530" s="1" t="s">
        <v>1101</v>
      </c>
      <c r="C1530" s="2" t="str">
        <f>HYPERLINK("http://4sq.com/1uTcCs4","Local Cafe (คาเฟ่บ้านนอก) ")</f>
        <v>Local Cafe (คาเฟ่บ้านนอก) </v>
      </c>
      <c r="E1530" t="str">
        <f>IFERROR(__xludf.DUMMYFUNCTION("REGEXEXTRACT(FORMULATEXT(D1530),""center=([-0-9.]+,[-0-9.]+)"")"),"#N/A")</f>
        <v>#N/A</v>
      </c>
    </row>
    <row r="1531">
      <c r="A1531" s="4" t="s">
        <v>1539</v>
      </c>
      <c r="B1531" s="1" t="s">
        <v>1101</v>
      </c>
      <c r="C1531" s="2" t="str">
        <f>HYPERLINK("http://4sq.com/9TOlNk","Kamrai Shop (กำไร) ")</f>
        <v>Kamrai Shop (กำไร) </v>
      </c>
      <c r="E1531" t="str">
        <f>IFERROR(__xludf.DUMMYFUNCTION("REGEXEXTRACT(FORMULATEXT(D1531),""center=([-0-9.]+,[-0-9.]+)"")"),"#N/A")</f>
        <v>#N/A</v>
      </c>
    </row>
    <row r="1532">
      <c r="A1532" s="4" t="s">
        <v>1540</v>
      </c>
      <c r="B1532" s="1" t="s">
        <v>1101</v>
      </c>
      <c r="C1532" s="2" t="str">
        <f>HYPERLINK("http://4sq.com/1GjmLUZ","Pizza Pasta by Simon ")</f>
        <v>Pizza Pasta by Simon </v>
      </c>
      <c r="E1532" t="str">
        <f>IFERROR(__xludf.DUMMYFUNCTION("REGEXEXTRACT(FORMULATEXT(D1532),""center=([-0-9.]+,[-0-9.]+)"")"),"#N/A")</f>
        <v>#N/A</v>
      </c>
    </row>
    <row r="1533">
      <c r="A1533" s="4" t="s">
        <v>1541</v>
      </c>
      <c r="B1533" s="1" t="s">
        <v>1101</v>
      </c>
      <c r="C1533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533" t="str">
        <f>IFERROR(__xludf.DUMMYFUNCTION("REGEXEXTRACT(FORMULATEXT(D1533),""center=([-0-9.]+,[-0-9.]+)"")"),"#N/A")</f>
        <v>#N/A</v>
      </c>
    </row>
    <row r="1534">
      <c r="A1534" s="4" t="s">
        <v>1542</v>
      </c>
      <c r="B1534" s="1" t="s">
        <v>1101</v>
      </c>
      <c r="C1534" s="2" t="str">
        <f>HYPERLINK("http://4sq.com/9LZ2kP","Horizon Village And Resort Chiang Mai ")</f>
        <v>Horizon Village And Resort Chiang Mai </v>
      </c>
      <c r="E1534" t="str">
        <f>IFERROR(__xludf.DUMMYFUNCTION("REGEXEXTRACT(FORMULATEXT(D1534),""center=([-0-9.]+,[-0-9.]+)"")"),"#N/A")</f>
        <v>#N/A</v>
      </c>
    </row>
    <row r="1535">
      <c r="A1535" s="4" t="s">
        <v>1543</v>
      </c>
      <c r="B1535" s="1" t="s">
        <v>1101</v>
      </c>
      <c r="C1535" s="2" t="str">
        <f>HYPERLINK("http://4sq.com/1NMIaul","Cheunjai Coffee&amp;Thai food ")</f>
        <v>Cheunjai Coffee&amp;Thai food </v>
      </c>
      <c r="E1535" t="str">
        <f>IFERROR(__xludf.DUMMYFUNCTION("REGEXEXTRACT(FORMULATEXT(D1535),""center=([-0-9.]+,[-0-9.]+)"")"),"#N/A")</f>
        <v>#N/A</v>
      </c>
    </row>
    <row r="1536">
      <c r="A1536" s="4" t="s">
        <v>1544</v>
      </c>
      <c r="B1536" s="1" t="s">
        <v>1101</v>
      </c>
      <c r="C1536" s="2" t="str">
        <f>HYPERLINK("http://4sq.com/eF8Lbu","Meechok Plaza (มีโชคพลาซ่า) ")</f>
        <v>Meechok Plaza (มีโชคพลาซ่า) </v>
      </c>
      <c r="E1536" t="str">
        <f>IFERROR(__xludf.DUMMYFUNCTION("REGEXEXTRACT(FORMULATEXT(D1536),""center=([-0-9.]+,[-0-9.]+)"")"),"#N/A")</f>
        <v>#N/A</v>
      </c>
    </row>
    <row r="1537">
      <c r="A1537" s="4" t="s">
        <v>1544</v>
      </c>
      <c r="B1537" s="1" t="s">
        <v>1101</v>
      </c>
      <c r="C1537" s="2" t="str">
        <f>HYPERLINK("http://4sq.com/fHcaB9","Coffee Bus (คอฟฟี่บัส) ")</f>
        <v>Coffee Bus (คอฟฟี่บัส) </v>
      </c>
      <c r="E1537" t="str">
        <f>IFERROR(__xludf.DUMMYFUNCTION("REGEXEXTRACT(FORMULATEXT(D1537),""center=([-0-9.]+,[-0-9.]+)"")"),"#N/A")</f>
        <v>#N/A</v>
      </c>
    </row>
    <row r="1538">
      <c r="A1538" s="4" t="s">
        <v>1545</v>
      </c>
      <c r="B1538" s="1" t="s">
        <v>1101</v>
      </c>
      <c r="C1538" s="2" t="str">
        <f>HYPERLINK("http://4sq.com/N6hvwq","สเปตตูล่าเฮ้าส์ ( Spatula House ) at Cinnamon Hill ")</f>
        <v>สเปตตูล่าเฮ้าส์ ( Spatula House ) at Cinnamon Hill </v>
      </c>
      <c r="E1538" t="str">
        <f>IFERROR(__xludf.DUMMYFUNCTION("REGEXEXTRACT(FORMULATEXT(D1538),""center=([-0-9.]+,[-0-9.]+)"")"),"#N/A")</f>
        <v>#N/A</v>
      </c>
    </row>
    <row r="1539">
      <c r="A1539" s="4" t="s">
        <v>1546</v>
      </c>
      <c r="B1539" s="1" t="s">
        <v>1101</v>
      </c>
      <c r="C1539" s="2" t="str">
        <f>HYPERLINK("http://4sq.com/1fLoxhi","Fukuro Japanese Restaurant &amp; Mini Bar ")</f>
        <v>Fukuro Japanese Restaurant &amp; Mini Bar </v>
      </c>
      <c r="E1539" t="str">
        <f>IFERROR(__xludf.DUMMYFUNCTION("REGEXEXTRACT(FORMULATEXT(D1539),""center=([-0-9.]+,[-0-9.]+)"")"),"#N/A")</f>
        <v>#N/A</v>
      </c>
    </row>
    <row r="1540">
      <c r="A1540" s="4" t="s">
        <v>1547</v>
      </c>
      <c r="B1540" s="1" t="s">
        <v>1101</v>
      </c>
      <c r="C1540" s="2" t="str">
        <f>HYPERLINK("http://4sq.com/o3ZEdO","See Paak Restaurant ")</f>
        <v>See Paak Restaurant </v>
      </c>
      <c r="E1540" t="str">
        <f>IFERROR(__xludf.DUMMYFUNCTION("REGEXEXTRACT(FORMULATEXT(D1540),""center=([-0-9.]+,[-0-9.]+)"")"),"#N/A")</f>
        <v>#N/A</v>
      </c>
    </row>
    <row r="1541">
      <c r="A1541" s="4" t="s">
        <v>1548</v>
      </c>
      <c r="B1541" s="1" t="s">
        <v>1101</v>
      </c>
      <c r="C1541" s="2" t="str">
        <f>HYPERLINK("http://4sq.com/1QBr5FK","นั่งๆนอนๆ Homestyle Kitchen &amp; Bekery ")</f>
        <v>นั่งๆนอนๆ Homestyle Kitchen &amp; Bekery </v>
      </c>
      <c r="E1541" t="str">
        <f>IFERROR(__xludf.DUMMYFUNCTION("REGEXEXTRACT(FORMULATEXT(D1541),""center=([-0-9.]+,[-0-9.]+)"")"),"#N/A")</f>
        <v>#N/A</v>
      </c>
    </row>
    <row r="1542">
      <c r="A1542" s="4" t="s">
        <v>1549</v>
      </c>
      <c r="B1542" s="1" t="s">
        <v>1101</v>
      </c>
      <c r="C1542" s="2" t="str">
        <f>HYPERLINK("http://4sq.com/1GjmLUZ","Pizza Pasta by Simon ")</f>
        <v>Pizza Pasta by Simon </v>
      </c>
      <c r="E1542" t="str">
        <f>IFERROR(__xludf.DUMMYFUNCTION("REGEXEXTRACT(FORMULATEXT(D1542),""center=([-0-9.]+,[-0-9.]+)"")"),"#N/A")</f>
        <v>#N/A</v>
      </c>
    </row>
    <row r="1543">
      <c r="A1543" s="4" t="s">
        <v>1550</v>
      </c>
      <c r="B1543" s="1" t="s">
        <v>1101</v>
      </c>
      <c r="C1543" s="2" t="str">
        <f>HYPERLINK("http://4sq.com/1uTcCs4","Local Cafe (คาเฟ่บ้านนอก) ")</f>
        <v>Local Cafe (คาเฟ่บ้านนอก) </v>
      </c>
      <c r="E1543" t="str">
        <f>IFERROR(__xludf.DUMMYFUNCTION("REGEXEXTRACT(FORMULATEXT(D1543),""center=([-0-9.]+,[-0-9.]+)"")"),"#N/A")</f>
        <v>#N/A</v>
      </c>
    </row>
    <row r="1544">
      <c r="A1544" s="4" t="s">
        <v>1551</v>
      </c>
      <c r="B1544" s="1" t="s">
        <v>1101</v>
      </c>
      <c r="C1544" s="2" t="str">
        <f>HYPERLINK("http://4sq.com/1IdThd4","Beer Lab ")</f>
        <v>Beer Lab </v>
      </c>
      <c r="E1544" t="str">
        <f>IFERROR(__xludf.DUMMYFUNCTION("REGEXEXTRACT(FORMULATEXT(D1544),""center=([-0-9.]+,[-0-9.]+)"")"),"#N/A")</f>
        <v>#N/A</v>
      </c>
    </row>
    <row r="1545">
      <c r="A1545" s="4" t="s">
        <v>1552</v>
      </c>
      <c r="B1545" s="1" t="s">
        <v>1101</v>
      </c>
      <c r="C1545" s="2" t="str">
        <f>HYPERLINK("http://4sq.com/1uTcCs4","Local Cafe (คาเฟ่บ้านนอก) ")</f>
        <v>Local Cafe (คาเฟ่บ้านนอก) </v>
      </c>
      <c r="E1545" t="str">
        <f>IFERROR(__xludf.DUMMYFUNCTION("REGEXEXTRACT(FORMULATEXT(D1545),""center=([-0-9.]+,[-0-9.]+)"")"),"#N/A")</f>
        <v>#N/A</v>
      </c>
    </row>
    <row r="1546">
      <c r="A1546" s="4" t="s">
        <v>1553</v>
      </c>
      <c r="B1546" s="1" t="s">
        <v>1101</v>
      </c>
      <c r="C1546" s="2" t="str">
        <f>HYPERLINK("http://4sq.com/FPUvKe","สระว่ายน้ำกมลภัทร ")</f>
        <v>สระว่ายน้ำกมลภัทร </v>
      </c>
      <c r="E1546" t="str">
        <f>IFERROR(__xludf.DUMMYFUNCTION("REGEXEXTRACT(FORMULATEXT(D1546),""center=([-0-9.]+,[-0-9.]+)"")"),"#N/A")</f>
        <v>#N/A</v>
      </c>
    </row>
    <row r="1547">
      <c r="A1547" s="4" t="s">
        <v>1554</v>
      </c>
      <c r="B1547" s="1" t="s">
        <v>1101</v>
      </c>
      <c r="C1547" s="2" t="str">
        <f>HYPERLINK("http://4sq.com/1uTcCs4","Local Cafe (คาเฟ่บ้านนอก) ")</f>
        <v>Local Cafe (คาเฟ่บ้านนอก) </v>
      </c>
      <c r="E1547" t="str">
        <f>IFERROR(__xludf.DUMMYFUNCTION("REGEXEXTRACT(FORMULATEXT(D1547),""center=([-0-9.]+,[-0-9.]+)"")"),"#N/A")</f>
        <v>#N/A</v>
      </c>
    </row>
    <row r="1548">
      <c r="A1548" s="4" t="s">
        <v>1555</v>
      </c>
      <c r="B1548" s="1" t="s">
        <v>1101</v>
      </c>
      <c r="C1548" s="2" t="str">
        <f>HYPERLINK("http://4sq.com/1wWoVRN","T-Station Bar &amp; Restaurant ")</f>
        <v>T-Station Bar &amp; Restaurant </v>
      </c>
      <c r="E1548" t="str">
        <f>IFERROR(__xludf.DUMMYFUNCTION("REGEXEXTRACT(FORMULATEXT(D1548),""center=([-0-9.]+,[-0-9.]+)"")"),"#N/A")</f>
        <v>#N/A</v>
      </c>
    </row>
    <row r="1549">
      <c r="A1549" s="4" t="s">
        <v>1556</v>
      </c>
      <c r="B1549" s="1" t="s">
        <v>1101</v>
      </c>
      <c r="C1549" s="2" t="str">
        <f>HYPERLINK("http://4sq.com/dvqkdw","Mad Dog Pizza ")</f>
        <v>Mad Dog Pizza </v>
      </c>
      <c r="E1549" t="str">
        <f>IFERROR(__xludf.DUMMYFUNCTION("REGEXEXTRACT(FORMULATEXT(D1549),""center=([-0-9.]+,[-0-9.]+)"")"),"#N/A")</f>
        <v>#N/A</v>
      </c>
    </row>
    <row r="1550">
      <c r="A1550" s="4" t="s">
        <v>1557</v>
      </c>
      <c r="B1550" s="1" t="s">
        <v>1101</v>
      </c>
      <c r="C1550" s="2" t="str">
        <f>HYPERLINK("http://4sq.com/1QBr5FK","นั่งๆนอนๆ Homestyle Kitchen &amp; Bekery ")</f>
        <v>นั่งๆนอนๆ Homestyle Kitchen &amp; Bekery </v>
      </c>
      <c r="E1550" t="str">
        <f>IFERROR(__xludf.DUMMYFUNCTION("REGEXEXTRACT(FORMULATEXT(D1550),""center=([-0-9.]+,[-0-9.]+)"")"),"#N/A")</f>
        <v>#N/A</v>
      </c>
    </row>
    <row r="1551">
      <c r="A1551" s="4" t="s">
        <v>1558</v>
      </c>
      <c r="B1551" s="1" t="s">
        <v>1101</v>
      </c>
      <c r="C1551" s="2" t="str">
        <f>HYPERLINK("http://4sq.com/blk1PB","Chiangmai Walking Street (ถนนคนเดินเชียงใหม่) ")</f>
        <v>Chiangmai Walking Street (ถนนคนเดินเชียงใหม่) </v>
      </c>
      <c r="E1551" t="str">
        <f>IFERROR(__xludf.DUMMYFUNCTION("REGEXEXTRACT(FORMULATEXT(D1551),""center=([-0-9.]+,[-0-9.]+)"")"),"#N/A")</f>
        <v>#N/A</v>
      </c>
    </row>
    <row r="1552">
      <c r="A1552" s="4" t="s">
        <v>1559</v>
      </c>
      <c r="B1552" s="1" t="s">
        <v>1101</v>
      </c>
      <c r="C1552" s="2" t="str">
        <f>HYPERLINK("http://4sq.com/o3ZEdO","See Paak Restaurant ")</f>
        <v>See Paak Restaurant </v>
      </c>
      <c r="E1552" t="str">
        <f>IFERROR(__xludf.DUMMYFUNCTION("REGEXEXTRACT(FORMULATEXT(D1552),""center=([-0-9.]+,[-0-9.]+)"")"),"#N/A")</f>
        <v>#N/A</v>
      </c>
    </row>
    <row r="1553">
      <c r="A1553" s="4" t="s">
        <v>1560</v>
      </c>
      <c r="B1553" s="1" t="s">
        <v>1101</v>
      </c>
      <c r="C1553" s="2" t="str">
        <f>HYPERLINK("http://4sq.com/Y4pNIZ","True Office Chiang Mai ")</f>
        <v>True Office Chiang Mai </v>
      </c>
      <c r="E1553" t="str">
        <f>IFERROR(__xludf.DUMMYFUNCTION("REGEXEXTRACT(FORMULATEXT(D1553),""center=([-0-9.]+,[-0-9.]+)"")"),"#N/A")</f>
        <v>#N/A</v>
      </c>
    </row>
    <row r="1554">
      <c r="A1554" s="4" t="s">
        <v>1561</v>
      </c>
      <c r="B1554" s="1" t="s">
        <v>1101</v>
      </c>
      <c r="C1554" s="2" t="str">
        <f>HYPERLINK("http://4sq.com/1NMIaul","Cheunjai Coffee&amp;Thai food ")</f>
        <v>Cheunjai Coffee&amp;Thai food </v>
      </c>
      <c r="E1554" t="str">
        <f>IFERROR(__xludf.DUMMYFUNCTION("REGEXEXTRACT(FORMULATEXT(D1554),""center=([-0-9.]+,[-0-9.]+)"")"),"#N/A")</f>
        <v>#N/A</v>
      </c>
    </row>
    <row r="1555">
      <c r="A1555" s="4" t="s">
        <v>1562</v>
      </c>
      <c r="B1555" s="1" t="s">
        <v>1101</v>
      </c>
      <c r="C1555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555" t="str">
        <f>IFERROR(__xludf.DUMMYFUNCTION("REGEXEXTRACT(FORMULATEXT(D1555),""center=([-0-9.]+,[-0-9.]+)"")"),"#N/A")</f>
        <v>#N/A</v>
      </c>
    </row>
    <row r="1556">
      <c r="A1556" s="4" t="s">
        <v>1563</v>
      </c>
      <c r="B1556" s="1" t="s">
        <v>1101</v>
      </c>
      <c r="C1556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556" t="str">
        <f>IFERROR(__xludf.DUMMYFUNCTION("REGEXEXTRACT(FORMULATEXT(D1556),""center=([-0-9.]+,[-0-9.]+)"")"),"#N/A")</f>
        <v>#N/A</v>
      </c>
    </row>
    <row r="1557">
      <c r="A1557" s="4" t="s">
        <v>1564</v>
      </c>
      <c r="B1557" s="1" t="s">
        <v>1101</v>
      </c>
      <c r="C1557" s="2" t="str">
        <f>HYPERLINK("http://4sq.com/cjk6ix","NIST International School (โรงเรียนนานาชาตินิสท์) ")</f>
        <v>NIST International School (โรงเรียนนานาชาตินิสท์) </v>
      </c>
      <c r="E1557" t="str">
        <f>IFERROR(__xludf.DUMMYFUNCTION("REGEXEXTRACT(FORMULATEXT(D1557),""center=([-0-9.]+,[-0-9.]+)"")"),"#N/A")</f>
        <v>#N/A</v>
      </c>
    </row>
    <row r="1558">
      <c r="A1558" s="4" t="s">
        <v>1565</v>
      </c>
      <c r="B1558" s="1" t="s">
        <v>1101</v>
      </c>
      <c r="C1558" s="2" t="str">
        <f>HYPERLINK("http://4sq.com/1oKnupc","The Phyll (เดอะฟิลล์) ")</f>
        <v>The Phyll (เดอะฟิลล์) </v>
      </c>
      <c r="E1558" t="str">
        <f>IFERROR(__xludf.DUMMYFUNCTION("REGEXEXTRACT(FORMULATEXT(D1558),""center=([-0-9.]+,[-0-9.]+)"")"),"#N/A")</f>
        <v>#N/A</v>
      </c>
    </row>
    <row r="1559">
      <c r="A1559" s="4" t="s">
        <v>1565</v>
      </c>
      <c r="B1559" s="1" t="s">
        <v>1101</v>
      </c>
      <c r="C1559" s="2" t="str">
        <f>HYPERLINK("http://4sq.com/216m2Q8","Sunrise Tacos ")</f>
        <v>Sunrise Tacos </v>
      </c>
      <c r="E1559" t="str">
        <f>IFERROR(__xludf.DUMMYFUNCTION("REGEXEXTRACT(FORMULATEXT(D1559),""center=([-0-9.]+,[-0-9.]+)"")"),"#N/A")</f>
        <v>#N/A</v>
      </c>
    </row>
    <row r="1560">
      <c r="A1560" s="4" t="s">
        <v>1566</v>
      </c>
      <c r="B1560" s="1" t="s">
        <v>1101</v>
      </c>
      <c r="C1560" s="2" t="str">
        <f>HYPERLINK("http://4sq.com/82JPP8","Swissôtel Le Concorde ")</f>
        <v>Swissôtel Le Concorde </v>
      </c>
      <c r="E1560" t="str">
        <f>IFERROR(__xludf.DUMMYFUNCTION("REGEXEXTRACT(FORMULATEXT(D1560),""center=([-0-9.]+,[-0-9.]+)"")"),"#N/A")</f>
        <v>#N/A</v>
      </c>
    </row>
    <row r="1561">
      <c r="A1561" s="4" t="s">
        <v>1567</v>
      </c>
      <c r="B1561" s="1" t="s">
        <v>1101</v>
      </c>
      <c r="C1561" s="2" t="str">
        <f>HYPERLINK("http://4sq.com/sNlCQ3","UNIQLO (ยูนิโคล่) ")</f>
        <v>UNIQLO (ยูนิโคล่) </v>
      </c>
      <c r="E1561" t="str">
        <f>IFERROR(__xludf.DUMMYFUNCTION("REGEXEXTRACT(FORMULATEXT(D1561),""center=([-0-9.]+,[-0-9.]+)"")"),"#N/A")</f>
        <v>#N/A</v>
      </c>
    </row>
    <row r="1562">
      <c r="A1562" s="4" t="s">
        <v>1568</v>
      </c>
      <c r="B1562" s="1" t="s">
        <v>1101</v>
      </c>
      <c r="C1562" s="2" t="str">
        <f>HYPERLINK("http://4sq.com/aVUyRr","Fortune Town (ฟอร์จูนทาวน์) ")</f>
        <v>Fortune Town (ฟอร์จูนทาวน์) </v>
      </c>
      <c r="E1562" t="str">
        <f>IFERROR(__xludf.DUMMYFUNCTION("REGEXEXTRACT(FORMULATEXT(D1562),""center=([-0-9.]+,[-0-9.]+)"")"),"#N/A")</f>
        <v>#N/A</v>
      </c>
    </row>
    <row r="1563">
      <c r="A1563" s="4" t="s">
        <v>1569</v>
      </c>
      <c r="B1563" s="1" t="s">
        <v>1101</v>
      </c>
      <c r="C1563" s="2" t="str">
        <f>HYPERLINK("http://4sq.com/1jecv30","AIA Capital Center (เอไอเอ แคปปิตอล เซ็นเตอร์) ")</f>
        <v>AIA Capital Center (เอไอเอ แคปปิตอล เซ็นเตอร์) </v>
      </c>
      <c r="E1563" t="str">
        <f>IFERROR(__xludf.DUMMYFUNCTION("REGEXEXTRACT(FORMULATEXT(D1563),""center=([-0-9.]+,[-0-9.]+)"")"),"#N/A")</f>
        <v>#N/A</v>
      </c>
    </row>
    <row r="1564">
      <c r="A1564" s="4" t="s">
        <v>1570</v>
      </c>
      <c r="B1564" s="1" t="s">
        <v>1101</v>
      </c>
      <c r="C1564" s="2" t="str">
        <f>HYPERLINK("http://4sq.com/vbnctY","CentralPlaza Grand Rama 9 (เซ็นทรัลพลาซา แกรนด์ พระราม 9) ")</f>
        <v>CentralPlaza Grand Rama 9 (เซ็นทรัลพลาซา แกรนด์ พระราม 9) </v>
      </c>
      <c r="E1564" t="str">
        <f>IFERROR(__xludf.DUMMYFUNCTION("REGEXEXTRACT(FORMULATEXT(D1564),""center=([-0-9.]+,[-0-9.]+)"")"),"#N/A")</f>
        <v>#N/A</v>
      </c>
    </row>
    <row r="1565">
      <c r="A1565" s="4" t="s">
        <v>1571</v>
      </c>
      <c r="B1565" s="1" t="s">
        <v>1101</v>
      </c>
      <c r="C1565" s="2" t="str">
        <f>HYPERLINK("http://4sq.com/6faMgT","Siam Paragon (สยามพารากอน) ")</f>
        <v>Siam Paragon (สยามพารากอน) </v>
      </c>
      <c r="E1565" t="str">
        <f>IFERROR(__xludf.DUMMYFUNCTION("REGEXEXTRACT(FORMULATEXT(D1565),""center=([-0-9.]+,[-0-9.]+)"")"),"#N/A")</f>
        <v>#N/A</v>
      </c>
    </row>
    <row r="1566">
      <c r="A1566" s="4" t="s">
        <v>1571</v>
      </c>
      <c r="B1566" s="1" t="s">
        <v>1101</v>
      </c>
      <c r="C1566" s="2" t="str">
        <f>HYPERLINK("http://4sq.com/cmaF9D","KASIKORNBANK (ธนาคารกสิกรไทย) ")</f>
        <v>KASIKORNBANK (ธนาคารกสิกรไทย) </v>
      </c>
      <c r="E1566" t="str">
        <f>IFERROR(__xludf.DUMMYFUNCTION("REGEXEXTRACT(FORMULATEXT(D1566),""center=([-0-9.]+,[-0-9.]+)"")"),"#N/A")</f>
        <v>#N/A</v>
      </c>
    </row>
    <row r="1567">
      <c r="A1567" s="4" t="s">
        <v>1572</v>
      </c>
      <c r="B1567" s="1" t="s">
        <v>1101</v>
      </c>
      <c r="C1567" s="2" t="str">
        <f>HYPERLINK("http://4sq.com/8BxMuu","True Tower (อาคารทรู ทาวเวอร์) ")</f>
        <v>True Tower (อาคารทรู ทาวเวอร์) </v>
      </c>
      <c r="E1567" t="str">
        <f>IFERROR(__xludf.DUMMYFUNCTION("REGEXEXTRACT(FORMULATEXT(D1567),""center=([-0-9.]+,[-0-9.]+)"")"),"#N/A")</f>
        <v>#N/A</v>
      </c>
    </row>
    <row r="1568">
      <c r="A1568" s="4" t="s">
        <v>1573</v>
      </c>
      <c r="B1568" s="1" t="s">
        <v>1101</v>
      </c>
      <c r="C1568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568" t="str">
        <f>IFERROR(__xludf.DUMMYFUNCTION("REGEXEXTRACT(FORMULATEXT(D1568),""center=([-0-9.]+,[-0-9.]+)"")"),"#N/A")</f>
        <v>#N/A</v>
      </c>
    </row>
    <row r="1569">
      <c r="A1569" s="4" t="s">
        <v>1574</v>
      </c>
      <c r="B1569" s="1" t="s">
        <v>1101</v>
      </c>
      <c r="C1569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569" t="str">
        <f>IFERROR(__xludf.DUMMYFUNCTION("REGEXEXTRACT(FORMULATEXT(D1569),""center=([-0-9.]+,[-0-9.]+)"")"),"#N/A")</f>
        <v>#N/A</v>
      </c>
    </row>
    <row r="1570">
      <c r="A1570" s="4" t="s">
        <v>1575</v>
      </c>
      <c r="B1570" s="1" t="s">
        <v>1101</v>
      </c>
      <c r="C1570" s="2" t="str">
        <f>HYPERLINK("http://4sq.com/1uTcCs4","Local Cafe (คาเฟ่บ้านนอก) ")</f>
        <v>Local Cafe (คาเฟ่บ้านนอก) </v>
      </c>
      <c r="E1570" t="str">
        <f>IFERROR(__xludf.DUMMYFUNCTION("REGEXEXTRACT(FORMULATEXT(D1570),""center=([-0-9.]+,[-0-9.]+)"")"),"#N/A")</f>
        <v>#N/A</v>
      </c>
    </row>
    <row r="1571">
      <c r="A1571" s="4" t="s">
        <v>1576</v>
      </c>
      <c r="B1571" s="1" t="s">
        <v>1101</v>
      </c>
      <c r="C1571" s="2" t="str">
        <f>HYPERLINK("http://4sq.com/1CE8RZo","Daily One ")</f>
        <v>Daily One </v>
      </c>
      <c r="E1571" t="str">
        <f>IFERROR(__xludf.DUMMYFUNCTION("REGEXEXTRACT(FORMULATEXT(D1571),""center=([-0-9.]+,[-0-9.]+)"")"),"#N/A")</f>
        <v>#N/A</v>
      </c>
    </row>
    <row r="1572">
      <c r="A1572" s="4" t="s">
        <v>1577</v>
      </c>
      <c r="B1572" s="1" t="s">
        <v>1101</v>
      </c>
      <c r="C1572" s="2" t="str">
        <f>HYPERLINK("http://4sq.com/1NMIaul","Cheunjai Coffee&amp;Thai food ")</f>
        <v>Cheunjai Coffee&amp;Thai food </v>
      </c>
      <c r="E1572" t="str">
        <f>IFERROR(__xludf.DUMMYFUNCTION("REGEXEXTRACT(FORMULATEXT(D1572),""center=([-0-9.]+,[-0-9.]+)"")"),"#N/A")</f>
        <v>#N/A</v>
      </c>
    </row>
    <row r="1573">
      <c r="A1573" s="4" t="s">
        <v>1578</v>
      </c>
      <c r="B1573" s="1" t="s">
        <v>1101</v>
      </c>
      <c r="C1573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573" t="str">
        <f>IFERROR(__xludf.DUMMYFUNCTION("REGEXEXTRACT(FORMULATEXT(D1573),""center=([-0-9.]+,[-0-9.]+)"")"),"#N/A")</f>
        <v>#N/A</v>
      </c>
    </row>
    <row r="1574">
      <c r="A1574" s="4" t="s">
        <v>1579</v>
      </c>
      <c r="B1574" s="1" t="s">
        <v>1101</v>
      </c>
      <c r="C1574" s="2" t="str">
        <f>HYPERLINK("http://4sq.com/1QBr5FK","นั่งๆนอนๆ Homestyle Kitchen &amp; Bekery ")</f>
        <v>นั่งๆนอนๆ Homestyle Kitchen &amp; Bekery </v>
      </c>
      <c r="E1574" t="str">
        <f>IFERROR(__xludf.DUMMYFUNCTION("REGEXEXTRACT(FORMULATEXT(D1574),""center=([-0-9.]+,[-0-9.]+)"")"),"#N/A")</f>
        <v>#N/A</v>
      </c>
    </row>
    <row r="1575">
      <c r="A1575" s="4" t="s">
        <v>1580</v>
      </c>
      <c r="B1575" s="1" t="s">
        <v>1101</v>
      </c>
      <c r="C1575" s="2" t="str">
        <f>HYPERLINK("http://4sq.com/1s1D3bW","HomePro (โฮมโปร) ")</f>
        <v>HomePro (โฮมโปร) </v>
      </c>
      <c r="E1575" t="str">
        <f>IFERROR(__xludf.DUMMYFUNCTION("REGEXEXTRACT(FORMULATEXT(D1575),""center=([-0-9.]+,[-0-9.]+)"")"),"#N/A")</f>
        <v>#N/A</v>
      </c>
    </row>
    <row r="1576">
      <c r="A1576" s="4" t="s">
        <v>1581</v>
      </c>
      <c r="B1576" s="1" t="s">
        <v>1101</v>
      </c>
      <c r="C1576" s="2" t="str">
        <f>HYPERLINK("http://4sq.com/20112gJ","sit a while ")</f>
        <v>sit a while </v>
      </c>
      <c r="E1576" t="str">
        <f>IFERROR(__xludf.DUMMYFUNCTION("REGEXEXTRACT(FORMULATEXT(D1576),""center=([-0-9.]+,[-0-9.]+)"")"),"#N/A")</f>
        <v>#N/A</v>
      </c>
    </row>
    <row r="1577">
      <c r="A1577" s="4" t="s">
        <v>1582</v>
      </c>
      <c r="B1577" s="1" t="s">
        <v>1101</v>
      </c>
      <c r="C1577" s="2" t="str">
        <f>HYPERLINK("http://4sq.com/9rHN1N","Jirung Health Village Resort Chiang Mai ")</f>
        <v>Jirung Health Village Resort Chiang Mai </v>
      </c>
      <c r="E1577" t="str">
        <f>IFERROR(__xludf.DUMMYFUNCTION("REGEXEXTRACT(FORMULATEXT(D1577),""center=([-0-9.]+,[-0-9.]+)"")"),"#N/A")</f>
        <v>#N/A</v>
      </c>
    </row>
    <row r="1578">
      <c r="A1578" s="4" t="s">
        <v>1583</v>
      </c>
      <c r="B1578" s="1" t="s">
        <v>1101</v>
      </c>
      <c r="C1578" s="2" t="str">
        <f>HYPERLINK("http://4sq.com/1NMIaul","Cheunjai Coffee&amp;Thai food ")</f>
        <v>Cheunjai Coffee&amp;Thai food </v>
      </c>
      <c r="E1578" t="str">
        <f>IFERROR(__xludf.DUMMYFUNCTION("REGEXEXTRACT(FORMULATEXT(D1578),""center=([-0-9.]+,[-0-9.]+)"")"),"#N/A")</f>
        <v>#N/A</v>
      </c>
    </row>
    <row r="1579">
      <c r="A1579" s="4" t="s">
        <v>1584</v>
      </c>
      <c r="B1579" s="1" t="s">
        <v>1101</v>
      </c>
      <c r="C1579" s="2" t="str">
        <f>HYPERLINK("http://4sq.com/1LwwIEn","Let It Be ")</f>
        <v>Let It Be </v>
      </c>
      <c r="E1579" t="str">
        <f>IFERROR(__xludf.DUMMYFUNCTION("REGEXEXTRACT(FORMULATEXT(D1579),""center=([-0-9.]+,[-0-9.]+)"")"),"#N/A")</f>
        <v>#N/A</v>
      </c>
    </row>
    <row r="1580">
      <c r="A1580" s="4" t="s">
        <v>1585</v>
      </c>
      <c r="B1580" s="1" t="s">
        <v>1101</v>
      </c>
      <c r="C1580" s="2" t="str">
        <f>HYPERLINK("http://4sq.com/myR2lB","Sala Café (ศาลากาแฟ) ")</f>
        <v>Sala Café (ศาลากาแฟ) </v>
      </c>
      <c r="E1580" t="str">
        <f>IFERROR(__xludf.DUMMYFUNCTION("REGEXEXTRACT(FORMULATEXT(D1580),""center=([-0-9.]+,[-0-9.]+)"")"),"#N/A")</f>
        <v>#N/A</v>
      </c>
    </row>
    <row r="1581">
      <c r="A1581" s="4" t="s">
        <v>1586</v>
      </c>
      <c r="B1581" s="1" t="s">
        <v>1101</v>
      </c>
      <c r="C1581" s="2" t="str">
        <f>HYPERLINK("http://4sq.com/SKoRCj","Anchan Vegetarian Restaurant ")</f>
        <v>Anchan Vegetarian Restaurant </v>
      </c>
      <c r="E1581" t="str">
        <f>IFERROR(__xludf.DUMMYFUNCTION("REGEXEXTRACT(FORMULATEXT(D1581),""center=([-0-9.]+,[-0-9.]+)"")"),"#N/A")</f>
        <v>#N/A</v>
      </c>
    </row>
    <row r="1582">
      <c r="A1582" s="4" t="s">
        <v>1587</v>
      </c>
      <c r="B1582" s="1" t="s">
        <v>1101</v>
      </c>
      <c r="C1582" s="2" t="str">
        <f>HYPERLINK("http://4sq.com/29DgRHA","ROXPRESSO COFFEE CRAFT ")</f>
        <v>ROXPRESSO COFFEE CRAFT </v>
      </c>
      <c r="E1582" t="str">
        <f>IFERROR(__xludf.DUMMYFUNCTION("REGEXEXTRACT(FORMULATEXT(D1582),""center=([-0-9.]+,[-0-9.]+)"")"),"#N/A")</f>
        <v>#N/A</v>
      </c>
    </row>
    <row r="1583">
      <c r="A1583" s="4" t="s">
        <v>1588</v>
      </c>
      <c r="B1583" s="1" t="s">
        <v>1101</v>
      </c>
      <c r="C1583" s="2" t="str">
        <f>HYPERLINK("http://4sq.com/9dAeh7","Boat (โบ๊ต) ")</f>
        <v>Boat (โบ๊ต) </v>
      </c>
      <c r="E1583" t="str">
        <f>IFERROR(__xludf.DUMMYFUNCTION("REGEXEXTRACT(FORMULATEXT(D1583),""center=([-0-9.]+,[-0-9.]+)"")"),"#N/A")</f>
        <v>#N/A</v>
      </c>
    </row>
    <row r="1584">
      <c r="A1584" s="4" t="s">
        <v>1589</v>
      </c>
      <c r="B1584" s="1" t="s">
        <v>1101</v>
      </c>
      <c r="C1584" s="2" t="str">
        <f>HYPERLINK("http://4sq.com/d7CAnk","น้ำพุเจ็ดสี - น้ำตกบัวตอง ")</f>
        <v>น้ำพุเจ็ดสี - น้ำตกบัวตอง </v>
      </c>
      <c r="E1584" t="str">
        <f>IFERROR(__xludf.DUMMYFUNCTION("REGEXEXTRACT(FORMULATEXT(D1584),""center=([-0-9.]+,[-0-9.]+)"")"),"#N/A")</f>
        <v>#N/A</v>
      </c>
    </row>
    <row r="1585">
      <c r="A1585" s="4" t="s">
        <v>1590</v>
      </c>
      <c r="B1585" s="1" t="s">
        <v>1101</v>
      </c>
      <c r="C1585" s="2" t="str">
        <f>HYPERLINK("http://4sq.com/aBEaDG","PTT Gas Station (สถานีบริการน้ำมัน ปตท.) ")</f>
        <v>PTT Gas Station (สถานีบริการน้ำมัน ปตท.) </v>
      </c>
      <c r="E1585" t="str">
        <f>IFERROR(__xludf.DUMMYFUNCTION("REGEXEXTRACT(FORMULATEXT(D1585),""center=([-0-9.]+,[-0-9.]+)"")"),"#N/A")</f>
        <v>#N/A</v>
      </c>
    </row>
    <row r="1586">
      <c r="A1586" s="4" t="s">
        <v>1591</v>
      </c>
      <c r="B1586" s="1" t="s">
        <v>1101</v>
      </c>
      <c r="C1586" s="2" t="str">
        <f>HYPERLINK("http://4sq.com/ePLpP5","จุดชมวิว กว๊านพะเยา ")</f>
        <v>จุดชมวิว กว๊านพะเยา </v>
      </c>
      <c r="E1586" t="str">
        <f>IFERROR(__xludf.DUMMYFUNCTION("REGEXEXTRACT(FORMULATEXT(D1586),""center=([-0-9.]+,[-0-9.]+)"")"),"#N/A")</f>
        <v>#N/A</v>
      </c>
    </row>
    <row r="1587">
      <c r="A1587" s="4" t="s">
        <v>1592</v>
      </c>
      <c r="B1587" s="1" t="s">
        <v>1101</v>
      </c>
      <c r="C1587" s="2" t="str">
        <f>HYPERLINK("http://4sq.com/hjpKVR","กุ้งเต้นบ้านโบราณ ")</f>
        <v>กุ้งเต้นบ้านโบราณ </v>
      </c>
      <c r="E1587" t="str">
        <f>IFERROR(__xludf.DUMMYFUNCTION("REGEXEXTRACT(FORMULATEXT(D1587),""center=([-0-9.]+,[-0-9.]+)"")"),"#N/A")</f>
        <v>#N/A</v>
      </c>
    </row>
    <row r="1588">
      <c r="A1588" s="4" t="s">
        <v>1593</v>
      </c>
      <c r="B1588" s="1" t="s">
        <v>1101</v>
      </c>
      <c r="C1588" s="2" t="str">
        <f>HYPERLINK("http://4sq.com/d4e7JZ","Kwan Phayao (กว๊านพะเยา) ")</f>
        <v>Kwan Phayao (กว๊านพะเยา) </v>
      </c>
      <c r="E1588" t="str">
        <f>IFERROR(__xludf.DUMMYFUNCTION("REGEXEXTRACT(FORMULATEXT(D1588),""center=([-0-9.]+,[-0-9.]+)"")"),"#N/A")</f>
        <v>#N/A</v>
      </c>
    </row>
    <row r="1589">
      <c r="A1589" s="4" t="s">
        <v>1594</v>
      </c>
      <c r="B1589" s="1" t="s">
        <v>1101</v>
      </c>
      <c r="C1589" s="2" t="str">
        <f>HYPERLINK("http://4sq.com/1ZCsTjd","PHOON Cafe Phayao ")</f>
        <v>PHOON Cafe Phayao </v>
      </c>
      <c r="E1589" t="str">
        <f>IFERROR(__xludf.DUMMYFUNCTION("REGEXEXTRACT(FORMULATEXT(D1589),""center=([-0-9.]+,[-0-9.]+)"")"),"#N/A")</f>
        <v>#N/A</v>
      </c>
    </row>
    <row r="1590">
      <c r="A1590" s="4" t="s">
        <v>1595</v>
      </c>
      <c r="B1590" s="1" t="s">
        <v>1101</v>
      </c>
      <c r="C1590" s="2" t="str">
        <f>HYPERLINK("http://4sq.com/1PKCHFH","กิน-เต็ก-กัน steak&amp;salad ")</f>
        <v>กิน-เต็ก-กัน steak&amp;salad </v>
      </c>
      <c r="E1590" t="str">
        <f>IFERROR(__xludf.DUMMYFUNCTION("REGEXEXTRACT(FORMULATEXT(D1590),""center=([-0-9.]+,[-0-9.]+)"")"),"#N/A")</f>
        <v>#N/A</v>
      </c>
    </row>
    <row r="1591">
      <c r="A1591" s="4" t="s">
        <v>1596</v>
      </c>
      <c r="B1591" s="1" t="s">
        <v>1101</v>
      </c>
      <c r="C1591" s="2" t="str">
        <f>HYPERLINK("http://4sq.com/1h4fU8v","Rico Resort Chiang Kham ")</f>
        <v>Rico Resort Chiang Kham </v>
      </c>
      <c r="E1591" t="str">
        <f>IFERROR(__xludf.DUMMYFUNCTION("REGEXEXTRACT(FORMULATEXT(D1591),""center=([-0-9.]+,[-0-9.]+)"")"),"#N/A")</f>
        <v>#N/A</v>
      </c>
    </row>
    <row r="1592">
      <c r="A1592" s="4" t="s">
        <v>1597</v>
      </c>
      <c r="B1592" s="1" t="s">
        <v>1101</v>
      </c>
      <c r="C1592" s="2" t="str">
        <f>HYPERLINK("http://4sq.com/dPXi9d","PTT Huay Lan ")</f>
        <v>PTT Huay Lan </v>
      </c>
      <c r="E1592" t="str">
        <f>IFERROR(__xludf.DUMMYFUNCTION("REGEXEXTRACT(FORMULATEXT(D1592),""center=([-0-9.]+,[-0-9.]+)"")"),"#N/A")</f>
        <v>#N/A</v>
      </c>
    </row>
    <row r="1593">
      <c r="A1593" s="4" t="s">
        <v>1598</v>
      </c>
      <c r="B1593" s="1" t="s">
        <v>1101</v>
      </c>
      <c r="C1593" s="2" t="str">
        <f>HYPERLINK("http://4sq.com/bfm5iv","Mae Khachan Hot Spring (น้ำพุร้อนแม่ขะจาน) ")</f>
        <v>Mae Khachan Hot Spring (น้ำพุร้อนแม่ขะจาน) </v>
      </c>
      <c r="E1593" t="str">
        <f>IFERROR(__xludf.DUMMYFUNCTION("REGEXEXTRACT(FORMULATEXT(D1593),""center=([-0-9.]+,[-0-9.]+)"")"),"#N/A")</f>
        <v>#N/A</v>
      </c>
    </row>
    <row r="1594">
      <c r="A1594" s="4" t="s">
        <v>1599</v>
      </c>
      <c r="B1594" s="1" t="s">
        <v>1101</v>
      </c>
      <c r="C1594" s="2" t="str">
        <f>HYPERLINK("http://4sq.com/1UAssUD","Mamma Mia ")</f>
        <v>Mamma Mia </v>
      </c>
      <c r="E1594" t="str">
        <f>IFERROR(__xludf.DUMMYFUNCTION("REGEXEXTRACT(FORMULATEXT(D1594),""center=([-0-9.]+,[-0-9.]+)"")"),"#N/A")</f>
        <v>#N/A</v>
      </c>
    </row>
    <row r="1595">
      <c r="A1595" s="4" t="s">
        <v>1600</v>
      </c>
      <c r="B1595" s="1" t="s">
        <v>1101</v>
      </c>
      <c r="C1595" s="2" t="str">
        <f>HYPERLINK("http://4sq.com/mhapeD","Gerard Habitat Hotel &amp; Apartment Service ")</f>
        <v>Gerard Habitat Hotel &amp; Apartment Service </v>
      </c>
      <c r="E1595" t="str">
        <f>IFERROR(__xludf.DUMMYFUNCTION("REGEXEXTRACT(FORMULATEXT(D1595),""center=([-0-9.]+,[-0-9.]+)"")"),"#N/A")</f>
        <v>#N/A</v>
      </c>
    </row>
    <row r="1596">
      <c r="A1596" s="4" t="s">
        <v>1601</v>
      </c>
      <c r="B1596" s="1" t="s">
        <v>1101</v>
      </c>
      <c r="C1596" s="2" t="str">
        <f>HYPERLINK("http://4sq.com/1X5UJoI","Betta Cafe ")</f>
        <v>Betta Cafe </v>
      </c>
      <c r="E1596" t="str">
        <f>IFERROR(__xludf.DUMMYFUNCTION("REGEXEXTRACT(FORMULATEXT(D1596),""center=([-0-9.]+,[-0-9.]+)"")"),"#N/A")</f>
        <v>#N/A</v>
      </c>
    </row>
    <row r="1597">
      <c r="A1597" s="4" t="s">
        <v>1602</v>
      </c>
      <c r="B1597" s="1" t="s">
        <v>1101</v>
      </c>
      <c r="C1597" s="2" t="str">
        <f>HYPERLINK("http://4sq.com/o2p9Ve","Robinson (โรบินสัน) ")</f>
        <v>Robinson (โรบินสัน) </v>
      </c>
      <c r="E1597" t="str">
        <f>IFERROR(__xludf.DUMMYFUNCTION("REGEXEXTRACT(FORMULATEXT(D1597),""center=([-0-9.]+,[-0-9.]+)"")"),"#N/A")</f>
        <v>#N/A</v>
      </c>
    </row>
    <row r="1598">
      <c r="A1598" s="4" t="s">
        <v>1603</v>
      </c>
      <c r="B1598" s="1" t="s">
        <v>1101</v>
      </c>
      <c r="C1598" s="2" t="str">
        <f>HYPERLINK("http://4sq.com/fR0x6i","Wat Phrathat Chum Mueang (วัดพระธาตุชุ่มเมือง) ")</f>
        <v>Wat Phrathat Chum Mueang (วัดพระธาตุชุ่มเมือง) </v>
      </c>
      <c r="E1598" t="str">
        <f>IFERROR(__xludf.DUMMYFUNCTION("REGEXEXTRACT(FORMULATEXT(D1598),""center=([-0-9.]+,[-0-9.]+)"")"),"#N/A")</f>
        <v>#N/A</v>
      </c>
    </row>
    <row r="1599">
      <c r="A1599" s="4" t="s">
        <v>1604</v>
      </c>
      <c r="B1599" s="1" t="s">
        <v>1101</v>
      </c>
      <c r="C1599" s="2" t="str">
        <f>HYPERLINK("http://4sq.com/1GjmLUZ","Pizza Pasta by Simon ")</f>
        <v>Pizza Pasta by Simon </v>
      </c>
      <c r="E1599" t="str">
        <f>IFERROR(__xludf.DUMMYFUNCTION("REGEXEXTRACT(FORMULATEXT(D1599),""center=([-0-9.]+,[-0-9.]+)"")"),"#N/A")</f>
        <v>#N/A</v>
      </c>
    </row>
    <row r="1600">
      <c r="A1600" s="4" t="s">
        <v>1605</v>
      </c>
      <c r="B1600" s="1" t="s">
        <v>1101</v>
      </c>
      <c r="C1600" s="2" t="str">
        <f>HYPERLINK("http://4sq.com/1ln165h","Kawasaki แสงสัยธุรกิจยานยนต์ ")</f>
        <v>Kawasaki แสงสัยธุรกิจยานยนต์ </v>
      </c>
      <c r="E1600" t="str">
        <f>IFERROR(__xludf.DUMMYFUNCTION("REGEXEXTRACT(FORMULATEXT(D1600),""center=([-0-9.]+,[-0-9.]+)"")"),"#N/A")</f>
        <v>#N/A</v>
      </c>
    </row>
    <row r="1601">
      <c r="A1601" s="4" t="s">
        <v>1606</v>
      </c>
      <c r="B1601" s="1" t="s">
        <v>1101</v>
      </c>
      <c r="C1601" s="2" t="str">
        <f>HYPERLINK("http://4sq.com/1uTcCs4","Local Cafe (คาเฟ่บ้านนอก) ")</f>
        <v>Local Cafe (คาเฟ่บ้านนอก) </v>
      </c>
      <c r="E1601" t="str">
        <f>IFERROR(__xludf.DUMMYFUNCTION("REGEXEXTRACT(FORMULATEXT(D1601),""center=([-0-9.]+,[-0-9.]+)"")"),"#N/A")</f>
        <v>#N/A</v>
      </c>
    </row>
    <row r="1602">
      <c r="A1602" s="4" t="s">
        <v>1607</v>
      </c>
      <c r="B1602" s="1" t="s">
        <v>1101</v>
      </c>
      <c r="C1602" s="2" t="str">
        <f>HYPERLINK("http://4sq.com/1ln165h","Kawasaki แสงสัยธุรกิจยานยนต์ ")</f>
        <v>Kawasaki แสงสัยธุรกิจยานยนต์ </v>
      </c>
      <c r="E1602" t="str">
        <f>IFERROR(__xludf.DUMMYFUNCTION("REGEXEXTRACT(FORMULATEXT(D1602),""center=([-0-9.]+,[-0-9.]+)"")"),"#N/A")</f>
        <v>#N/A</v>
      </c>
    </row>
    <row r="1603">
      <c r="A1603" s="4" t="s">
        <v>1608</v>
      </c>
      <c r="B1603" s="1" t="s">
        <v>1101</v>
      </c>
      <c r="C1603" s="2" t="str">
        <f>HYPERLINK("http://4sq.com/VxOScK","Curry Scoop ")</f>
        <v>Curry Scoop </v>
      </c>
      <c r="E1603" t="str">
        <f>IFERROR(__xludf.DUMMYFUNCTION("REGEXEXTRACT(FORMULATEXT(D1603),""center=([-0-9.]+,[-0-9.]+)"")"),"#N/A")</f>
        <v>#N/A</v>
      </c>
    </row>
    <row r="1604">
      <c r="A1604" s="4" t="s">
        <v>1609</v>
      </c>
      <c r="B1604" s="1" t="s">
        <v>1101</v>
      </c>
      <c r="C1604" s="2" t="str">
        <f>HYPERLINK("http://4sq.com/cMQrOm","Mango Tango ")</f>
        <v>Mango Tango </v>
      </c>
      <c r="E1604" t="str">
        <f>IFERROR(__xludf.DUMMYFUNCTION("REGEXEXTRACT(FORMULATEXT(D1604),""center=([-0-9.]+,[-0-9.]+)"")"),"#N/A")</f>
        <v>#N/A</v>
      </c>
    </row>
    <row r="1605">
      <c r="A1605" s="4" t="s">
        <v>1610</v>
      </c>
      <c r="B1605" s="1" t="s">
        <v>1101</v>
      </c>
      <c r="C1605" s="2" t="str">
        <f>HYPERLINK("http://4sq.com/gzBkmg","U.S. Consulate General Chiang Mai (สถานกงสุลสหรัฐอเมริกา) ")</f>
        <v>U.S. Consulate General Chiang Mai (สถานกงสุลสหรัฐอเมริกา) </v>
      </c>
      <c r="E1605" t="str">
        <f>IFERROR(__xludf.DUMMYFUNCTION("REGEXEXTRACT(FORMULATEXT(D1605),""center=([-0-9.]+,[-0-9.]+)"")"),"#N/A")</f>
        <v>#N/A</v>
      </c>
    </row>
    <row r="1606">
      <c r="A1606" s="4" t="s">
        <v>1611</v>
      </c>
      <c r="B1606" s="1" t="s">
        <v>1101</v>
      </c>
      <c r="C1606" s="2" t="str">
        <f t="shared" ref="C1606:C1607" si="35">HYPERLINK("http://4sq.com/1NMIaul","Cheunjai Coffee&amp;Thai food ")</f>
        <v>Cheunjai Coffee&amp;Thai food </v>
      </c>
      <c r="E1606" t="str">
        <f>IFERROR(__xludf.DUMMYFUNCTION("REGEXEXTRACT(FORMULATEXT(D1606),""center=([-0-9.]+,[-0-9.]+)"")"),"#N/A")</f>
        <v>#N/A</v>
      </c>
    </row>
    <row r="1607">
      <c r="A1607" s="4" t="s">
        <v>1612</v>
      </c>
      <c r="B1607" s="1" t="s">
        <v>1101</v>
      </c>
      <c r="C1607" s="2" t="str">
        <f t="shared" si="35"/>
        <v>Cheunjai Coffee&amp;Thai food </v>
      </c>
      <c r="E1607" t="str">
        <f>IFERROR(__xludf.DUMMYFUNCTION("REGEXEXTRACT(FORMULATEXT(D1607),""center=([-0-9.]+,[-0-9.]+)"")"),"#N/A")</f>
        <v>#N/A</v>
      </c>
    </row>
    <row r="1608">
      <c r="A1608" s="4" t="s">
        <v>1613</v>
      </c>
      <c r="B1608" s="1" t="s">
        <v>1101</v>
      </c>
      <c r="C1608" s="2" t="str">
        <f>HYPERLINK("http://4sq.com/1uTcCs4","Local Cafe (คาเฟ่บ้านนอก) ")</f>
        <v>Local Cafe (คาเฟ่บ้านนอก) </v>
      </c>
      <c r="E1608" t="str">
        <f>IFERROR(__xludf.DUMMYFUNCTION("REGEXEXTRACT(FORMULATEXT(D1608),""center=([-0-9.]+,[-0-9.]+)"")"),"#N/A")</f>
        <v>#N/A</v>
      </c>
    </row>
    <row r="1609">
      <c r="A1609" s="4" t="s">
        <v>1614</v>
      </c>
      <c r="B1609" s="1" t="s">
        <v>1101</v>
      </c>
      <c r="C1609" s="2" t="str">
        <f>HYPERLINK("http://4sq.com/2bIJz8b","Lamona View Swimming Pool ")</f>
        <v>Lamona View Swimming Pool </v>
      </c>
      <c r="E1609" t="str">
        <f>IFERROR(__xludf.DUMMYFUNCTION("REGEXEXTRACT(FORMULATEXT(D1609),""center=([-0-9.]+,[-0-9.]+)"")"),"#N/A")</f>
        <v>#N/A</v>
      </c>
    </row>
    <row r="1610">
      <c r="A1610" s="4" t="s">
        <v>1615</v>
      </c>
      <c r="B1610" s="1" t="s">
        <v>1101</v>
      </c>
      <c r="C1610" s="2" t="str">
        <f>HYPERLINK("http://4sq.com/o3ZEdO","See Paak Restaurant ")</f>
        <v>See Paak Restaurant </v>
      </c>
      <c r="E1610" t="str">
        <f>IFERROR(__xludf.DUMMYFUNCTION("REGEXEXTRACT(FORMULATEXT(D1610),""center=([-0-9.]+,[-0-9.]+)"")"),"#N/A")</f>
        <v>#N/A</v>
      </c>
    </row>
    <row r="1611">
      <c r="A1611" s="4" t="s">
        <v>1616</v>
      </c>
      <c r="B1611" s="1" t="s">
        <v>1101</v>
      </c>
      <c r="C1611" s="2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E1611" t="str">
        <f>IFERROR(__xludf.DUMMYFUNCTION("REGEXEXTRACT(FORMULATEXT(D1611),""center=([-0-9.]+,[-0-9.]+)"")"),"#N/A")</f>
        <v>#N/A</v>
      </c>
    </row>
    <row r="1612">
      <c r="A1612" s="4" t="s">
        <v>1617</v>
      </c>
      <c r="B1612" s="1" t="s">
        <v>1101</v>
      </c>
      <c r="C1612" s="2" t="str">
        <f>HYPERLINK("http://4sq.com/1uTcCs4","Local Cafe (คาเฟ่บ้านนอก) ")</f>
        <v>Local Cafe (คาเฟ่บ้านนอก) </v>
      </c>
      <c r="E1612" t="str">
        <f>IFERROR(__xludf.DUMMYFUNCTION("REGEXEXTRACT(FORMULATEXT(D1612),""center=([-0-9.]+,[-0-9.]+)"")"),"#N/A")</f>
        <v>#N/A</v>
      </c>
    </row>
    <row r="1613">
      <c r="A1613" s="4" t="s">
        <v>1618</v>
      </c>
      <c r="B1613" s="1" t="s">
        <v>1101</v>
      </c>
      <c r="C1613" s="2" t="str">
        <f>HYPERLINK("http://4sq.com/1TCKINo","Ojisan warehouse ")</f>
        <v>Ojisan warehouse </v>
      </c>
      <c r="E1613" t="str">
        <f>IFERROR(__xludf.DUMMYFUNCTION("REGEXEXTRACT(FORMULATEXT(D1613),""center=([-0-9.]+,[-0-9.]+)"")"),"#N/A")</f>
        <v>#N/A</v>
      </c>
    </row>
    <row r="1614">
      <c r="A1614" s="4" t="s">
        <v>1619</v>
      </c>
      <c r="B1614" s="1" t="s">
        <v>1101</v>
      </c>
      <c r="C1614" s="2" t="str">
        <f>HYPERLINK("http://4sq.com/1NMIaul","Cheunjai Coffee&amp;Thai food ")</f>
        <v>Cheunjai Coffee&amp;Thai food </v>
      </c>
      <c r="E1614" t="str">
        <f>IFERROR(__xludf.DUMMYFUNCTION("REGEXEXTRACT(FORMULATEXT(D1614),""center=([-0-9.]+,[-0-9.]+)"")"),"#N/A")</f>
        <v>#N/A</v>
      </c>
    </row>
    <row r="1615">
      <c r="A1615" s="4" t="s">
        <v>1620</v>
      </c>
      <c r="B1615" s="1" t="s">
        <v>1101</v>
      </c>
      <c r="C1615" s="2" t="str">
        <f>HYPERLINK("http://4sq.com/2bIJz8b","Lamona View Swimming Pool ")</f>
        <v>Lamona View Swimming Pool </v>
      </c>
      <c r="E1615" t="str">
        <f>IFERROR(__xludf.DUMMYFUNCTION("REGEXEXTRACT(FORMULATEXT(D1615),""center=([-0-9.]+,[-0-9.]+)"")"),"#N/A")</f>
        <v>#N/A</v>
      </c>
    </row>
    <row r="1616">
      <c r="A1616" s="4" t="s">
        <v>1621</v>
      </c>
      <c r="B1616" s="1" t="s">
        <v>1101</v>
      </c>
      <c r="C1616" s="2" t="str">
        <f>HYPERLINK("http://4sq.com/21X1Am7","Taste cafe (เทสทคาเฟ่) ")</f>
        <v>Taste cafe (เทสทคาเฟ่) </v>
      </c>
      <c r="E1616" t="str">
        <f>IFERROR(__xludf.DUMMYFUNCTION("REGEXEXTRACT(FORMULATEXT(D1616),""center=([-0-9.]+,[-0-9.]+)"")"),"#N/A")</f>
        <v>#N/A</v>
      </c>
    </row>
    <row r="1617">
      <c r="A1617" s="4" t="s">
        <v>1622</v>
      </c>
      <c r="B1617" s="1" t="s">
        <v>1101</v>
      </c>
      <c r="C1617" s="2" t="str">
        <f>HYPERLINK("http://4sq.com/VuG5rl","Steak Of The Day ")</f>
        <v>Steak Of The Day </v>
      </c>
      <c r="E1617" t="str">
        <f>IFERROR(__xludf.DUMMYFUNCTION("REGEXEXTRACT(FORMULATEXT(D1617),""center=([-0-9.]+,[-0-9.]+)"")"),"#N/A")</f>
        <v>#N/A</v>
      </c>
    </row>
    <row r="1618">
      <c r="A1618" s="4" t="s">
        <v>1623</v>
      </c>
      <c r="B1618" s="1" t="s">
        <v>1101</v>
      </c>
      <c r="C1618" s="2" t="str">
        <f>HYPERLINK("http://4sq.com/o3ZEdO","See Paak Restaurant ")</f>
        <v>See Paak Restaurant </v>
      </c>
      <c r="E1618" t="str">
        <f>IFERROR(__xludf.DUMMYFUNCTION("REGEXEXTRACT(FORMULATEXT(D1618),""center=([-0-9.]+,[-0-9.]+)"")"),"#N/A")</f>
        <v>#N/A</v>
      </c>
    </row>
    <row r="1619">
      <c r="A1619" s="4" t="s">
        <v>1624</v>
      </c>
      <c r="B1619" s="1" t="s">
        <v>1101</v>
      </c>
      <c r="C1619" s="2" t="str">
        <f>HYPERLINK("http://4sq.com/1uTcCs4","Local Cafe (คาเฟ่บ้านนอก) ")</f>
        <v>Local Cafe (คาเฟ่บ้านนอก) </v>
      </c>
      <c r="E1619" t="str">
        <f>IFERROR(__xludf.DUMMYFUNCTION("REGEXEXTRACT(FORMULATEXT(D1619),""center=([-0-9.]+,[-0-9.]+)"")"),"#N/A")</f>
        <v>#N/A</v>
      </c>
    </row>
    <row r="1620">
      <c r="A1620" s="4" t="s">
        <v>1625</v>
      </c>
      <c r="B1620" s="1" t="s">
        <v>1101</v>
      </c>
      <c r="C1620" s="2" t="str">
        <f>HYPERLINK("http://4sq.com/2cixGXk","Hug café &amp; bar ")</f>
        <v>Hug café &amp; bar </v>
      </c>
      <c r="E1620" t="str">
        <f>IFERROR(__xludf.DUMMYFUNCTION("REGEXEXTRACT(FORMULATEXT(D1620),""center=([-0-9.]+,[-0-9.]+)"")"),"#N/A")</f>
        <v>#N/A</v>
      </c>
    </row>
    <row r="1621">
      <c r="A1621" s="4" t="s">
        <v>1626</v>
      </c>
      <c r="B1621" s="1" t="s">
        <v>1101</v>
      </c>
      <c r="C1621" s="2" t="str">
        <f>HYPERLINK("http://4sq.com/1QBr5FK","นั่งๆนอนๆ Homestyle Kitchen &amp; Bekery ")</f>
        <v>นั่งๆนอนๆ Homestyle Kitchen &amp; Bekery </v>
      </c>
      <c r="E1621" t="str">
        <f>IFERROR(__xludf.DUMMYFUNCTION("REGEXEXTRACT(FORMULATEXT(D1621),""center=([-0-9.]+,[-0-9.]+)"")"),"#N/A")</f>
        <v>#N/A</v>
      </c>
    </row>
    <row r="1622">
      <c r="A1622" s="4" t="s">
        <v>1627</v>
      </c>
      <c r="B1622" s="1" t="s">
        <v>1101</v>
      </c>
      <c r="C1622" s="2" t="str">
        <f>HYPERLINK("http://4sq.com/di0WBH","Kasikornbank (ธนาคารกสิกรไทย) ")</f>
        <v>Kasikornbank (ธนาคารกสิกรไทย) </v>
      </c>
      <c r="E1622" t="str">
        <f>IFERROR(__xludf.DUMMYFUNCTION("REGEXEXTRACT(FORMULATEXT(D1622),""center=([-0-9.]+,[-0-9.]+)"")"),"#N/A")</f>
        <v>#N/A</v>
      </c>
    </row>
    <row r="1623">
      <c r="A1623" s="4" t="s">
        <v>1628</v>
      </c>
      <c r="B1623" s="1" t="s">
        <v>1101</v>
      </c>
      <c r="C1623" s="2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E1623" t="str">
        <f>IFERROR(__xludf.DUMMYFUNCTION("REGEXEXTRACT(FORMULATEXT(D1623),""center=([-0-9.]+,[-0-9.]+)"")"),"#N/A")</f>
        <v>#N/A</v>
      </c>
    </row>
    <row r="1624">
      <c r="A1624" s="4" t="s">
        <v>1629</v>
      </c>
      <c r="B1624" s="1" t="s">
        <v>1101</v>
      </c>
      <c r="C1624" s="2" t="str">
        <f>HYPERLINK("http://4sq.com/1VSEaLF","Ristr8to Lab (รีสเตรสโต้ แลป) ")</f>
        <v>Ristr8to Lab (รีสเตรสโต้ แลป) </v>
      </c>
      <c r="E1624" t="str">
        <f>IFERROR(__xludf.DUMMYFUNCTION("REGEXEXTRACT(FORMULATEXT(D1624),""center=([-0-9.]+,[-0-9.]+)"")"),"#N/A")</f>
        <v>#N/A</v>
      </c>
    </row>
    <row r="1625">
      <c r="A1625" s="4" t="s">
        <v>1630</v>
      </c>
      <c r="B1625" s="1" t="s">
        <v>1101</v>
      </c>
      <c r="C1625" s="2" t="str">
        <f>HYPERLINK("http://4sq.com/llZ74P","HOME MALL ")</f>
        <v>HOME MALL </v>
      </c>
      <c r="E1625" t="str">
        <f>IFERROR(__xludf.DUMMYFUNCTION("REGEXEXTRACT(FORMULATEXT(D1625),""center=([-0-9.]+,[-0-9.]+)"")"),"#N/A")</f>
        <v>#N/A</v>
      </c>
    </row>
    <row r="1626">
      <c r="A1626" s="4" t="s">
        <v>1631</v>
      </c>
      <c r="B1626" s="1" t="s">
        <v>1101</v>
      </c>
      <c r="C1626" s="2" t="str">
        <f>HYPERLINK("http://4sq.com/o3ZEdO","See Paak Restaurant ")</f>
        <v>See Paak Restaurant </v>
      </c>
      <c r="E1626" t="str">
        <f>IFERROR(__xludf.DUMMYFUNCTION("REGEXEXTRACT(FORMULATEXT(D1626),""center=([-0-9.]+,[-0-9.]+)"")"),"#N/A")</f>
        <v>#N/A</v>
      </c>
    </row>
    <row r="1627">
      <c r="A1627" s="4" t="s">
        <v>1632</v>
      </c>
      <c r="B1627" s="1" t="s">
        <v>1101</v>
      </c>
      <c r="C1627" s="2" t="str">
        <f>HYPERLINK("http://4sq.com/a3WF57","Pizza Mania ")</f>
        <v>Pizza Mania </v>
      </c>
      <c r="E1627" t="str">
        <f>IFERROR(__xludf.DUMMYFUNCTION("REGEXEXTRACT(FORMULATEXT(D1627),""center=([-0-9.]+,[-0-9.]+)"")"),"#N/A")</f>
        <v>#N/A</v>
      </c>
    </row>
    <row r="1628">
      <c r="A1628" s="4" t="s">
        <v>1633</v>
      </c>
      <c r="B1628" s="1" t="s">
        <v>1101</v>
      </c>
      <c r="C1628" s="2" t="str">
        <f>HYPERLINK("http://4sq.com/2cNlYpD","Ciao Ciao ")</f>
        <v>Ciao Ciao </v>
      </c>
      <c r="E1628" t="str">
        <f>IFERROR(__xludf.DUMMYFUNCTION("REGEXEXTRACT(FORMULATEXT(D1628),""center=([-0-9.]+,[-0-9.]+)"")"),"#N/A")</f>
        <v>#N/A</v>
      </c>
    </row>
    <row r="1629">
      <c r="A1629" s="4" t="s">
        <v>1634</v>
      </c>
      <c r="B1629" s="1" t="s">
        <v>1101</v>
      </c>
      <c r="C1629" s="2" t="str">
        <f>HYPERLINK("http://4sq.com/HWGxfb","B2S (บีทูเอส) ")</f>
        <v>B2S (บีทูเอส) </v>
      </c>
      <c r="E1629" t="str">
        <f>IFERROR(__xludf.DUMMYFUNCTION("REGEXEXTRACT(FORMULATEXT(D1629),""center=([-0-9.]+,[-0-9.]+)"")"),"#N/A")</f>
        <v>#N/A</v>
      </c>
    </row>
    <row r="1630">
      <c r="A1630" s="4" t="s">
        <v>1635</v>
      </c>
      <c r="B1630" s="1" t="s">
        <v>1101</v>
      </c>
      <c r="C1630" s="2" t="str">
        <f>HYPERLINK("http://4sq.com/ehYcFx","ผัดไทยห้ารสท่าแพ@หน้าแม็คคอร์มิค ")</f>
        <v>ผัดไทยห้ารสท่าแพ@หน้าแม็คคอร์มิค </v>
      </c>
      <c r="E1630" t="str">
        <f>IFERROR(__xludf.DUMMYFUNCTION("REGEXEXTRACT(FORMULATEXT(D1630),""center=([-0-9.]+,[-0-9.]+)"")"),"#N/A")</f>
        <v>#N/A</v>
      </c>
    </row>
    <row r="1631">
      <c r="A1631" s="4" t="s">
        <v>1636</v>
      </c>
      <c r="B1631" s="1" t="s">
        <v>1101</v>
      </c>
      <c r="C1631" s="2" t="str">
        <f>HYPERLINK("http://4sq.com/o3ZEdO","See Paak Restaurant ")</f>
        <v>See Paak Restaurant </v>
      </c>
      <c r="E1631" t="str">
        <f>IFERROR(__xludf.DUMMYFUNCTION("REGEXEXTRACT(FORMULATEXT(D1631),""center=([-0-9.]+,[-0-9.]+)"")"),"#N/A")</f>
        <v>#N/A</v>
      </c>
    </row>
    <row r="1632">
      <c r="A1632" s="4" t="s">
        <v>1637</v>
      </c>
      <c r="B1632" s="1" t="s">
        <v>1101</v>
      </c>
      <c r="C1632" s="2" t="str">
        <f>HYPERLINK("http://4sq.com/1BjQ2z6","SS1254372 Cafe ")</f>
        <v>SS1254372 Cafe </v>
      </c>
      <c r="E1632" t="str">
        <f>IFERROR(__xludf.DUMMYFUNCTION("REGEXEXTRACT(FORMULATEXT(D1632),""center=([-0-9.]+,[-0-9.]+)"")"),"#N/A")</f>
        <v>#N/A</v>
      </c>
    </row>
    <row r="1633">
      <c r="A1633" s="4" t="s">
        <v>1638</v>
      </c>
      <c r="B1633" s="1" t="s">
        <v>1101</v>
      </c>
      <c r="C1633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633" t="str">
        <f>IFERROR(__xludf.DUMMYFUNCTION("REGEXEXTRACT(FORMULATEXT(D1633),""center=([-0-9.]+,[-0-9.]+)"")"),"#N/A")</f>
        <v>#N/A</v>
      </c>
    </row>
    <row r="1634">
      <c r="A1634" s="4" t="s">
        <v>1639</v>
      </c>
      <c r="B1634" s="1" t="s">
        <v>1101</v>
      </c>
      <c r="C1634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634" t="str">
        <f>IFERROR(__xludf.DUMMYFUNCTION("REGEXEXTRACT(FORMULATEXT(D1634),""center=([-0-9.]+,[-0-9.]+)"")"),"#N/A")</f>
        <v>#N/A</v>
      </c>
    </row>
    <row r="1635">
      <c r="A1635" s="4" t="s">
        <v>1640</v>
      </c>
      <c r="B1635" s="1" t="s">
        <v>1101</v>
      </c>
      <c r="C1635" s="2" t="str">
        <f>HYPERLINK("http://4sq.com/cc8upi","Check Inn Regency Park ")</f>
        <v>Check Inn Regency Park </v>
      </c>
      <c r="E1635" t="str">
        <f>IFERROR(__xludf.DUMMYFUNCTION("REGEXEXTRACT(FORMULATEXT(D1635),""center=([-0-9.]+,[-0-9.]+)"")"),"#N/A")</f>
        <v>#N/A</v>
      </c>
    </row>
    <row r="1636">
      <c r="A1636" s="4" t="s">
        <v>1641</v>
      </c>
      <c r="B1636" s="1" t="s">
        <v>1101</v>
      </c>
      <c r="C1636" s="2" t="str">
        <f>HYPERLINK("http://4sq.com/NKeRdP","Buddy's Bar &amp; Grill ")</f>
        <v>Buddy's Bar &amp; Grill </v>
      </c>
      <c r="E1636" t="str">
        <f>IFERROR(__xludf.DUMMYFUNCTION("REGEXEXTRACT(FORMULATEXT(D1636),""center=([-0-9.]+,[-0-9.]+)"")"),"#N/A")</f>
        <v>#N/A</v>
      </c>
    </row>
    <row r="1637">
      <c r="A1637" s="4" t="s">
        <v>1642</v>
      </c>
      <c r="B1637" s="1" t="s">
        <v>1101</v>
      </c>
      <c r="C1637" s="2" t="str">
        <f>HYPERLINK("http://4sq.com/nTluGY","Terminal 2 (อาคาร 2) ")</f>
        <v>Terminal 2 (อาคาร 2) </v>
      </c>
      <c r="E1637" t="str">
        <f>IFERROR(__xludf.DUMMYFUNCTION("REGEXEXTRACT(FORMULATEXT(D1637),""center=([-0-9.]+,[-0-9.]+)"")"),"#N/A")</f>
        <v>#N/A</v>
      </c>
    </row>
    <row r="1638">
      <c r="A1638" s="4" t="s">
        <v>1643</v>
      </c>
      <c r="B1638" s="1" t="s">
        <v>1101</v>
      </c>
      <c r="C1638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638" t="str">
        <f>IFERROR(__xludf.DUMMYFUNCTION("REGEXEXTRACT(FORMULATEXT(D1638),""center=([-0-9.]+,[-0-9.]+)"")"),"#N/A")</f>
        <v>#N/A</v>
      </c>
    </row>
    <row r="1639">
      <c r="A1639" s="4" t="s">
        <v>1644</v>
      </c>
      <c r="B1639" s="1" t="s">
        <v>1101</v>
      </c>
      <c r="C1639" s="2" t="str">
        <f>HYPERLINK("http://4sq.com/11nzEX7","เฮือนลูกหลาน ")</f>
        <v>เฮือนลูกหลาน </v>
      </c>
      <c r="E1639" t="str">
        <f>IFERROR(__xludf.DUMMYFUNCTION("REGEXEXTRACT(FORMULATEXT(D1639),""center=([-0-9.]+,[-0-9.]+)"")"),"#N/A")</f>
        <v>#N/A</v>
      </c>
    </row>
    <row r="1640">
      <c r="A1640" s="4" t="s">
        <v>1645</v>
      </c>
      <c r="B1640" s="1" t="s">
        <v>1101</v>
      </c>
      <c r="C1640" s="2" t="str">
        <f>HYPERLINK("http://4sq.com/1uTcCs4","Local Cafe (คาเฟ่บ้านนอก) ")</f>
        <v>Local Cafe (คาเฟ่บ้านนอก) </v>
      </c>
      <c r="E1640" t="str">
        <f>IFERROR(__xludf.DUMMYFUNCTION("REGEXEXTRACT(FORMULATEXT(D1640),""center=([-0-9.]+,[-0-9.]+)"")"),"#N/A")</f>
        <v>#N/A</v>
      </c>
    </row>
    <row r="1641">
      <c r="A1641" s="4" t="s">
        <v>1646</v>
      </c>
      <c r="B1641" s="1" t="s">
        <v>1101</v>
      </c>
      <c r="C1641" s="2" t="str">
        <f>HYPERLINK("http://4sq.com/bnrusa","Eco Resort Chiang Mai (อีโค รีสอร์ท เชียงใหม่) ")</f>
        <v>Eco Resort Chiang Mai (อีโค รีสอร์ท เชียงใหม่) </v>
      </c>
      <c r="E1641" t="str">
        <f>IFERROR(__xludf.DUMMYFUNCTION("REGEXEXTRACT(FORMULATEXT(D1641),""center=([-0-9.]+,[-0-9.]+)"")"),"#N/A")</f>
        <v>#N/A</v>
      </c>
    </row>
    <row r="1642">
      <c r="A1642" s="4" t="s">
        <v>1647</v>
      </c>
      <c r="B1642" s="1" t="s">
        <v>1101</v>
      </c>
      <c r="C1642" s="2" t="str">
        <f>HYPERLINK("http://4sq.com/1gyTULZ","Tumlum Yumzaap (ตำลำ ยำแซ่บ) ")</f>
        <v>Tumlum Yumzaap (ตำลำ ยำแซ่บ) </v>
      </c>
      <c r="E1642" t="str">
        <f>IFERROR(__xludf.DUMMYFUNCTION("REGEXEXTRACT(FORMULATEXT(D1642),""center=([-0-9.]+,[-0-9.]+)"")"),"#N/A")</f>
        <v>#N/A</v>
      </c>
    </row>
    <row r="1643">
      <c r="A1643" s="4" t="s">
        <v>1648</v>
      </c>
      <c r="B1643" s="1" t="s">
        <v>1101</v>
      </c>
      <c r="C1643" s="2" t="str">
        <f>HYPERLINK("http://4sq.com/12JZOTi","Street Pizza Wood Fired Oven ")</f>
        <v>Street Pizza Wood Fired Oven </v>
      </c>
      <c r="E1643" t="str">
        <f>IFERROR(__xludf.DUMMYFUNCTION("REGEXEXTRACT(FORMULATEXT(D1643),""center=([-0-9.]+,[-0-9.]+)"")"),"#N/A")</f>
        <v>#N/A</v>
      </c>
    </row>
    <row r="1644">
      <c r="A1644" s="4" t="s">
        <v>1649</v>
      </c>
      <c r="B1644" s="1" t="s">
        <v>1101</v>
      </c>
      <c r="C1644" s="2" t="str">
        <f>HYPERLINK("http://4sq.com/1EZfTgZ","pansawan ")</f>
        <v>pansawan </v>
      </c>
      <c r="E1644" t="str">
        <f>IFERROR(__xludf.DUMMYFUNCTION("REGEXEXTRACT(FORMULATEXT(D1644),""center=([-0-9.]+,[-0-9.]+)"")"),"#N/A")</f>
        <v>#N/A</v>
      </c>
    </row>
    <row r="1645">
      <c r="A1645" s="4" t="s">
        <v>1650</v>
      </c>
      <c r="B1645" s="1" t="s">
        <v>1101</v>
      </c>
      <c r="C1645" s="2" t="str">
        <f>HYPERLINK("http://4sq.com/o3ZEdO","See Paak Restaurant ")</f>
        <v>See Paak Restaurant </v>
      </c>
      <c r="E1645" t="str">
        <f>IFERROR(__xludf.DUMMYFUNCTION("REGEXEXTRACT(FORMULATEXT(D1645),""center=([-0-9.]+,[-0-9.]+)"")"),"#N/A")</f>
        <v>#N/A</v>
      </c>
    </row>
    <row r="1646">
      <c r="A1646" s="4" t="s">
        <v>1651</v>
      </c>
      <c r="B1646" s="1" t="s">
        <v>1101</v>
      </c>
      <c r="C1646" s="2" t="str">
        <f>HYPERLINK("http://4sq.com/1uTcCs4","Local Cafe (คาเฟ่บ้านนอก) ")</f>
        <v>Local Cafe (คาเฟ่บ้านนอก) </v>
      </c>
      <c r="E1646" t="str">
        <f>IFERROR(__xludf.DUMMYFUNCTION("REGEXEXTRACT(FORMULATEXT(D1646),""center=([-0-9.]+,[-0-9.]+)"")"),"#N/A")</f>
        <v>#N/A</v>
      </c>
    </row>
    <row r="1647">
      <c r="A1647" s="4" t="s">
        <v>1652</v>
      </c>
      <c r="B1647" s="1" t="s">
        <v>1101</v>
      </c>
      <c r="C1647" s="2" t="str">
        <f>HYPERLINK("http://4sq.com/1cbUJew","ริมธาร นั่งเล่น ")</f>
        <v>ริมธาร นั่งเล่น </v>
      </c>
      <c r="E1647" t="str">
        <f>IFERROR(__xludf.DUMMYFUNCTION("REGEXEXTRACT(FORMULATEXT(D1647),""center=([-0-9.]+,[-0-9.]+)"")"),"#N/A")</f>
        <v>#N/A</v>
      </c>
    </row>
    <row r="1648">
      <c r="A1648" s="4" t="s">
        <v>1653</v>
      </c>
      <c r="B1648" s="1" t="s">
        <v>1101</v>
      </c>
      <c r="C1648" s="2" t="str">
        <f>HYPERLINK("http://4sq.com/1GjmLUZ","Pizza Pasta by Simon ")</f>
        <v>Pizza Pasta by Simon </v>
      </c>
      <c r="E1648" t="str">
        <f>IFERROR(__xludf.DUMMYFUNCTION("REGEXEXTRACT(FORMULATEXT(D1648),""center=([-0-9.]+,[-0-9.]+)"")"),"#N/A")</f>
        <v>#N/A</v>
      </c>
    </row>
    <row r="1649">
      <c r="A1649" s="4" t="s">
        <v>1654</v>
      </c>
      <c r="B1649" s="1" t="s">
        <v>1101</v>
      </c>
      <c r="C1649" s="2" t="str">
        <f>HYPERLINK("http://4sq.com/llZ74P","HOME MALL ")</f>
        <v>HOME MALL </v>
      </c>
      <c r="E1649" t="str">
        <f>IFERROR(__xludf.DUMMYFUNCTION("REGEXEXTRACT(FORMULATEXT(D1649),""center=([-0-9.]+,[-0-9.]+)"")"),"#N/A")</f>
        <v>#N/A</v>
      </c>
    </row>
    <row r="1650">
      <c r="A1650" s="4" t="s">
        <v>1655</v>
      </c>
      <c r="B1650" s="1" t="s">
        <v>1101</v>
      </c>
      <c r="C1650" s="2" t="str">
        <f>HYPERLINK("http://4sq.com/fHcaB9","Coffee Bus (คอฟฟี่บัส) ")</f>
        <v>Coffee Bus (คอฟฟี่บัส) </v>
      </c>
      <c r="E1650" t="str">
        <f>IFERROR(__xludf.DUMMYFUNCTION("REGEXEXTRACT(FORMULATEXT(D1650),""center=([-0-9.]+,[-0-9.]+)"")"),"#N/A")</f>
        <v>#N/A</v>
      </c>
    </row>
    <row r="1651">
      <c r="A1651" s="4" t="s">
        <v>1656</v>
      </c>
      <c r="B1651" s="1" t="s">
        <v>1101</v>
      </c>
      <c r="C1651" s="2" t="str">
        <f>HYPERLINK("http://4sq.com/1dHOYY4","Pizzeria Giotto ")</f>
        <v>Pizzeria Giotto </v>
      </c>
      <c r="E1651" t="str">
        <f>IFERROR(__xludf.DUMMYFUNCTION("REGEXEXTRACT(FORMULATEXT(D1651),""center=([-0-9.]+,[-0-9.]+)"")"),"#N/A")</f>
        <v>#N/A</v>
      </c>
    </row>
    <row r="1652">
      <c r="A1652" s="4" t="s">
        <v>1657</v>
      </c>
      <c r="B1652" s="1" t="s">
        <v>1101</v>
      </c>
      <c r="C1652" s="2" t="str">
        <f>HYPERLINK("http://4sq.com/1oOhJur","Beast Burger ")</f>
        <v>Beast Burger </v>
      </c>
      <c r="E1652" t="str">
        <f>IFERROR(__xludf.DUMMYFUNCTION("REGEXEXTRACT(FORMULATEXT(D1652),""center=([-0-9.]+,[-0-9.]+)"")"),"#N/A")</f>
        <v>#N/A</v>
      </c>
    </row>
    <row r="1653">
      <c r="A1653" s="4" t="s">
        <v>1658</v>
      </c>
      <c r="B1653" s="1" t="s">
        <v>1101</v>
      </c>
      <c r="C1653" s="2" t="str">
        <f>HYPERLINK("http://4sq.com/1GjmLUZ","Pizza Pasta by Simon ")</f>
        <v>Pizza Pasta by Simon </v>
      </c>
      <c r="E1653" t="str">
        <f>IFERROR(__xludf.DUMMYFUNCTION("REGEXEXTRACT(FORMULATEXT(D1653),""center=([-0-9.]+,[-0-9.]+)"")"),"#N/A")</f>
        <v>#N/A</v>
      </c>
    </row>
    <row r="1654">
      <c r="A1654" s="4" t="s">
        <v>1659</v>
      </c>
      <c r="B1654" s="1" t="s">
        <v>1101</v>
      </c>
      <c r="C1654" s="2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E1654" t="str">
        <f>IFERROR(__xludf.DUMMYFUNCTION("REGEXEXTRACT(FORMULATEXT(D1654),""center=([-0-9.]+,[-0-9.]+)"")"),"#N/A")</f>
        <v>#N/A</v>
      </c>
    </row>
    <row r="1655">
      <c r="A1655" s="4" t="s">
        <v>1660</v>
      </c>
      <c r="B1655" s="1" t="s">
        <v>1101</v>
      </c>
      <c r="C1655" s="2" t="str">
        <f>HYPERLINK("http://4sq.com/229WRwg","ตึงเปา ตึงเปี๊ยะ ")</f>
        <v>ตึงเปา ตึงเปี๊ยะ </v>
      </c>
      <c r="E1655" t="str">
        <f>IFERROR(__xludf.DUMMYFUNCTION("REGEXEXTRACT(FORMULATEXT(D1655),""center=([-0-9.]+,[-0-9.]+)"")"),"#N/A")</f>
        <v>#N/A</v>
      </c>
    </row>
    <row r="1656">
      <c r="A1656" s="4" t="s">
        <v>1661</v>
      </c>
      <c r="B1656" s="1" t="s">
        <v>1101</v>
      </c>
      <c r="C1656" s="2" t="str">
        <f>HYPERLINK("http://4sq.com/1gyTULZ","Tumlum Yumzaap (ตำลำ ยำแซ่บ) ")</f>
        <v>Tumlum Yumzaap (ตำลำ ยำแซ่บ) </v>
      </c>
      <c r="E1656" t="str">
        <f>IFERROR(__xludf.DUMMYFUNCTION("REGEXEXTRACT(FORMULATEXT(D1656),""center=([-0-9.]+,[-0-9.]+)"")"),"#N/A")</f>
        <v>#N/A</v>
      </c>
    </row>
    <row r="1657">
      <c r="A1657" s="4" t="s">
        <v>1662</v>
      </c>
      <c r="B1657" s="1" t="s">
        <v>1101</v>
      </c>
      <c r="C1657" s="2" t="str">
        <f>HYPERLINK("http://4sq.com/1QBr5FK","นั่งๆนอนๆ Homestyle Kitchen &amp; Bekery ")</f>
        <v>นั่งๆนอนๆ Homestyle Kitchen &amp; Bekery </v>
      </c>
      <c r="E1657" t="str">
        <f>IFERROR(__xludf.DUMMYFUNCTION("REGEXEXTRACT(FORMULATEXT(D1657),""center=([-0-9.]+,[-0-9.]+)"")"),"#N/A")</f>
        <v>#N/A</v>
      </c>
    </row>
    <row r="1658">
      <c r="A1658" s="4" t="s">
        <v>1663</v>
      </c>
      <c r="B1658" s="1" t="s">
        <v>1101</v>
      </c>
      <c r="C1658" s="2" t="str">
        <f>HYPERLINK("http://4sq.com/9v5uys","Mon Cham (ม่อนแจ่ม) ")</f>
        <v>Mon Cham (ม่อนแจ่ม) </v>
      </c>
      <c r="E1658" t="str">
        <f>IFERROR(__xludf.DUMMYFUNCTION("REGEXEXTRACT(FORMULATEXT(D1658),""center=([-0-9.]+,[-0-9.]+)"")"),"#N/A")</f>
        <v>#N/A</v>
      </c>
    </row>
    <row r="1659">
      <c r="A1659" s="4" t="s">
        <v>1664</v>
      </c>
      <c r="B1659" s="1" t="s">
        <v>1101</v>
      </c>
      <c r="C1659" s="2" t="str">
        <f>HYPERLINK("http://4sq.com/1EZfTgZ","pansawan ")</f>
        <v>pansawan </v>
      </c>
      <c r="E1659" t="str">
        <f>IFERROR(__xludf.DUMMYFUNCTION("REGEXEXTRACT(FORMULATEXT(D1659),""center=([-0-9.]+,[-0-9.]+)"")"),"#N/A")</f>
        <v>#N/A</v>
      </c>
    </row>
    <row r="1660">
      <c r="A1660" s="4" t="s">
        <v>1665</v>
      </c>
      <c r="B1660" s="1" t="s">
        <v>1101</v>
      </c>
      <c r="C1660" s="2" t="str">
        <f>HYPERLINK("http://4sq.com/1PAmsuG","mont blanc garden kitchen ")</f>
        <v>mont blanc garden kitchen </v>
      </c>
      <c r="E1660" t="str">
        <f>IFERROR(__xludf.DUMMYFUNCTION("REGEXEXTRACT(FORMULATEXT(D1660),""center=([-0-9.]+,[-0-9.]+)"")"),"#N/A")</f>
        <v>#N/A</v>
      </c>
    </row>
    <row r="1661">
      <c r="A1661" s="4" t="s">
        <v>1666</v>
      </c>
      <c r="B1661" s="1" t="s">
        <v>1101</v>
      </c>
      <c r="C1661" s="2" t="str">
        <f>HYPERLINK("http://4sq.com/hf17HB","คันคลอง ")</f>
        <v>คันคลอง </v>
      </c>
      <c r="E1661" t="str">
        <f>IFERROR(__xludf.DUMMYFUNCTION("REGEXEXTRACT(FORMULATEXT(D1661),""center=([-0-9.]+,[-0-9.]+)"")"),"#N/A")</f>
        <v>#N/A</v>
      </c>
    </row>
    <row r="1662">
      <c r="A1662" s="4" t="s">
        <v>1667</v>
      </c>
      <c r="B1662" s="1" t="s">
        <v>1101</v>
      </c>
      <c r="C1662" s="2" t="str">
        <f>HYPERLINK("http://4sq.com/1UN2yN3","Mont Blanc Sweet Cafe ")</f>
        <v>Mont Blanc Sweet Cafe </v>
      </c>
      <c r="E1662" t="str">
        <f>IFERROR(__xludf.DUMMYFUNCTION("REGEXEXTRACT(FORMULATEXT(D1662),""center=([-0-9.]+,[-0-9.]+)"")"),"#N/A")</f>
        <v>#N/A</v>
      </c>
    </row>
    <row r="1663">
      <c r="A1663" s="4" t="s">
        <v>1668</v>
      </c>
      <c r="B1663" s="1" t="s">
        <v>1101</v>
      </c>
      <c r="C1663" s="2" t="str">
        <f>HYPERLINK("http://4sq.com/1NMIaul","Cheunjai Coffee&amp;Thai food ")</f>
        <v>Cheunjai Coffee&amp;Thai food </v>
      </c>
      <c r="E1663" t="str">
        <f>IFERROR(__xludf.DUMMYFUNCTION("REGEXEXTRACT(FORMULATEXT(D1663),""center=([-0-9.]+,[-0-9.]+)"")"),"#N/A")</f>
        <v>#N/A</v>
      </c>
    </row>
    <row r="1664">
      <c r="A1664" s="4" t="s">
        <v>1669</v>
      </c>
      <c r="B1664" s="1" t="s">
        <v>1101</v>
      </c>
      <c r="C1664" s="2" t="str">
        <f>HYPERLINK("http://4sq.com/1gyTULZ","Tumlum Yumzaap (ตำลำ ยำแซ่บ) ")</f>
        <v>Tumlum Yumzaap (ตำลำ ยำแซ่บ) </v>
      </c>
      <c r="E1664" t="str">
        <f>IFERROR(__xludf.DUMMYFUNCTION("REGEXEXTRACT(FORMULATEXT(D1664),""center=([-0-9.]+,[-0-9.]+)"")"),"#N/A")</f>
        <v>#N/A</v>
      </c>
    </row>
    <row r="1665">
      <c r="A1665" s="4" t="s">
        <v>1670</v>
      </c>
      <c r="B1665" s="1" t="s">
        <v>1101</v>
      </c>
      <c r="C1665" s="2" t="str">
        <f>HYPERLINK("http://4sq.com/cDbPYP","Ton Nam Pla Pao (ต้นน้ำปลาเผา) ")</f>
        <v>Ton Nam Pla Pao (ต้นน้ำปลาเผา) </v>
      </c>
      <c r="E1665" t="str">
        <f>IFERROR(__xludf.DUMMYFUNCTION("REGEXEXTRACT(FORMULATEXT(D1665),""center=([-0-9.]+,[-0-9.]+)"")"),"#N/A")</f>
        <v>#N/A</v>
      </c>
    </row>
    <row r="1666">
      <c r="A1666" s="4" t="s">
        <v>1671</v>
      </c>
      <c r="B1666" s="1" t="s">
        <v>1101</v>
      </c>
      <c r="C1666" s="2" t="str">
        <f>HYPERLINK("http://4sq.com/1uTcCs4","Local Cafe (คาเฟ่บ้านนอก) ")</f>
        <v>Local Cafe (คาเฟ่บ้านนอก) </v>
      </c>
      <c r="E1666" t="str">
        <f>IFERROR(__xludf.DUMMYFUNCTION("REGEXEXTRACT(FORMULATEXT(D1666),""center=([-0-9.]+,[-0-9.]+)"")"),"#N/A")</f>
        <v>#N/A</v>
      </c>
    </row>
    <row r="1667">
      <c r="A1667" s="4" t="s">
        <v>1672</v>
      </c>
      <c r="B1667" s="1" t="s">
        <v>1101</v>
      </c>
      <c r="C1667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1667" t="str">
        <f>IFERROR(__xludf.DUMMYFUNCTION("REGEXEXTRACT(FORMULATEXT(D1667),""center=([-0-9.]+,[-0-9.]+)"")"),"#N/A")</f>
        <v>#N/A</v>
      </c>
    </row>
    <row r="1668">
      <c r="A1668" s="4" t="s">
        <v>1673</v>
      </c>
      <c r="B1668" s="1" t="s">
        <v>1101</v>
      </c>
      <c r="C1668" s="2" t="str">
        <f>HYPERLINK("http://4sq.com/1bpS1ih","Major Cineplex (เมเจอร์ ซีนีเพล็กซ์) ")</f>
        <v>Major Cineplex (เมเจอร์ ซีนีเพล็กซ์) </v>
      </c>
      <c r="E1668" t="str">
        <f>IFERROR(__xludf.DUMMYFUNCTION("REGEXEXTRACT(FORMULATEXT(D1668),""center=([-0-9.]+,[-0-9.]+)"")"),"#N/A")</f>
        <v>#N/A</v>
      </c>
    </row>
    <row r="1669">
      <c r="A1669" s="4" t="s">
        <v>1674</v>
      </c>
      <c r="B1669" s="1" t="s">
        <v>1101</v>
      </c>
      <c r="C1669" s="2" t="str">
        <f>HYPERLINK("http://4sq.com/9Xt3FL","Huay Tueng Tao (ห้วยตึงเฒ่า) ")</f>
        <v>Huay Tueng Tao (ห้วยตึงเฒ่า) </v>
      </c>
      <c r="E1669" t="str">
        <f>IFERROR(__xludf.DUMMYFUNCTION("REGEXEXTRACT(FORMULATEXT(D1669),""center=([-0-9.]+,[-0-9.]+)"")"),"#N/A")</f>
        <v>#N/A</v>
      </c>
    </row>
    <row r="1670">
      <c r="A1670" s="4" t="s">
        <v>1675</v>
      </c>
      <c r="B1670" s="1" t="s">
        <v>1101</v>
      </c>
      <c r="C1670" s="2" t="str">
        <f>HYPERLINK("http://4sq.com/1LwwIEn","Let It Be ")</f>
        <v>Let It Be </v>
      </c>
      <c r="E1670" t="str">
        <f>IFERROR(__xludf.DUMMYFUNCTION("REGEXEXTRACT(FORMULATEXT(D1670),""center=([-0-9.]+,[-0-9.]+)"")"),"#N/A")</f>
        <v>#N/A</v>
      </c>
    </row>
    <row r="1671">
      <c r="A1671" s="4" t="s">
        <v>1676</v>
      </c>
      <c r="B1671" s="1" t="s">
        <v>1101</v>
      </c>
      <c r="C1671" s="2" t="str">
        <f>HYPERLINK("http://4sq.com/1QUOUcj","German Beer Garden ")</f>
        <v>German Beer Garden </v>
      </c>
      <c r="E1671" t="str">
        <f>IFERROR(__xludf.DUMMYFUNCTION("REGEXEXTRACT(FORMULATEXT(D1671),""center=([-0-9.]+,[-0-9.]+)"")"),"#N/A")</f>
        <v>#N/A</v>
      </c>
    </row>
    <row r="1672">
      <c r="A1672" s="4" t="s">
        <v>1677</v>
      </c>
      <c r="B1672" s="1" t="s">
        <v>1101</v>
      </c>
      <c r="C1672" s="2" t="str">
        <f>HYPERLINK("http://4sq.com/jYNlpe","The Lost Hut ")</f>
        <v>The Lost Hut </v>
      </c>
      <c r="E1672" t="str">
        <f>IFERROR(__xludf.DUMMYFUNCTION("REGEXEXTRACT(FORMULATEXT(D1672),""center=([-0-9.]+,[-0-9.]+)"")"),"#N/A")</f>
        <v>#N/A</v>
      </c>
    </row>
    <row r="1673">
      <c r="A1673" s="4" t="s">
        <v>1678</v>
      </c>
      <c r="B1673" s="1" t="s">
        <v>1101</v>
      </c>
      <c r="C1673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E1673" t="str">
        <f>IFERROR(__xludf.DUMMYFUNCTION("REGEXEXTRACT(FORMULATEXT(D1673),""center=([-0-9.]+,[-0-9.]+)"")"),"#N/A")</f>
        <v>#N/A</v>
      </c>
    </row>
    <row r="1674">
      <c r="A1674" s="4" t="s">
        <v>1679</v>
      </c>
      <c r="B1674" s="1" t="s">
        <v>1101</v>
      </c>
      <c r="C1674" s="2" t="str">
        <f>HYPERLINK("http://4sq.com/2bIJz8b","Lamona View Swimming Pool ")</f>
        <v>Lamona View Swimming Pool </v>
      </c>
      <c r="E1674" t="str">
        <f>IFERROR(__xludf.DUMMYFUNCTION("REGEXEXTRACT(FORMULATEXT(D1674),""center=([-0-9.]+,[-0-9.]+)"")"),"#N/A")</f>
        <v>#N/A</v>
      </c>
    </row>
    <row r="1675">
      <c r="A1675" s="4" t="s">
        <v>1680</v>
      </c>
      <c r="B1675" s="1" t="s">
        <v>1101</v>
      </c>
      <c r="C1675" s="2" t="str">
        <f>HYPERLINK("http://4sq.com/o3ZEdO","See Paak Restaurant ")</f>
        <v>See Paak Restaurant </v>
      </c>
      <c r="E1675" t="str">
        <f>IFERROR(__xludf.DUMMYFUNCTION("REGEXEXTRACT(FORMULATEXT(D1675),""center=([-0-9.]+,[-0-9.]+)"")"),"#N/A")</f>
        <v>#N/A</v>
      </c>
    </row>
    <row r="1676">
      <c r="A1676" s="4" t="s">
        <v>1681</v>
      </c>
      <c r="B1676" s="1" t="s">
        <v>1101</v>
      </c>
      <c r="C1676" s="2" t="str">
        <f>HYPERLINK("http://4sq.com/u3uj6W","Krapood Farm Kitchen + Pub ")</f>
        <v>Krapood Farm Kitchen + Pub </v>
      </c>
      <c r="E1676" t="str">
        <f>IFERROR(__xludf.DUMMYFUNCTION("REGEXEXTRACT(FORMULATEXT(D1676),""center=([-0-9.]+,[-0-9.]+)"")"),"#N/A")</f>
        <v>#N/A</v>
      </c>
    </row>
    <row r="1677">
      <c r="A1677" s="4" t="s">
        <v>1682</v>
      </c>
      <c r="B1677" s="1" t="s">
        <v>1101</v>
      </c>
      <c r="C1677" s="2" t="str">
        <f>HYPERLINK("http://4sq.com/1QBr5FK","นั่งๆนอนๆ Homestyle Kitchen &amp; Bekery ")</f>
        <v>นั่งๆนอนๆ Homestyle Kitchen &amp; Bekery </v>
      </c>
      <c r="E1677" t="str">
        <f>IFERROR(__xludf.DUMMYFUNCTION("REGEXEXTRACT(FORMULATEXT(D1677),""center=([-0-9.]+,[-0-9.]+)"")"),"#N/A")</f>
        <v>#N/A</v>
      </c>
    </row>
    <row r="1678">
      <c r="A1678" s="4" t="s">
        <v>1683</v>
      </c>
      <c r="B1678" s="1" t="s">
        <v>1101</v>
      </c>
      <c r="C1678" s="2" t="str">
        <f>HYPERLINK("http://4sq.com/2fnKg6A","Mae Rim Resto ")</f>
        <v>Mae Rim Resto </v>
      </c>
      <c r="E1678" t="str">
        <f>IFERROR(__xludf.DUMMYFUNCTION("REGEXEXTRACT(FORMULATEXT(D1678),""center=([-0-9.]+,[-0-9.]+)"")"),"#N/A")</f>
        <v>#N/A</v>
      </c>
    </row>
    <row r="1679">
      <c r="A1679" s="4" t="s">
        <v>1684</v>
      </c>
      <c r="B1679" s="1" t="s">
        <v>1101</v>
      </c>
      <c r="C1679" s="2" t="str">
        <f>HYPERLINK("http://4sq.com/UHDUB0","The Chai Lai Orchid ")</f>
        <v>The Chai Lai Orchid </v>
      </c>
      <c r="E1679" t="str">
        <f>IFERROR(__xludf.DUMMYFUNCTION("REGEXEXTRACT(FORMULATEXT(D1679),""center=([-0-9.]+,[-0-9.]+)"")"),"#N/A")</f>
        <v>#N/A</v>
      </c>
    </row>
    <row r="1680">
      <c r="A1680" s="4" t="s">
        <v>1685</v>
      </c>
      <c r="B1680" s="1" t="s">
        <v>1101</v>
      </c>
      <c r="C1680" s="2" t="str">
        <f>HYPERLINK("http://4sq.com/1dpQIFZ","The Chai Lai Orchid Cafe' ")</f>
        <v>The Chai Lai Orchid Cafe' </v>
      </c>
      <c r="E1680" t="str">
        <f>IFERROR(__xludf.DUMMYFUNCTION("REGEXEXTRACT(FORMULATEXT(D1680),""center=([-0-9.]+,[-0-9.]+)"")"),"#N/A")</f>
        <v>#N/A</v>
      </c>
    </row>
    <row r="1681">
      <c r="A1681" s="4" t="s">
        <v>1686</v>
      </c>
      <c r="B1681" s="1" t="s">
        <v>1101</v>
      </c>
      <c r="C1681" s="2" t="str">
        <f>HYPERLINK("http://4sq.com/vR2jCG","Baan-Suan-Ka-Fé (บ้านสวนกาแฟ) ")</f>
        <v>Baan-Suan-Ka-Fé (บ้านสวนกาแฟ) </v>
      </c>
      <c r="E1681" t="str">
        <f>IFERROR(__xludf.DUMMYFUNCTION("REGEXEXTRACT(FORMULATEXT(D1681),""center=([-0-9.]+,[-0-9.]+)"")"),"#N/A")</f>
        <v>#N/A</v>
      </c>
    </row>
    <row r="1682">
      <c r="A1682" s="4" t="s">
        <v>1687</v>
      </c>
      <c r="B1682" s="1" t="s">
        <v>1101</v>
      </c>
      <c r="C1682" s="2" t="str">
        <f>HYPERLINK("http://4sq.com/12JZOTi","Street Pizza Wood Fired Oven ")</f>
        <v>Street Pizza Wood Fired Oven </v>
      </c>
      <c r="E1682" t="str">
        <f>IFERROR(__xludf.DUMMYFUNCTION("REGEXEXTRACT(FORMULATEXT(D1682),""center=([-0-9.]+,[-0-9.]+)"")"),"#N/A")</f>
        <v>#N/A</v>
      </c>
    </row>
    <row r="1683">
      <c r="A1683" s="4" t="s">
        <v>1688</v>
      </c>
      <c r="B1683" s="1" t="s">
        <v>1101</v>
      </c>
      <c r="C1683" s="2" t="str">
        <f>HYPERLINK("http://4sq.com/sm7fyN","ทับริมธาร ")</f>
        <v>ทับริมธาร </v>
      </c>
      <c r="E1683" t="str">
        <f>IFERROR(__xludf.DUMMYFUNCTION("REGEXEXTRACT(FORMULATEXT(D1683),""center=([-0-9.]+,[-0-9.]+)"")"),"#N/A")</f>
        <v>#N/A</v>
      </c>
    </row>
    <row r="1684">
      <c r="A1684" s="4" t="s">
        <v>1689</v>
      </c>
      <c r="B1684" s="1" t="s">
        <v>1101</v>
      </c>
      <c r="C1684" s="2" t="str">
        <f>HYPERLINK("http://4sq.com/17EOSdj","The Larder Cafe and Bar ")</f>
        <v>The Larder Cafe and Bar </v>
      </c>
      <c r="E1684" t="str">
        <f>IFERROR(__xludf.DUMMYFUNCTION("REGEXEXTRACT(FORMULATEXT(D1684),""center=([-0-9.]+,[-0-9.]+)"")"),"#N/A")</f>
        <v>#N/A</v>
      </c>
    </row>
    <row r="1685">
      <c r="A1685" s="4" t="s">
        <v>1690</v>
      </c>
      <c r="B1685" s="1" t="s">
        <v>1101</v>
      </c>
      <c r="C1685" s="2" t="str">
        <f>HYPERLINK("http://4sq.com/1WzNUez","Crossroad ")</f>
        <v>Crossroad </v>
      </c>
      <c r="E1685" t="str">
        <f>IFERROR(__xludf.DUMMYFUNCTION("REGEXEXTRACT(FORMULATEXT(D1685),""center=([-0-9.]+,[-0-9.]+)"")"),"#N/A")</f>
        <v>#N/A</v>
      </c>
    </row>
    <row r="1686">
      <c r="A1686" s="4" t="s">
        <v>1691</v>
      </c>
      <c r="B1686" s="1" t="s">
        <v>1101</v>
      </c>
      <c r="C1686" s="2" t="str">
        <f>HYPERLINK("http://4sq.com/9rHN1N","Jirung Health Village Resort Chiang Mai ")</f>
        <v>Jirung Health Village Resort Chiang Mai </v>
      </c>
      <c r="E1686" t="str">
        <f>IFERROR(__xludf.DUMMYFUNCTION("REGEXEXTRACT(FORMULATEXT(D1686),""center=([-0-9.]+,[-0-9.]+)"")"),"#N/A")</f>
        <v>#N/A</v>
      </c>
    </row>
    <row r="1687">
      <c r="A1687" s="4" t="s">
        <v>1692</v>
      </c>
      <c r="B1687" s="1" t="s">
        <v>1101</v>
      </c>
      <c r="C1687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E1687" t="str">
        <f>IFERROR(__xludf.DUMMYFUNCTION("REGEXEXTRACT(FORMULATEXT(D1687),""center=([-0-9.]+,[-0-9.]+)"")"),"#N/A")</f>
        <v>#N/A</v>
      </c>
    </row>
    <row r="1688">
      <c r="A1688" s="4" t="s">
        <v>1693</v>
      </c>
      <c r="B1688" s="1" t="s">
        <v>1101</v>
      </c>
      <c r="C1688" s="2" t="str">
        <f>HYPERLINK("http://4sq.com/1LwwIEn","Let It Be ")</f>
        <v>Let It Be </v>
      </c>
      <c r="E1688" t="str">
        <f>IFERROR(__xludf.DUMMYFUNCTION("REGEXEXTRACT(FORMULATEXT(D1688),""center=([-0-9.]+,[-0-9.]+)"")"),"#N/A")</f>
        <v>#N/A</v>
      </c>
    </row>
    <row r="1689">
      <c r="A1689" s="4" t="s">
        <v>1694</v>
      </c>
      <c r="B1689" s="1" t="s">
        <v>1101</v>
      </c>
      <c r="C1689" s="2" t="str">
        <f>HYPERLINK("http://4sq.com/a3WF57","Pizza Mania ")</f>
        <v>Pizza Mania </v>
      </c>
      <c r="E1689" t="str">
        <f>IFERROR(__xludf.DUMMYFUNCTION("REGEXEXTRACT(FORMULATEXT(D1689),""center=([-0-9.]+,[-0-9.]+)"")"),"#N/A")</f>
        <v>#N/A</v>
      </c>
    </row>
    <row r="1690">
      <c r="A1690" s="4" t="s">
        <v>1695</v>
      </c>
      <c r="B1690" s="1" t="s">
        <v>1101</v>
      </c>
      <c r="C1690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  <c r="E1690" t="str">
        <f>IFERROR(__xludf.DUMMYFUNCTION("REGEXEXTRACT(FORMULATEXT(D1690),""center=([-0-9.]+,[-0-9.]+)"")"),"#N/A")</f>
        <v>#N/A</v>
      </c>
    </row>
    <row r="1691">
      <c r="A1691" s="4" t="s">
        <v>1696</v>
      </c>
      <c r="B1691" s="1" t="s">
        <v>1101</v>
      </c>
      <c r="C1691" s="2" t="str">
        <f>HYPERLINK("http://4sq.com/1MGHxNq","ระเบียง ณ แม่ริม ")</f>
        <v>ระเบียง ณ แม่ริม </v>
      </c>
      <c r="E1691" t="str">
        <f>IFERROR(__xludf.DUMMYFUNCTION("REGEXEXTRACT(FORMULATEXT(D1691),""center=([-0-9.]+,[-0-9.]+)"")"),"#N/A")</f>
        <v>#N/A</v>
      </c>
    </row>
    <row r="1692">
      <c r="A1692" s="4" t="s">
        <v>1697</v>
      </c>
      <c r="B1692" s="1" t="s">
        <v>1101</v>
      </c>
      <c r="C1692" s="2" t="str">
        <f>HYPERLINK("http://4sq.com/b5BzeX","Le Méridien Chiang Mai ")</f>
        <v>Le Méridien Chiang Mai </v>
      </c>
      <c r="E1692" t="str">
        <f>IFERROR(__xludf.DUMMYFUNCTION("REGEXEXTRACT(FORMULATEXT(D1692),""center=([-0-9.]+,[-0-9.]+)"")"),"#N/A")</f>
        <v>#N/A</v>
      </c>
    </row>
    <row r="1693">
      <c r="A1693" s="4" t="s">
        <v>1698</v>
      </c>
      <c r="B1693" s="1" t="s">
        <v>1101</v>
      </c>
      <c r="C1693" s="2" t="str">
        <f>HYPERLINK("http://4sq.com/2heQwl8","Noodle Coffee Fruit juice ")</f>
        <v>Noodle Coffee Fruit juice </v>
      </c>
      <c r="E1693" t="str">
        <f>IFERROR(__xludf.DUMMYFUNCTION("REGEXEXTRACT(FORMULATEXT(D1693),""center=([-0-9.]+,[-0-9.]+)"")"),"#N/A")</f>
        <v>#N/A</v>
      </c>
    </row>
    <row r="1694">
      <c r="A1694" s="4" t="s">
        <v>1699</v>
      </c>
      <c r="B1694" s="1" t="s">
        <v>1101</v>
      </c>
      <c r="C1694" s="2" t="str">
        <f>HYPERLINK("http://4sq.com/fePnsz","Hill Lodge ")</f>
        <v>Hill Lodge </v>
      </c>
      <c r="E1694" t="str">
        <f>IFERROR(__xludf.DUMMYFUNCTION("REGEXEXTRACT(FORMULATEXT(D1694),""center=([-0-9.]+,[-0-9.]+)"")"),"#N/A")</f>
        <v>#N/A</v>
      </c>
    </row>
    <row r="1695">
      <c r="A1695" s="4" t="s">
        <v>1700</v>
      </c>
      <c r="B1695" s="1" t="s">
        <v>1101</v>
      </c>
      <c r="C1695" s="2" t="str">
        <f>HYPERLINK("http://4sq.com/s8bKps","ก๋วยเตี๋ยว ด๊อกเตอร์ ")</f>
        <v>ก๋วยเตี๋ยว ด๊อกเตอร์ </v>
      </c>
      <c r="E1695" t="str">
        <f>IFERROR(__xludf.DUMMYFUNCTION("REGEXEXTRACT(FORMULATEXT(D1695),""center=([-0-9.]+,[-0-9.]+)"")"),"#N/A")</f>
        <v>#N/A</v>
      </c>
    </row>
    <row r="1696">
      <c r="A1696" s="4" t="s">
        <v>1701</v>
      </c>
      <c r="B1696" s="1" t="s">
        <v>1101</v>
      </c>
      <c r="C1696" s="2" t="str">
        <f>HYPERLINK("http://4sq.com/1dHOYY4","Pizzeria Giotto ")</f>
        <v>Pizzeria Giotto </v>
      </c>
      <c r="E1696" t="str">
        <f>IFERROR(__xludf.DUMMYFUNCTION("REGEXEXTRACT(FORMULATEXT(D1696),""center=([-0-9.]+,[-0-9.]+)"")"),"#N/A")</f>
        <v>#N/A</v>
      </c>
    </row>
    <row r="1697">
      <c r="A1697" s="4" t="s">
        <v>1702</v>
      </c>
      <c r="B1697" s="1" t="s">
        <v>1101</v>
      </c>
      <c r="C1697" s="2" t="str">
        <f>HYPERLINK("http://4sq.com/heBbsQ","Chiang Mai Night Safari (เชียงใหม่ไนท์ซาฟารี) ")</f>
        <v>Chiang Mai Night Safari (เชียงใหม่ไนท์ซาฟารี) </v>
      </c>
      <c r="E1697" t="str">
        <f>IFERROR(__xludf.DUMMYFUNCTION("REGEXEXTRACT(FORMULATEXT(D1697),""center=([-0-9.]+,[-0-9.]+)"")"),"#N/A")</f>
        <v>#N/A</v>
      </c>
    </row>
    <row r="1698">
      <c r="A1698" s="4" t="s">
        <v>1703</v>
      </c>
      <c r="B1698" s="1" t="s">
        <v>1101</v>
      </c>
      <c r="C1698" s="2" t="str">
        <f>HYPERLINK("http://4sq.com/1tS4isq","Thapae Loft ")</f>
        <v>Thapae Loft </v>
      </c>
      <c r="E1698" t="str">
        <f>IFERROR(__xludf.DUMMYFUNCTION("REGEXEXTRACT(FORMULATEXT(D1698),""center=([-0-9.]+,[-0-9.]+)"")"),"#N/A")</f>
        <v>#N/A</v>
      </c>
    </row>
    <row r="1699">
      <c r="A1699" s="4" t="s">
        <v>1704</v>
      </c>
      <c r="B1699" s="1" t="s">
        <v>1101</v>
      </c>
      <c r="C1699" s="2" t="str">
        <f>HYPERLINK("http://4sq.com/hUO8aV","Girasole Ristorante Italiano ")</f>
        <v>Girasole Ristorante Italiano </v>
      </c>
      <c r="E1699" t="str">
        <f>IFERROR(__xludf.DUMMYFUNCTION("REGEXEXTRACT(FORMULATEXT(D1699),""center=([-0-9.]+,[-0-9.]+)"")"),"#N/A")</f>
        <v>#N/A</v>
      </c>
    </row>
    <row r="1700">
      <c r="A1700" s="4" t="s">
        <v>1705</v>
      </c>
      <c r="B1700" s="1" t="s">
        <v>1101</v>
      </c>
      <c r="C1700" s="2" t="str">
        <f>HYPERLINK("http://4sq.com/1ehxHbW","Pakhinai Cafe ")</f>
        <v>Pakhinai Cafe </v>
      </c>
      <c r="E1700" t="str">
        <f>IFERROR(__xludf.DUMMYFUNCTION("REGEXEXTRACT(FORMULATEXT(D1700),""center=([-0-9.]+,[-0-9.]+)"")"),"#N/A")</f>
        <v>#N/A</v>
      </c>
    </row>
    <row r="1701">
      <c r="A1701" s="4" t="s">
        <v>1706</v>
      </c>
      <c r="B1701" s="1" t="s">
        <v>1101</v>
      </c>
      <c r="C1701" s="2" t="str">
        <f>HYPERLINK("http://4sq.com/nJDAw8","HugYou (ฮักยู) ลำปางหนาวมาก ")</f>
        <v>HugYou (ฮักยู) ลำปางหนาวมาก </v>
      </c>
      <c r="E1701" t="str">
        <f>IFERROR(__xludf.DUMMYFUNCTION("REGEXEXTRACT(FORMULATEXT(D1701),""center=([-0-9.]+,[-0-9.]+)"")"),"#N/A")</f>
        <v>#N/A</v>
      </c>
    </row>
    <row r="1702">
      <c r="A1702" s="4" t="s">
        <v>1707</v>
      </c>
      <c r="B1702" s="1" t="s">
        <v>1101</v>
      </c>
      <c r="C1702" s="2" t="str">
        <f>HYPERLINK("http://4sq.com/1sL1bRN","Tak Treehouse ")</f>
        <v>Tak Treehouse </v>
      </c>
      <c r="E1702" t="str">
        <f>IFERROR(__xludf.DUMMYFUNCTION("REGEXEXTRACT(FORMULATEXT(D1702),""center=([-0-9.]+,[-0-9.]+)"")"),"#N/A")</f>
        <v>#N/A</v>
      </c>
    </row>
    <row r="1703">
      <c r="A1703" s="4" t="s">
        <v>1708</v>
      </c>
      <c r="B1703" s="1" t="s">
        <v>1101</v>
      </c>
      <c r="C1703" s="2" t="str">
        <f>HYPERLINK("http://4sq.com/IIuaBU","ชมทิวทัศน์ริมปิง ")</f>
        <v>ชมทิวทัศน์ริมปิง </v>
      </c>
      <c r="E1703" t="str">
        <f>IFERROR(__xludf.DUMMYFUNCTION("REGEXEXTRACT(FORMULATEXT(D1703),""center=([-0-9.]+,[-0-9.]+)"")"),"#N/A")</f>
        <v>#N/A</v>
      </c>
    </row>
    <row r="1704">
      <c r="A1704" s="4" t="s">
        <v>1709</v>
      </c>
      <c r="B1704" s="1" t="s">
        <v>1101</v>
      </c>
      <c r="C1704" s="2" t="str">
        <f>HYPERLINK("http://4sq.com/aqReOw","PTT (ปตท.) ")</f>
        <v>PTT (ปตท.) </v>
      </c>
      <c r="E1704" t="str">
        <f>IFERROR(__xludf.DUMMYFUNCTION("REGEXEXTRACT(FORMULATEXT(D1704),""center=([-0-9.]+,[-0-9.]+)"")"),"#N/A")</f>
        <v>#N/A</v>
      </c>
    </row>
    <row r="1705">
      <c r="A1705" s="4" t="s">
        <v>1710</v>
      </c>
      <c r="B1705" s="1" t="s">
        <v>1101</v>
      </c>
      <c r="C1705" s="2" t="str">
        <f>HYPERLINK("http://4sq.com/kqzwob","Oasis Bar&amp;Restauntrent ")</f>
        <v>Oasis Bar&amp;Restauntrent </v>
      </c>
      <c r="E1705" t="str">
        <f>IFERROR(__xludf.DUMMYFUNCTION("REGEXEXTRACT(FORMULATEXT(D1705),""center=([-0-9.]+,[-0-9.]+)"")"),"#N/A")</f>
        <v>#N/A</v>
      </c>
    </row>
    <row r="1706">
      <c r="A1706" s="4" t="s">
        <v>1711</v>
      </c>
      <c r="B1706" s="1" t="s">
        <v>1101</v>
      </c>
      <c r="C1706" s="2" t="str">
        <f>HYPERLINK("http://4sq.com/fqH930","Belle Grand Rama IX (เบลล์ แกรนด์ พระราม 9) ")</f>
        <v>Belle Grand Rama IX (เบลล์ แกรนด์ พระราม 9) </v>
      </c>
      <c r="E1706" t="str">
        <f>IFERROR(__xludf.DUMMYFUNCTION("REGEXEXTRACT(FORMULATEXT(D1706),""center=([-0-9.]+,[-0-9.]+)"")"),"#N/A")</f>
        <v>#N/A</v>
      </c>
    </row>
    <row r="1707">
      <c r="A1707" s="4" t="s">
        <v>1712</v>
      </c>
      <c r="B1707" s="1" t="s">
        <v>1101</v>
      </c>
      <c r="C1707" s="2" t="str">
        <f>HYPERLINK("http://4sq.com/d3oJxD","GMM Grammy Place (อาคาร จีเอ็มเอ็ม แกรมมี่ เพลส) ")</f>
        <v>GMM Grammy Place (อาคาร จีเอ็มเอ็ม แกรมมี่ เพลส) </v>
      </c>
      <c r="E1707" t="str">
        <f>IFERROR(__xludf.DUMMYFUNCTION("REGEXEXTRACT(FORMULATEXT(D1707),""center=([-0-9.]+,[-0-9.]+)"")"),"#N/A")</f>
        <v>#N/A</v>
      </c>
    </row>
    <row r="1708">
      <c r="A1708" s="4" t="s">
        <v>1713</v>
      </c>
      <c r="B1708" s="1" t="s">
        <v>1101</v>
      </c>
      <c r="C1708" s="2" t="str">
        <f>HYPERLINK("http://4sq.com/vbnctY","CentralPlaza Grand Rama 9 (เซ็นทรัลพลาซา แกรนด์ พระราม 9) ")</f>
        <v>CentralPlaza Grand Rama 9 (เซ็นทรัลพลาซา แกรนด์ พระราม 9) </v>
      </c>
      <c r="E1708" t="str">
        <f>IFERROR(__xludf.DUMMYFUNCTION("REGEXEXTRACT(FORMULATEXT(D1708),""center=([-0-9.]+,[-0-9.]+)"")"),"#N/A")</f>
        <v>#N/A</v>
      </c>
    </row>
    <row r="1709">
      <c r="A1709" s="4" t="s">
        <v>1714</v>
      </c>
      <c r="B1709" s="1" t="s">
        <v>1101</v>
      </c>
      <c r="C1709" s="2" t="str">
        <f>HYPERLINK("http://4sq.com/bKD2nC","PTT (ปตท.) ")</f>
        <v>PTT (ปตท.) </v>
      </c>
      <c r="E1709" t="str">
        <f>IFERROR(__xludf.DUMMYFUNCTION("REGEXEXTRACT(FORMULATEXT(D1709),""center=([-0-9.]+,[-0-9.]+)"")"),"#N/A")</f>
        <v>#N/A</v>
      </c>
    </row>
    <row r="1710">
      <c r="A1710" s="4" t="s">
        <v>1715</v>
      </c>
      <c r="B1710" s="1" t="s">
        <v>1101</v>
      </c>
      <c r="C1710" s="2" t="str">
        <f>HYPERLINK("http://4sq.com/g0H0R9","Sam Roi Yot Beach (หาดสามร้อยยอด) ")</f>
        <v>Sam Roi Yot Beach (หาดสามร้อยยอด) </v>
      </c>
      <c r="E1710" t="str">
        <f>IFERROR(__xludf.DUMMYFUNCTION("REGEXEXTRACT(FORMULATEXT(D1710),""center=([-0-9.]+,[-0-9.]+)"")"),"#N/A")</f>
        <v>#N/A</v>
      </c>
    </row>
    <row r="1711">
      <c r="A1711" s="4" t="s">
        <v>1716</v>
      </c>
      <c r="B1711" s="1" t="s">
        <v>1101</v>
      </c>
      <c r="C1711" s="2" t="str">
        <f>HYPERLINK("http://4sq.com/aJM955","Hua Hin Airport (HHQ) ท่าอากาศยานหัวหิน ")</f>
        <v>Hua Hin Airport (HHQ) ท่าอากาศยานหัวหิน </v>
      </c>
      <c r="E1711" t="str">
        <f>IFERROR(__xludf.DUMMYFUNCTION("REGEXEXTRACT(FORMULATEXT(D1711),""center=([-0-9.]+,[-0-9.]+)"")"),"#N/A")</f>
        <v>#N/A</v>
      </c>
    </row>
    <row r="1712">
      <c r="A1712" s="4" t="s">
        <v>1717</v>
      </c>
      <c r="B1712" s="1" t="s">
        <v>1101</v>
      </c>
      <c r="C1712" s="2" t="str">
        <f>HYPERLINK("http://4sq.com/Zj0oYO","thai thai ")</f>
        <v>thai thai </v>
      </c>
      <c r="E1712" t="str">
        <f>IFERROR(__xludf.DUMMYFUNCTION("REGEXEXTRACT(FORMULATEXT(D1712),""center=([-0-9.]+,[-0-9.]+)"")"),"#N/A")</f>
        <v>#N/A</v>
      </c>
    </row>
    <row r="1713">
      <c r="A1713" s="4" t="s">
        <v>1718</v>
      </c>
      <c r="B1713" s="1" t="s">
        <v>1101</v>
      </c>
      <c r="C1713" s="2" t="str">
        <f>HYPERLINK("http://4sq.com/biiRgX","วนอุทยานท้าวโกษา ")</f>
        <v>วนอุทยานท้าวโกษา </v>
      </c>
      <c r="E1713" t="str">
        <f>IFERROR(__xludf.DUMMYFUNCTION("REGEXEXTRACT(FORMULATEXT(D1713),""center=([-0-9.]+,[-0-9.]+)"")"),"#N/A")</f>
        <v>#N/A</v>
      </c>
    </row>
    <row r="1714">
      <c r="A1714" s="4" t="s">
        <v>1719</v>
      </c>
      <c r="B1714" s="1" t="s">
        <v>1101</v>
      </c>
      <c r="C1714" s="2" t="str">
        <f>HYPERLINK("http://4sq.com/ifN947","Ley Cafe' Pranburi เล คาเฟ่ ปราณบุรี ")</f>
        <v>Ley Cafe' Pranburi เล คาเฟ่ ปราณบุรี </v>
      </c>
      <c r="E1714" t="str">
        <f>IFERROR(__xludf.DUMMYFUNCTION("REGEXEXTRACT(FORMULATEXT(D1714),""center=([-0-9.]+,[-0-9.]+)"")"),"#N/A")</f>
        <v>#N/A</v>
      </c>
    </row>
    <row r="1715">
      <c r="A1715" s="4" t="s">
        <v>1720</v>
      </c>
      <c r="B1715" s="1" t="s">
        <v>1101</v>
      </c>
      <c r="C1715" s="2" t="str">
        <f>HYPERLINK("http://4sq.com/biiRgX","วนอุทยานท้าวโกษา ")</f>
        <v>วนอุทยานท้าวโกษา </v>
      </c>
      <c r="E1715" t="str">
        <f>IFERROR(__xludf.DUMMYFUNCTION("REGEXEXTRACT(FORMULATEXT(D1715),""center=([-0-9.]+,[-0-9.]+)"")"),"#N/A")</f>
        <v>#N/A</v>
      </c>
    </row>
    <row r="1716">
      <c r="A1716" s="4" t="s">
        <v>1721</v>
      </c>
      <c r="B1716" s="1" t="s">
        <v>1101</v>
      </c>
      <c r="C1716" s="2" t="str">
        <f>HYPERLINK("http://4sq.com/2hMZmUk","Six Palms Saloon ")</f>
        <v>Six Palms Saloon </v>
      </c>
      <c r="E1716" t="str">
        <f>IFERROR(__xludf.DUMMYFUNCTION("REGEXEXTRACT(FORMULATEXT(D1716),""center=([-0-9.]+,[-0-9.]+)"")"),"#N/A")</f>
        <v>#N/A</v>
      </c>
    </row>
    <row r="1717">
      <c r="A1717" s="4" t="s">
        <v>1722</v>
      </c>
      <c r="B1717" s="1" t="s">
        <v>1101</v>
      </c>
      <c r="C1717" s="2" t="str">
        <f>HYPERLINK("http://4sq.com/2az1KK2","AIR SPACE ")</f>
        <v>AIR SPACE </v>
      </c>
      <c r="E1717" t="str">
        <f>IFERROR(__xludf.DUMMYFUNCTION("REGEXEXTRACT(FORMULATEXT(D1717),""center=([-0-9.]+,[-0-9.]+)"")"),"#N/A")</f>
        <v>#N/A</v>
      </c>
    </row>
    <row r="1718">
      <c r="A1718" s="4" t="s">
        <v>1723</v>
      </c>
      <c r="B1718" s="1" t="s">
        <v>1101</v>
      </c>
      <c r="C1718" s="2" t="str">
        <f>HYPERLINK("http://4sq.com/1hszucr","PTT Chukiart Phetburi ")</f>
        <v>PTT Chukiart Phetburi </v>
      </c>
      <c r="E1718" t="str">
        <f>IFERROR(__xludf.DUMMYFUNCTION("REGEXEXTRACT(FORMULATEXT(D1718),""center=([-0-9.]+,[-0-9.]+)"")"),"#N/A")</f>
        <v>#N/A</v>
      </c>
    </row>
    <row r="1719">
      <c r="A1719" s="4" t="s">
        <v>1724</v>
      </c>
      <c r="B1719" s="1" t="s">
        <v>1101</v>
      </c>
      <c r="C1719" s="2" t="str">
        <f>HYPERLINK("http://4sq.com/fqH930","Belle Grand Rama IX (เบลล์ แกรนด์ พระราม 9) ")</f>
        <v>Belle Grand Rama IX (เบลล์ แกรนด์ พระราม 9) </v>
      </c>
      <c r="E1719" t="str">
        <f>IFERROR(__xludf.DUMMYFUNCTION("REGEXEXTRACT(FORMULATEXT(D1719),""center=([-0-9.]+,[-0-9.]+)"")"),"#N/A")</f>
        <v>#N/A</v>
      </c>
    </row>
    <row r="1720">
      <c r="A1720" s="4" t="s">
        <v>1725</v>
      </c>
      <c r="B1720" s="1" t="s">
        <v>1101</v>
      </c>
      <c r="C1720" s="2" t="str">
        <f>HYPERLINK("http://4sq.com/b9d8Vj","The Nine (เดอะไนน์) ")</f>
        <v>The Nine (เดอะไนน์) </v>
      </c>
      <c r="E1720" t="str">
        <f>IFERROR(__xludf.DUMMYFUNCTION("REGEXEXTRACT(FORMULATEXT(D1720),""center=([-0-9.]+,[-0-9.]+)"")"),"#N/A")</f>
        <v>#N/A</v>
      </c>
    </row>
    <row r="1721">
      <c r="A1721" s="4" t="s">
        <v>1726</v>
      </c>
      <c r="B1721" s="1" t="s">
        <v>1101</v>
      </c>
      <c r="C1721" s="2" t="str">
        <f>HYPERLINK("http://4sq.com/10rLs8F","KASIKORNBANK (ธนาคารกสิกรไทย) ")</f>
        <v>KASIKORNBANK (ธนาคารกสิกรไทย) </v>
      </c>
      <c r="E1721" t="str">
        <f>IFERROR(__xludf.DUMMYFUNCTION("REGEXEXTRACT(FORMULATEXT(D1721),""center=([-0-9.]+,[-0-9.]+)"")"),"#N/A")</f>
        <v>#N/A</v>
      </c>
    </row>
    <row r="1722">
      <c r="A1722" s="4" t="s">
        <v>1727</v>
      </c>
      <c r="B1722" s="1" t="s">
        <v>1101</v>
      </c>
      <c r="C1722" s="2" t="str">
        <f>HYPERLINK("http://4sq.com/YxzGhR","Palm 18 ")</f>
        <v>Palm 18 </v>
      </c>
      <c r="E1722" t="str">
        <f>IFERROR(__xludf.DUMMYFUNCTION("REGEXEXTRACT(FORMULATEXT(D1722),""center=([-0-9.]+,[-0-9.]+)"")"),"#N/A")</f>
        <v>#N/A</v>
      </c>
    </row>
    <row r="1723">
      <c r="A1723" s="4" t="s">
        <v>1728</v>
      </c>
      <c r="B1723" s="1" t="s">
        <v>1101</v>
      </c>
      <c r="C1723" s="2" t="str">
        <f>HYPERLINK("http://4sq.com/9NPVTz","Thainakarin Hospital (โรงพยาบาลไทยนครินทร์) ")</f>
        <v>Thainakarin Hospital (โรงพยาบาลไทยนครินทร์) </v>
      </c>
      <c r="E1723" t="str">
        <f>IFERROR(__xludf.DUMMYFUNCTION("REGEXEXTRACT(FORMULATEXT(D1723),""center=([-0-9.]+,[-0-9.]+)"")"),"#N/A")</f>
        <v>#N/A</v>
      </c>
    </row>
    <row r="1724">
      <c r="A1724" s="4" t="s">
        <v>1729</v>
      </c>
      <c r="B1724" s="1" t="s">
        <v>1730</v>
      </c>
      <c r="C1724" s="2" t="str">
        <f>HYPERLINK("http://4sq.com/2hyvVnU","Burger King ")</f>
        <v>Burger King </v>
      </c>
      <c r="E1724" t="str">
        <f>IFERROR(__xludf.DUMMYFUNCTION("REGEXEXTRACT(FORMULATEXT(D1724),""center=([-0-9.]+,[-0-9.]+)"")"),"#N/A")</f>
        <v>#N/A</v>
      </c>
    </row>
    <row r="1725">
      <c r="A1725" s="4" t="s">
        <v>1731</v>
      </c>
      <c r="B1725" s="1" t="s">
        <v>1732</v>
      </c>
      <c r="C1725" s="2" t="str">
        <f>HYPERLINK("http://4sq.com/ppZDWG","IKEA (อิเกีย บางนา) ")</f>
        <v>IKEA (อิเกีย บางนา) </v>
      </c>
      <c r="E1725" t="str">
        <f>IFERROR(__xludf.DUMMYFUNCTION("REGEXEXTRACT(FORMULATEXT(D1725),""center=([-0-9.]+,[-0-9.]+)"")"),"#N/A")</f>
        <v>#N/A</v>
      </c>
    </row>
    <row r="1726">
      <c r="A1726" s="4" t="s">
        <v>1733</v>
      </c>
      <c r="B1726" s="1" t="s">
        <v>1101</v>
      </c>
      <c r="C1726" s="2" t="str">
        <f>HYPERLINK("http://4sq.com/cUFnUS","4dinner (ฟอร์ดินเนอร์) ")</f>
        <v>4dinner (ฟอร์ดินเนอร์) </v>
      </c>
      <c r="E1726" t="str">
        <f>IFERROR(__xludf.DUMMYFUNCTION("REGEXEXTRACT(FORMULATEXT(D1726),""center=([-0-9.]+,[-0-9.]+)"")"),"#N/A")</f>
        <v>#N/A</v>
      </c>
    </row>
    <row r="1727">
      <c r="A1727" s="4" t="s">
        <v>1734</v>
      </c>
      <c r="B1727" s="1" t="s">
        <v>1101</v>
      </c>
      <c r="C1727" s="2" t="str">
        <f>HYPERLINK("http://4sq.com/b6bhdW","PTT NGV/Petrol Station (ปตท.) ")</f>
        <v>PTT NGV/Petrol Station (ปตท.) </v>
      </c>
      <c r="E1727" t="str">
        <f>IFERROR(__xludf.DUMMYFUNCTION("REGEXEXTRACT(FORMULATEXT(D1727),""center=([-0-9.]+,[-0-9.]+)"")"),"#N/A")</f>
        <v>#N/A</v>
      </c>
    </row>
    <row r="1728">
      <c r="A1728" s="4" t="s">
        <v>1735</v>
      </c>
      <c r="B1728" s="1" t="s">
        <v>1101</v>
      </c>
      <c r="C1728" s="2" t="str">
        <f>HYPERLINK("http://4sq.com/93ZXkI","Bangnamphung Floating Market (ตลาดน้ำบางน้ำผึ้ง) ")</f>
        <v>Bangnamphung Floating Market (ตลาดน้ำบางน้ำผึ้ง) </v>
      </c>
      <c r="E1728" t="str">
        <f>IFERROR(__xludf.DUMMYFUNCTION("REGEXEXTRACT(FORMULATEXT(D1728),""center=([-0-9.]+,[-0-9.]+)"")"),"#N/A")</f>
        <v>#N/A</v>
      </c>
    </row>
    <row r="1729">
      <c r="A1729" s="4" t="s">
        <v>1736</v>
      </c>
      <c r="B1729" s="1" t="s">
        <v>1101</v>
      </c>
      <c r="C1729" s="2" t="str">
        <f>HYPERLINK("http://4sq.com/cA9Hkp","Siamese Fighting Fish Gallery (พิพิธภัณฑ์ปลากัดไทย) ")</f>
        <v>Siamese Fighting Fish Gallery (พิพิธภัณฑ์ปลากัดไทย) </v>
      </c>
      <c r="E1729" t="str">
        <f>IFERROR(__xludf.DUMMYFUNCTION("REGEXEXTRACT(FORMULATEXT(D1729),""center=([-0-9.]+,[-0-9.]+)"")"),"#N/A")</f>
        <v>#N/A</v>
      </c>
    </row>
    <row r="1730">
      <c r="A1730" s="4" t="s">
        <v>1737</v>
      </c>
      <c r="B1730" s="1" t="s">
        <v>1101</v>
      </c>
      <c r="C1730" s="2" t="str">
        <f>HYPERLINK("http://4sq.com/bGUdf8","Suan Thip Baan Chaopraya (สวนทิพย์ บ้านเจ้าพระยา) ")</f>
        <v>Suan Thip Baan Chaopraya (สวนทิพย์ บ้านเจ้าพระยา) </v>
      </c>
      <c r="E1730" t="str">
        <f>IFERROR(__xludf.DUMMYFUNCTION("REGEXEXTRACT(FORMULATEXT(D1730),""center=([-0-9.]+,[-0-9.]+)"")"),"#N/A")</f>
        <v>#N/A</v>
      </c>
    </row>
    <row r="1731">
      <c r="A1731" s="4" t="s">
        <v>1738</v>
      </c>
      <c r="B1731" s="1" t="s">
        <v>1101</v>
      </c>
      <c r="C1731" s="2" t="str">
        <f>HYPERLINK("http://4sq.com/aCfoyY","The Tavern ")</f>
        <v>The Tavern </v>
      </c>
      <c r="E1731" t="str">
        <f>IFERROR(__xludf.DUMMYFUNCTION("REGEXEXTRACT(FORMULATEXT(D1731),""center=([-0-9.]+,[-0-9.]+)"")"),"#N/A")</f>
        <v>#N/A</v>
      </c>
    </row>
    <row r="1732">
      <c r="A1732" s="4" t="s">
        <v>1739</v>
      </c>
      <c r="B1732" s="1" t="s">
        <v>1101</v>
      </c>
      <c r="C1732" s="2" t="str">
        <f>HYPERLINK("http://4sq.com/Q4p6LZ","Gateway Ekamai (เกตเวย์ เอกมัย) ")</f>
        <v>Gateway Ekamai (เกตเวย์ เอกมัย) </v>
      </c>
      <c r="E1732" t="str">
        <f>IFERROR(__xludf.DUMMYFUNCTION("REGEXEXTRACT(FORMULATEXT(D1732),""center=([-0-9.]+,[-0-9.]+)"")"),"#N/A")</f>
        <v>#N/A</v>
      </c>
    </row>
    <row r="1733">
      <c r="A1733" s="4" t="s">
        <v>1740</v>
      </c>
      <c r="B1733" s="1" t="s">
        <v>1101</v>
      </c>
      <c r="C1733" s="2" t="str">
        <f>HYPERLINK("http://4sq.com/1l7jqOG","PTT (ปตท.) ")</f>
        <v>PTT (ปตท.) </v>
      </c>
      <c r="E1733" t="str">
        <f>IFERROR(__xludf.DUMMYFUNCTION("REGEXEXTRACT(FORMULATEXT(D1733),""center=([-0-9.]+,[-0-9.]+)"")"),"#N/A")</f>
        <v>#N/A</v>
      </c>
    </row>
    <row r="1734">
      <c r="A1734" s="4" t="s">
        <v>1741</v>
      </c>
      <c r="B1734" s="1" t="s">
        <v>1101</v>
      </c>
      <c r="C1734" s="2" t="str">
        <f>HYPERLINK("http://4sq.com/2iDk0cV","Soleq Solar Power plant ")</f>
        <v>Soleq Solar Power plant </v>
      </c>
      <c r="E1734" t="str">
        <f>IFERROR(__xludf.DUMMYFUNCTION("REGEXEXTRACT(FORMULATEXT(D1734),""center=([-0-9.]+,[-0-9.]+)"")"),"#N/A")</f>
        <v>#N/A</v>
      </c>
    </row>
    <row r="1735">
      <c r="A1735" s="4" t="s">
        <v>1742</v>
      </c>
      <c r="B1735" s="1" t="s">
        <v>1101</v>
      </c>
      <c r="C1735" s="2" t="str">
        <f>HYPERLINK("http://4sq.com/10QOCd0","The Mexican Grill ")</f>
        <v>The Mexican Grill </v>
      </c>
      <c r="E1735" t="str">
        <f>IFERROR(__xludf.DUMMYFUNCTION("REGEXEXTRACT(FORMULATEXT(D1735),""center=([-0-9.]+,[-0-9.]+)"")"),"#N/A")</f>
        <v>#N/A</v>
      </c>
    </row>
    <row r="1736">
      <c r="A1736" s="4" t="s">
        <v>1743</v>
      </c>
      <c r="B1736" s="1" t="s">
        <v>1101</v>
      </c>
      <c r="C1736" s="2" t="str">
        <f>HYPERLINK("http://4sq.com/1NMIaul","Cheunjai Coffee&amp;Thai food ")</f>
        <v>Cheunjai Coffee&amp;Thai food </v>
      </c>
      <c r="E1736" t="str">
        <f>IFERROR(__xludf.DUMMYFUNCTION("REGEXEXTRACT(FORMULATEXT(D1736),""center=([-0-9.]+,[-0-9.]+)"")"),"#N/A")</f>
        <v>#N/A</v>
      </c>
    </row>
    <row r="1737">
      <c r="A1737" s="4" t="s">
        <v>1744</v>
      </c>
      <c r="B1737" s="1" t="s">
        <v>1101</v>
      </c>
      <c r="C1737" s="2" t="str">
        <f>HYPERLINK("http://4sq.com/1MGHxNq","ระเบียง ณ แม่ริม ")</f>
        <v>ระเบียง ณ แม่ริม </v>
      </c>
      <c r="E1737" t="str">
        <f>IFERROR(__xludf.DUMMYFUNCTION("REGEXEXTRACT(FORMULATEXT(D1737),""center=([-0-9.]+,[-0-9.]+)"")"),"#N/A")</f>
        <v>#N/A</v>
      </c>
    </row>
    <row r="1738">
      <c r="A1738" s="4" t="s">
        <v>1745</v>
      </c>
      <c r="B1738" s="1" t="s">
        <v>1101</v>
      </c>
      <c r="C1738" s="2" t="str">
        <f>HYPERLINK("http://4sq.com/VROGQA","Wawee Coffee (กาแฟวาวี) ")</f>
        <v>Wawee Coffee (กาแฟวาวี) </v>
      </c>
      <c r="E1738" t="str">
        <f>IFERROR(__xludf.DUMMYFUNCTION("REGEXEXTRACT(FORMULATEXT(D1738),""center=([-0-9.]+,[-0-9.]+)"")"),"#N/A")</f>
        <v>#N/A</v>
      </c>
    </row>
    <row r="1739">
      <c r="A1739" s="4" t="s">
        <v>1746</v>
      </c>
      <c r="B1739" s="1" t="s">
        <v>1101</v>
      </c>
      <c r="C1739" s="2" t="str">
        <f>HYPERLINK("http://4sq.com/1BjQ2z6","SS1254372 Cafe ")</f>
        <v>SS1254372 Cafe </v>
      </c>
      <c r="E1739" t="str">
        <f>IFERROR(__xludf.DUMMYFUNCTION("REGEXEXTRACT(FORMULATEXT(D1739),""center=([-0-9.]+,[-0-9.]+)"")"),"#N/A")</f>
        <v>#N/A</v>
      </c>
    </row>
    <row r="1740">
      <c r="A1740" s="4" t="s">
        <v>1747</v>
      </c>
      <c r="B1740" s="1" t="s">
        <v>1101</v>
      </c>
      <c r="C1740" s="2" t="str">
        <f>HYPERLINK("http://4sq.com/1glAL7r","The Duke's ")</f>
        <v>The Duke's </v>
      </c>
      <c r="E1740" t="str">
        <f>IFERROR(__xludf.DUMMYFUNCTION("REGEXEXTRACT(FORMULATEXT(D1740),""center=([-0-9.]+,[-0-9.]+)"")"),"#N/A")</f>
        <v>#N/A</v>
      </c>
    </row>
    <row r="1741">
      <c r="A1741" s="4" t="s">
        <v>1748</v>
      </c>
      <c r="B1741" s="1" t="s">
        <v>1101</v>
      </c>
      <c r="C1741" s="2" t="str">
        <f>HYPERLINK("http://4sq.com/1u8lyYP","Subway at Meechok Plaza ")</f>
        <v>Subway at Meechok Plaza </v>
      </c>
      <c r="E1741" t="str">
        <f>IFERROR(__xludf.DUMMYFUNCTION("REGEXEXTRACT(FORMULATEXT(D1741),""center=([-0-9.]+,[-0-9.]+)"")"),"#N/A")</f>
        <v>#N/A</v>
      </c>
    </row>
    <row r="1742">
      <c r="A1742" s="4" t="s">
        <v>1749</v>
      </c>
      <c r="B1742" s="1" t="s">
        <v>1101</v>
      </c>
      <c r="C1742" s="2" t="str">
        <f>HYPERLINK("http://4sq.com/nVMkQQ","Royal Park Rajapruek (อุทยานหลวงราชพฤกษ์) ")</f>
        <v>Royal Park Rajapruek (อุทยานหลวงราชพฤกษ์) </v>
      </c>
      <c r="E1742" t="str">
        <f>IFERROR(__xludf.DUMMYFUNCTION("REGEXEXTRACT(FORMULATEXT(D1742),""center=([-0-9.]+,[-0-9.]+)"")"),"#N/A")</f>
        <v>#N/A</v>
      </c>
    </row>
    <row r="1743">
      <c r="A1743" s="4" t="s">
        <v>1750</v>
      </c>
      <c r="B1743" s="1" t="s">
        <v>1101</v>
      </c>
      <c r="C1743" s="2" t="str">
        <f>HYPERLINK("http://4sq.com/TqhHqQ","Nic's Restaurant &amp; Playground ")</f>
        <v>Nic's Restaurant &amp; Playground </v>
      </c>
      <c r="E1743" t="str">
        <f>IFERROR(__xludf.DUMMYFUNCTION("REGEXEXTRACT(FORMULATEXT(D1743),""center=([-0-9.]+,[-0-9.]+)"")"),"#N/A")</f>
        <v>#N/A</v>
      </c>
    </row>
    <row r="1744">
      <c r="A1744" s="4" t="s">
        <v>1751</v>
      </c>
      <c r="B1744" s="1" t="s">
        <v>1101</v>
      </c>
      <c r="C1744" s="2" t="str">
        <f>HYPERLINK("http://4sq.com/9adz8k","Susco ")</f>
        <v>Susco </v>
      </c>
      <c r="E1744" t="str">
        <f>IFERROR(__xludf.DUMMYFUNCTION("REGEXEXTRACT(FORMULATEXT(D1744),""center=([-0-9.]+,[-0-9.]+)"")"),"#N/A")</f>
        <v>#N/A</v>
      </c>
    </row>
    <row r="1745">
      <c r="A1745" s="4" t="s">
        <v>1752</v>
      </c>
      <c r="B1745" s="1" t="s">
        <v>1101</v>
      </c>
      <c r="C1745" s="2" t="str">
        <f>HYPERLINK("http://4sq.com/cTCMbh","PTT Jiffy (ปตท.) ")</f>
        <v>PTT Jiffy (ปตท.) </v>
      </c>
      <c r="E1745" t="str">
        <f>IFERROR(__xludf.DUMMYFUNCTION("REGEXEXTRACT(FORMULATEXT(D1745),""center=([-0-9.]+,[-0-9.]+)"")"),"#N/A")</f>
        <v>#N/A</v>
      </c>
    </row>
    <row r="1746">
      <c r="A1746" s="4" t="s">
        <v>1753</v>
      </c>
      <c r="B1746" s="1" t="s">
        <v>1101</v>
      </c>
      <c r="C1746" s="2" t="str">
        <f>HYPERLINK("http://4sq.com/m2Vu8c","kiddee house ")</f>
        <v>kiddee house </v>
      </c>
      <c r="E1746" t="str">
        <f>IFERROR(__xludf.DUMMYFUNCTION("REGEXEXTRACT(FORMULATEXT(D1746),""center=([-0-9.]+,[-0-9.]+)"")"),"#N/A")</f>
        <v>#N/A</v>
      </c>
    </row>
    <row r="1747">
      <c r="A1747" s="4" t="s">
        <v>1754</v>
      </c>
      <c r="B1747" s="1" t="s">
        <v>1101</v>
      </c>
      <c r="C1747" s="2" t="str">
        <f>HYPERLINK("http://4sq.com/1QBr5FK","นั่งๆนอนๆ Homestyle Kitchen &amp; Bekery ")</f>
        <v>นั่งๆนอนๆ Homestyle Kitchen &amp; Bekery </v>
      </c>
      <c r="E1747" t="str">
        <f>IFERROR(__xludf.DUMMYFUNCTION("REGEXEXTRACT(FORMULATEXT(D1747),""center=([-0-9.]+,[-0-9.]+)"")"),"#N/A")</f>
        <v>#N/A</v>
      </c>
    </row>
    <row r="1748">
      <c r="A1748" s="4" t="s">
        <v>1755</v>
      </c>
      <c r="B1748" s="1" t="s">
        <v>1101</v>
      </c>
      <c r="C1748" s="2" t="str">
        <f>HYPERLINK("http://4sq.com/1LwwIEn","Let It Be ")</f>
        <v>Let It Be </v>
      </c>
      <c r="E1748" t="str">
        <f>IFERROR(__xludf.DUMMYFUNCTION("REGEXEXTRACT(FORMULATEXT(D1748),""center=([-0-9.]+,[-0-9.]+)"")"),"#N/A")</f>
        <v>#N/A</v>
      </c>
    </row>
    <row r="1749">
      <c r="A1749" s="4" t="s">
        <v>1756</v>
      </c>
      <c r="B1749" s="1" t="s">
        <v>1101</v>
      </c>
      <c r="C1749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749" t="str">
        <f>IFERROR(__xludf.DUMMYFUNCTION("REGEXEXTRACT(FORMULATEXT(D1749),""center=([-0-9.]+,[-0-9.]+)"")"),"#N/A")</f>
        <v>#N/A</v>
      </c>
    </row>
    <row r="1750">
      <c r="A1750" s="4" t="s">
        <v>1757</v>
      </c>
      <c r="B1750" s="1" t="s">
        <v>1101</v>
      </c>
      <c r="C1750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750" t="str">
        <f>IFERROR(__xludf.DUMMYFUNCTION("REGEXEXTRACT(FORMULATEXT(D1750),""center=([-0-9.]+,[-0-9.]+)"")"),"#N/A")</f>
        <v>#N/A</v>
      </c>
    </row>
    <row r="1751">
      <c r="A1751" s="4" t="s">
        <v>1758</v>
      </c>
      <c r="B1751" s="1" t="s">
        <v>1101</v>
      </c>
      <c r="C1751" s="2" t="str">
        <f>HYPERLINK("http://4sq.com/KIagX1","The Amazon's Embrace ")</f>
        <v>The Amazon's Embrace </v>
      </c>
      <c r="E1751" t="str">
        <f>IFERROR(__xludf.DUMMYFUNCTION("REGEXEXTRACT(FORMULATEXT(D1751),""center=([-0-9.]+,[-0-9.]+)"")"),"#N/A")</f>
        <v>#N/A</v>
      </c>
    </row>
    <row r="1752">
      <c r="A1752" s="4" t="s">
        <v>1759</v>
      </c>
      <c r="B1752" s="1" t="s">
        <v>1101</v>
      </c>
      <c r="C1752" s="2" t="str">
        <f>HYPERLINK("http://4sq.com/eQf8YP","สำนักงานคณะกรรมการส่งเสริมการลงทุน (Office of The Board of Investment -BOI) ")</f>
        <v>สำนักงานคณะกรรมการส่งเสริมการลงทุน (Office of The Board of Investment -BOI) </v>
      </c>
      <c r="E1752" t="str">
        <f>IFERROR(__xludf.DUMMYFUNCTION("REGEXEXTRACT(FORMULATEXT(D1752),""center=([-0-9.]+,[-0-9.]+)"")"),"#N/A")</f>
        <v>#N/A</v>
      </c>
    </row>
    <row r="1753">
      <c r="A1753" s="4" t="s">
        <v>1760</v>
      </c>
      <c r="B1753" s="1" t="s">
        <v>1101</v>
      </c>
      <c r="C1753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E1753" t="str">
        <f>IFERROR(__xludf.DUMMYFUNCTION("REGEXEXTRACT(FORMULATEXT(D1753),""center=([-0-9.]+,[-0-9.]+)"")"),"#N/A")</f>
        <v>#N/A</v>
      </c>
    </row>
    <row r="1754">
      <c r="A1754" s="4" t="s">
        <v>1761</v>
      </c>
      <c r="B1754" s="1" t="s">
        <v>1101</v>
      </c>
      <c r="C1754" s="2" t="str">
        <f>HYPERLINK("http://4sq.com/fzzwqZ","PTT (ปตท.) ")</f>
        <v>PTT (ปตท.) </v>
      </c>
      <c r="E1754" t="str">
        <f>IFERROR(__xludf.DUMMYFUNCTION("REGEXEXTRACT(FORMULATEXT(D1754),""center=([-0-9.]+,[-0-9.]+)"")"),"#N/A")</f>
        <v>#N/A</v>
      </c>
    </row>
    <row r="1755">
      <c r="A1755" s="4" t="s">
        <v>1762</v>
      </c>
      <c r="B1755" s="1" t="s">
        <v>1101</v>
      </c>
      <c r="C1755" s="2" t="str">
        <f>HYPERLINK("http://4sq.com/ULkJCj","Café Chez Nous (คาเฟ่ เช นู) ")</f>
        <v>Café Chez Nous (คาเฟ่ เช นู) </v>
      </c>
      <c r="E1755" t="str">
        <f>IFERROR(__xludf.DUMMYFUNCTION("REGEXEXTRACT(FORMULATEXT(D1755),""center=([-0-9.]+,[-0-9.]+)"")"),"#N/A")</f>
        <v>#N/A</v>
      </c>
    </row>
    <row r="1756">
      <c r="A1756" s="4" t="s">
        <v>1763</v>
      </c>
      <c r="B1756" s="1" t="s">
        <v>1101</v>
      </c>
      <c r="C1756" s="2" t="str">
        <f>HYPERLINK("http://4sq.com/b7UbPs","MIX (มิกซ์) ")</f>
        <v>MIX (มิกซ์) </v>
      </c>
      <c r="E1756" t="str">
        <f>IFERROR(__xludf.DUMMYFUNCTION("REGEXEXTRACT(FORMULATEXT(D1756),""center=([-0-9.]+,[-0-9.]+)"")"),"#N/A")</f>
        <v>#N/A</v>
      </c>
    </row>
    <row r="1757">
      <c r="A1757" s="4" t="s">
        <v>1764</v>
      </c>
      <c r="B1757" s="1" t="s">
        <v>1101</v>
      </c>
      <c r="C1757" s="2" t="str">
        <f>HYPERLINK("http://4sq.com/1QBr5FK","นั่งๆนอนๆ Homestyle Kitchen &amp; Bekery ")</f>
        <v>นั่งๆนอนๆ Homestyle Kitchen &amp; Bekery </v>
      </c>
      <c r="E1757" t="str">
        <f>IFERROR(__xludf.DUMMYFUNCTION("REGEXEXTRACT(FORMULATEXT(D1757),""center=([-0-9.]+,[-0-9.]+)"")"),"#N/A")</f>
        <v>#N/A</v>
      </c>
    </row>
    <row r="1758">
      <c r="A1758" s="4" t="s">
        <v>1765</v>
      </c>
      <c r="B1758" s="1" t="s">
        <v>1101</v>
      </c>
      <c r="C1758" s="2" t="str">
        <f>HYPERLINK("http://4sq.com/1Tmz5J6","myamar consulate ")</f>
        <v>myamar consulate </v>
      </c>
      <c r="E1758" t="str">
        <f>IFERROR(__xludf.DUMMYFUNCTION("REGEXEXTRACT(FORMULATEXT(D1758),""center=([-0-9.]+,[-0-9.]+)"")"),"#N/A")</f>
        <v>#N/A</v>
      </c>
    </row>
    <row r="1759">
      <c r="A1759" s="4" t="s">
        <v>1766</v>
      </c>
      <c r="B1759" s="1" t="s">
        <v>1101</v>
      </c>
      <c r="C1759" s="2" t="str">
        <f>HYPERLINK("http://4sq.com/I28LVE","Café de Oasis (คาเฟ่ เดอ โอเอซิส) ")</f>
        <v>Café de Oasis (คาเฟ่ เดอ โอเอซิส) </v>
      </c>
      <c r="E1759" t="str">
        <f>IFERROR(__xludf.DUMMYFUNCTION("REGEXEXTRACT(FORMULATEXT(D1759),""center=([-0-9.]+,[-0-9.]+)"")"),"#N/A")</f>
        <v>#N/A</v>
      </c>
    </row>
    <row r="1760">
      <c r="A1760" s="4" t="s">
        <v>1767</v>
      </c>
      <c r="B1760" s="1" t="s">
        <v>1101</v>
      </c>
      <c r="C1760" s="2" t="str">
        <f>HYPERLINK("http://4sq.com/1a6WsSl","Sizzler (ซิซซ์เล่อร์) ")</f>
        <v>Sizzler (ซิซซ์เล่อร์) </v>
      </c>
      <c r="E1760" t="str">
        <f>IFERROR(__xludf.DUMMYFUNCTION("REGEXEXTRACT(FORMULATEXT(D1760),""center=([-0-9.]+,[-0-9.]+)"")"),"#N/A")</f>
        <v>#N/A</v>
      </c>
    </row>
    <row r="1761">
      <c r="A1761" s="4" t="s">
        <v>1768</v>
      </c>
      <c r="B1761" s="1" t="s">
        <v>1101</v>
      </c>
      <c r="C1761" s="2" t="str">
        <f>HYPERLINK("http://4sq.com/96C3Ox","Mae Sa Waterfall (น้ำตกแม่สา) ")</f>
        <v>Mae Sa Waterfall (น้ำตกแม่สา) </v>
      </c>
      <c r="E1761" t="str">
        <f>IFERROR(__xludf.DUMMYFUNCTION("REGEXEXTRACT(FORMULATEXT(D1761),""center=([-0-9.]+,[-0-9.]+)"")"),"#N/A")</f>
        <v>#N/A</v>
      </c>
    </row>
    <row r="1762">
      <c r="A1762" s="4" t="s">
        <v>1769</v>
      </c>
      <c r="B1762" s="1" t="s">
        <v>1101</v>
      </c>
      <c r="C1762" s="2" t="str">
        <f>HYPERLINK("http://4sq.com/1oOzchM","Rustic &amp; Blue ")</f>
        <v>Rustic &amp; Blue </v>
      </c>
      <c r="E1762" t="str">
        <f>IFERROR(__xludf.DUMMYFUNCTION("REGEXEXTRACT(FORMULATEXT(D1762),""center=([-0-9.]+,[-0-9.]+)"")"),"#N/A")</f>
        <v>#N/A</v>
      </c>
    </row>
    <row r="1763">
      <c r="A1763" s="4" t="s">
        <v>1770</v>
      </c>
      <c r="B1763" s="1" t="s">
        <v>1101</v>
      </c>
      <c r="C1763" s="2" t="str">
        <f>HYPERLINK("http://4sq.com/1Tmz5J6","myamar consulate ")</f>
        <v>myamar consulate </v>
      </c>
      <c r="E1763" t="str">
        <f>IFERROR(__xludf.DUMMYFUNCTION("REGEXEXTRACT(FORMULATEXT(D1763),""center=([-0-9.]+,[-0-9.]+)"")"),"#N/A")</f>
        <v>#N/A</v>
      </c>
    </row>
    <row r="1764">
      <c r="A1764" s="4" t="s">
        <v>1771</v>
      </c>
      <c r="B1764" s="1" t="s">
        <v>1101</v>
      </c>
      <c r="C1764" s="2" t="str">
        <f>HYPERLINK("http://4sq.com/1LwwIEn","Let It Be ")</f>
        <v>Let It Be </v>
      </c>
      <c r="E1764" t="str">
        <f>IFERROR(__xludf.DUMMYFUNCTION("REGEXEXTRACT(FORMULATEXT(D1764),""center=([-0-9.]+,[-0-9.]+)"")"),"#N/A")</f>
        <v>#N/A</v>
      </c>
    </row>
    <row r="1765">
      <c r="A1765" s="4" t="s">
        <v>1772</v>
      </c>
      <c r="B1765" s="1" t="s">
        <v>1101</v>
      </c>
      <c r="C1765" s="2" t="str">
        <f>HYPERLINK("http://4sq.com/nJDAw8","HugYou (ฮักยู) ลำปางหนาวมาก ")</f>
        <v>HugYou (ฮักยู) ลำปางหนาวมาก </v>
      </c>
      <c r="E1765" t="str">
        <f>IFERROR(__xludf.DUMMYFUNCTION("REGEXEXTRACT(FORMULATEXT(D1765),""center=([-0-9.]+,[-0-9.]+)"")"),"#N/A")</f>
        <v>#N/A</v>
      </c>
    </row>
    <row r="1766">
      <c r="A1766" s="4" t="s">
        <v>1773</v>
      </c>
      <c r="B1766" s="1" t="s">
        <v>1101</v>
      </c>
      <c r="C1766" s="2" t="str">
        <f>HYPERLINK("http://4sq.com/VGd0XL","Tesco Lotus Extra (เทสโก้ โลตัส เอ็กซ์ตร้า) ")</f>
        <v>Tesco Lotus Extra (เทสโก้ โลตัส เอ็กซ์ตร้า) </v>
      </c>
      <c r="E1766" t="str">
        <f>IFERROR(__xludf.DUMMYFUNCTION("REGEXEXTRACT(FORMULATEXT(D1766),""center=([-0-9.]+,[-0-9.]+)"")"),"#N/A")</f>
        <v>#N/A</v>
      </c>
    </row>
    <row r="1767">
      <c r="A1767" s="4" t="s">
        <v>1774</v>
      </c>
      <c r="B1767" s="1" t="s">
        <v>1101</v>
      </c>
      <c r="C1767" s="2" t="str">
        <f>HYPERLINK("http://4sq.com/blLUqQ","Thai-Myanmar Friendship Bridge (สะพานมิตรภาพไทย-พม่า) ")</f>
        <v>Thai-Myanmar Friendship Bridge (สะพานมิตรภาพไทย-พม่า) </v>
      </c>
      <c r="E1767" t="str">
        <f>IFERROR(__xludf.DUMMYFUNCTION("REGEXEXTRACT(FORMULATEXT(D1767),""center=([-0-9.]+,[-0-9.]+)"")"),"#N/A")</f>
        <v>#N/A</v>
      </c>
    </row>
    <row r="1768">
      <c r="A1768" s="4" t="s">
        <v>1775</v>
      </c>
      <c r="B1768" s="1" t="s">
        <v>1101</v>
      </c>
      <c r="C1768" s="2" t="str">
        <f>HYPERLINK("http://4sq.com/WsbHuY","Myawaddy Immigration Office ")</f>
        <v>Myawaddy Immigration Office </v>
      </c>
      <c r="E1768" t="str">
        <f>IFERROR(__xludf.DUMMYFUNCTION("REGEXEXTRACT(FORMULATEXT(D1768),""center=([-0-9.]+,[-0-9.]+)"")"),"#N/A")</f>
        <v>#N/A</v>
      </c>
    </row>
    <row r="1769">
      <c r="A1769" s="4" t="s">
        <v>1776</v>
      </c>
      <c r="B1769" s="1" t="s">
        <v>1101</v>
      </c>
      <c r="C1769" s="2" t="str">
        <f>HYPERLINK("http://4sq.com/atfs6x","Centara Mae Sot Hill Resort ")</f>
        <v>Centara Mae Sot Hill Resort </v>
      </c>
      <c r="E1769" t="str">
        <f>IFERROR(__xludf.DUMMYFUNCTION("REGEXEXTRACT(FORMULATEXT(D1769),""center=([-0-9.]+,[-0-9.]+)"")"),"#N/A")</f>
        <v>#N/A</v>
      </c>
    </row>
    <row r="1770">
      <c r="A1770" s="4" t="s">
        <v>1777</v>
      </c>
      <c r="B1770" s="1" t="s">
        <v>1101</v>
      </c>
      <c r="C1770" s="2" t="str">
        <f>HYPERLINK("http://4sq.com/aS5rXB","PTT Measod ")</f>
        <v>PTT Measod </v>
      </c>
      <c r="E1770" t="str">
        <f>IFERROR(__xludf.DUMMYFUNCTION("REGEXEXTRACT(FORMULATEXT(D1770),""center=([-0-9.]+,[-0-9.]+)"")"),"#N/A")</f>
        <v>#N/A</v>
      </c>
    </row>
    <row r="1771">
      <c r="A1771" s="4" t="s">
        <v>1778</v>
      </c>
      <c r="B1771" s="1" t="s">
        <v>1101</v>
      </c>
      <c r="C1771" s="2" t="str">
        <f>HYPERLINK("http://4sq.com/cqAyc5","Bhumibol Dam (เขื่อนภูมิพล) ")</f>
        <v>Bhumibol Dam (เขื่อนภูมิพล) </v>
      </c>
      <c r="E1771" t="str">
        <f>IFERROR(__xludf.DUMMYFUNCTION("REGEXEXTRACT(FORMULATEXT(D1771),""center=([-0-9.]+,[-0-9.]+)"")"),"#N/A")</f>
        <v>#N/A</v>
      </c>
    </row>
    <row r="1772">
      <c r="A1772" s="4" t="s">
        <v>1779</v>
      </c>
      <c r="B1772" s="1" t="s">
        <v>1101</v>
      </c>
      <c r="C1772" s="2" t="str">
        <f>HYPERLINK("http://4sq.com/17LXiXp","ภูอันนา อีโค่ เฮ้าส์ Phu-Anna Eco House ")</f>
        <v>ภูอันนา อีโค่ เฮ้าส์ Phu-Anna Eco House </v>
      </c>
      <c r="E1772" t="str">
        <f>IFERROR(__xludf.DUMMYFUNCTION("REGEXEXTRACT(FORMULATEXT(D1772),""center=([-0-9.]+,[-0-9.]+)"")"),"#N/A")</f>
        <v>#N/A</v>
      </c>
    </row>
    <row r="1773">
      <c r="A1773" s="4" t="s">
        <v>1780</v>
      </c>
      <c r="B1773" s="1" t="s">
        <v>1101</v>
      </c>
      <c r="C1773" s="2" t="str">
        <f>HYPERLINK("http://4sq.com/yuhjpT","ครัวจ่ากร ")</f>
        <v>ครัวจ่ากร </v>
      </c>
      <c r="E1773" t="str">
        <f>IFERROR(__xludf.DUMMYFUNCTION("REGEXEXTRACT(FORMULATEXT(D1773),""center=([-0-9.]+,[-0-9.]+)"")"),"#N/A")</f>
        <v>#N/A</v>
      </c>
    </row>
    <row r="1774">
      <c r="A1774" s="4" t="s">
        <v>1781</v>
      </c>
      <c r="B1774" s="1" t="s">
        <v>1101</v>
      </c>
      <c r="C1774" s="2" t="str">
        <f>HYPERLINK("http://4sq.com/1sf48N2","Mae Ya Check Point ")</f>
        <v>Mae Ya Check Point </v>
      </c>
      <c r="E1774" t="str">
        <f>IFERROR(__xludf.DUMMYFUNCTION("REGEXEXTRACT(FORMULATEXT(D1774),""center=([-0-9.]+,[-0-9.]+)"")"),"#N/A")</f>
        <v>#N/A</v>
      </c>
    </row>
    <row r="1775">
      <c r="A1775" s="4" t="s">
        <v>1782</v>
      </c>
      <c r="B1775" s="1" t="s">
        <v>1101</v>
      </c>
      <c r="C1775" s="2" t="str">
        <f>HYPERLINK("http://4sq.com/bPn9S3","Mae Ya Waterfall (น้ำตกแม่ยะ) ")</f>
        <v>Mae Ya Waterfall (น้ำตกแม่ยะ) </v>
      </c>
      <c r="E1775" t="str">
        <f>IFERROR(__xludf.DUMMYFUNCTION("REGEXEXTRACT(FORMULATEXT(D1775),""center=([-0-9.]+,[-0-9.]+)"")"),"#N/A")</f>
        <v>#N/A</v>
      </c>
    </row>
    <row r="1776">
      <c r="A1776" s="4" t="s">
        <v>1783</v>
      </c>
      <c r="B1776" s="1" t="s">
        <v>1101</v>
      </c>
      <c r="C1776" s="2" t="str">
        <f>HYPERLINK("http://4sq.com/k7YSBd","PTT จอมทอง ")</f>
        <v>PTT จอมทอง </v>
      </c>
      <c r="E1776" t="str">
        <f>IFERROR(__xludf.DUMMYFUNCTION("REGEXEXTRACT(FORMULATEXT(D1776),""center=([-0-9.]+,[-0-9.]+)"")"),"#N/A")</f>
        <v>#N/A</v>
      </c>
    </row>
    <row r="1777">
      <c r="A1777" s="4" t="s">
        <v>1784</v>
      </c>
      <c r="B1777" s="1" t="s">
        <v>1101</v>
      </c>
      <c r="C1777" s="2" t="str">
        <f>HYPERLINK("http://4sq.com/1f1Floa","Rimping Grocery (ริมปิง) ")</f>
        <v>Rimping Grocery (ริมปิง) </v>
      </c>
      <c r="E1777" t="str">
        <f>IFERROR(__xludf.DUMMYFUNCTION("REGEXEXTRACT(FORMULATEXT(D1777),""center=([-0-9.]+,[-0-9.]+)"")"),"#N/A")</f>
        <v>#N/A</v>
      </c>
    </row>
    <row r="1778">
      <c r="A1778" s="4" t="s">
        <v>1785</v>
      </c>
      <c r="B1778" s="1" t="s">
        <v>1101</v>
      </c>
      <c r="C1778" s="2" t="str">
        <f>HYPERLINK("http://4sq.com/1K2l4NI","Teak Table (ทีค เทเบิล) ")</f>
        <v>Teak Table (ทีค เทเบิล) </v>
      </c>
      <c r="E1778" t="str">
        <f>IFERROR(__xludf.DUMMYFUNCTION("REGEXEXTRACT(FORMULATEXT(D1778),""center=([-0-9.]+,[-0-9.]+)"")"),"#N/A")</f>
        <v>#N/A</v>
      </c>
    </row>
    <row r="1779">
      <c r="A1779" s="4" t="s">
        <v>1786</v>
      </c>
      <c r="B1779" s="1" t="s">
        <v>1101</v>
      </c>
      <c r="C1779" s="2" t="str">
        <f>HYPERLINK("http://4sq.com/myR2lB","Sala Café (ศาลากาแฟ) ")</f>
        <v>Sala Café (ศาลากาแฟ) </v>
      </c>
      <c r="E1779" t="str">
        <f>IFERROR(__xludf.DUMMYFUNCTION("REGEXEXTRACT(FORMULATEXT(D1779),""center=([-0-9.]+,[-0-9.]+)"")"),"#N/A")</f>
        <v>#N/A</v>
      </c>
    </row>
    <row r="1780">
      <c r="A1780" s="4" t="s">
        <v>1787</v>
      </c>
      <c r="B1780" s="1" t="s">
        <v>1101</v>
      </c>
      <c r="C1780" s="2" t="str">
        <f>HYPERLINK("http://4sq.com/dwbrHe","The Salad Concept ")</f>
        <v>The Salad Concept </v>
      </c>
      <c r="E1780" t="str">
        <f>IFERROR(__xludf.DUMMYFUNCTION("REGEXEXTRACT(FORMULATEXT(D1780),""center=([-0-9.]+,[-0-9.]+)"")"),"#N/A")</f>
        <v>#N/A</v>
      </c>
    </row>
    <row r="1781">
      <c r="A1781" s="4" t="s">
        <v>1788</v>
      </c>
      <c r="B1781" s="1" t="s">
        <v>1101</v>
      </c>
      <c r="C1781" s="2" t="str">
        <f>HYPERLINK("http://4sq.com/1qGuR69","Ohlanla Coffee ")</f>
        <v>Ohlanla Coffee </v>
      </c>
      <c r="E1781" t="str">
        <f>IFERROR(__xludf.DUMMYFUNCTION("REGEXEXTRACT(FORMULATEXT(D1781),""center=([-0-9.]+,[-0-9.]+)"")"),"#N/A")</f>
        <v>#N/A</v>
      </c>
    </row>
    <row r="1782">
      <c r="A1782" s="4" t="s">
        <v>1789</v>
      </c>
      <c r="B1782" s="1" t="s">
        <v>1101</v>
      </c>
      <c r="C1782" s="2" t="str">
        <f>HYPERLINK("http://4sq.com/1NMIaul","Cheunjai Coffee&amp;Thai food ")</f>
        <v>Cheunjai Coffee&amp;Thai food </v>
      </c>
      <c r="E1782" t="str">
        <f>IFERROR(__xludf.DUMMYFUNCTION("REGEXEXTRACT(FORMULATEXT(D1782),""center=([-0-9.]+,[-0-9.]+)"")"),"#N/A")</f>
        <v>#N/A</v>
      </c>
    </row>
    <row r="1783">
      <c r="A1783" s="4" t="s">
        <v>1790</v>
      </c>
      <c r="B1783" s="1" t="s">
        <v>1101</v>
      </c>
      <c r="C1783" s="2" t="str">
        <f>HYPERLINK("http://4sq.com/1QBr5FK","นั่งๆนอนๆ Homestyle Kitchen &amp; Bekery ")</f>
        <v>นั่งๆนอนๆ Homestyle Kitchen &amp; Bekery </v>
      </c>
      <c r="E1783" t="str">
        <f>IFERROR(__xludf.DUMMYFUNCTION("REGEXEXTRACT(FORMULATEXT(D1783),""center=([-0-9.]+,[-0-9.]+)"")"),"#N/A")</f>
        <v>#N/A</v>
      </c>
    </row>
    <row r="1784">
      <c r="A1784" s="4" t="s">
        <v>1791</v>
      </c>
      <c r="B1784" s="1" t="s">
        <v>1101</v>
      </c>
      <c r="C1784" s="2" t="str">
        <f>HYPERLINK("http://4sq.com/1NMIaul","Cheunjai Coffee&amp;Thai food ")</f>
        <v>Cheunjai Coffee&amp;Thai food </v>
      </c>
      <c r="E1784" t="str">
        <f>IFERROR(__xludf.DUMMYFUNCTION("REGEXEXTRACT(FORMULATEXT(D1784),""center=([-0-9.]+,[-0-9.]+)"")"),"#N/A")</f>
        <v>#N/A</v>
      </c>
    </row>
    <row r="1785">
      <c r="A1785" s="4" t="s">
        <v>1792</v>
      </c>
      <c r="B1785" s="1" t="s">
        <v>1101</v>
      </c>
      <c r="C1785" s="2" t="str">
        <f>HYPERLINK("http://4sq.com/1dHOYY4","Pizzeria Giotto ")</f>
        <v>Pizzeria Giotto </v>
      </c>
      <c r="E1785" t="str">
        <f>IFERROR(__xludf.DUMMYFUNCTION("REGEXEXTRACT(FORMULATEXT(D1785),""center=([-0-9.]+,[-0-9.]+)"")"),"#N/A")</f>
        <v>#N/A</v>
      </c>
    </row>
    <row r="1786">
      <c r="A1786" s="4" t="s">
        <v>1793</v>
      </c>
      <c r="B1786" s="1" t="s">
        <v>1101</v>
      </c>
      <c r="C1786" s="2" t="str">
        <f>HYPERLINK("http://4sq.com/12weN37","คาเฟ่ ดินดิน Cafe DinDin ")</f>
        <v>คาเฟ่ ดินดิน Cafe DinDin </v>
      </c>
      <c r="E1786" t="str">
        <f>IFERROR(__xludf.DUMMYFUNCTION("REGEXEXTRACT(FORMULATEXT(D1786),""center=([-0-9.]+,[-0-9.]+)"")"),"#N/A")</f>
        <v>#N/A</v>
      </c>
    </row>
    <row r="1787">
      <c r="A1787" s="4" t="s">
        <v>1794</v>
      </c>
      <c r="B1787" s="1" t="s">
        <v>1101</v>
      </c>
      <c r="C1787" s="2" t="str">
        <f>HYPERLINK("http://4sq.com/1uMOgm1","ก๋วยเตี๋ยวเรือ อองตอง ")</f>
        <v>ก๋วยเตี๋ยวเรือ อองตอง </v>
      </c>
      <c r="E1787" t="str">
        <f>IFERROR(__xludf.DUMMYFUNCTION("REGEXEXTRACT(FORMULATEXT(D1787),""center=([-0-9.]+,[-0-9.]+)"")"),"#N/A")</f>
        <v>#N/A</v>
      </c>
    </row>
    <row r="1788">
      <c r="A1788" s="4" t="s">
        <v>1795</v>
      </c>
      <c r="B1788" s="1" t="s">
        <v>1101</v>
      </c>
      <c r="C1788" s="2" t="str">
        <f>HYPERLINK("http://4sq.com/1LwwIEn","Let It Be ")</f>
        <v>Let It Be </v>
      </c>
      <c r="E1788" t="str">
        <f>IFERROR(__xludf.DUMMYFUNCTION("REGEXEXTRACT(FORMULATEXT(D1788),""center=([-0-9.]+,[-0-9.]+)"")"),"#N/A")</f>
        <v>#N/A</v>
      </c>
    </row>
    <row r="1789">
      <c r="A1789" s="4" t="s">
        <v>1796</v>
      </c>
      <c r="B1789" s="1" t="s">
        <v>1101</v>
      </c>
      <c r="C1789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  <c r="E1789" t="str">
        <f>IFERROR(__xludf.DUMMYFUNCTION("REGEXEXTRACT(FORMULATEXT(D1789),""center=([-0-9.]+,[-0-9.]+)"")"),"#N/A")</f>
        <v>#N/A</v>
      </c>
    </row>
    <row r="1790">
      <c r="A1790" s="4" t="s">
        <v>1797</v>
      </c>
      <c r="B1790" s="1" t="s">
        <v>1101</v>
      </c>
      <c r="C1790" s="2" t="str">
        <f>HYPERLINK("http://4sq.com/1K2l4NI","Teak Table (ทีค เทเบิล) ")</f>
        <v>Teak Table (ทีค เทเบิล) </v>
      </c>
      <c r="E1790" t="str">
        <f>IFERROR(__xludf.DUMMYFUNCTION("REGEXEXTRACT(FORMULATEXT(D1790),""center=([-0-9.]+,[-0-9.]+)"")"),"#N/A")</f>
        <v>#N/A</v>
      </c>
    </row>
    <row r="1791">
      <c r="A1791" s="4" t="s">
        <v>1798</v>
      </c>
      <c r="B1791" s="1" t="s">
        <v>1101</v>
      </c>
      <c r="C1791" s="2" t="str">
        <f>HYPERLINK("http://4sq.com/12weN37","คาเฟ่ ดินดิน Cafe DinDin ")</f>
        <v>คาเฟ่ ดินดิน Cafe DinDin </v>
      </c>
      <c r="E1791" t="str">
        <f>IFERROR(__xludf.DUMMYFUNCTION("REGEXEXTRACT(FORMULATEXT(D1791),""center=([-0-9.]+,[-0-9.]+)"")"),"#N/A")</f>
        <v>#N/A</v>
      </c>
    </row>
    <row r="1792">
      <c r="A1792" s="4" t="s">
        <v>1799</v>
      </c>
      <c r="B1792" s="1" t="s">
        <v>1101</v>
      </c>
      <c r="C1792" s="2" t="str">
        <f>HYPERLINK("http://4sq.com/a3WF57","Pizza Mania ")</f>
        <v>Pizza Mania </v>
      </c>
      <c r="E1792" t="str">
        <f>IFERROR(__xludf.DUMMYFUNCTION("REGEXEXTRACT(FORMULATEXT(D1792),""center=([-0-9.]+,[-0-9.]+)"")"),"#N/A")</f>
        <v>#N/A</v>
      </c>
    </row>
    <row r="1793">
      <c r="A1793" s="4" t="s">
        <v>1800</v>
      </c>
      <c r="B1793" s="1" t="s">
        <v>1101</v>
      </c>
      <c r="C1793" s="2" t="str">
        <f>HYPERLINK("http://4sq.com/9QlUf2","Tesco Lotus (เทสโก้ โลตัส) ")</f>
        <v>Tesco Lotus (เทสโก้ โลตัส) </v>
      </c>
      <c r="E1793" t="str">
        <f>IFERROR(__xludf.DUMMYFUNCTION("REGEXEXTRACT(FORMULATEXT(D1793),""center=([-0-9.]+,[-0-9.]+)"")"),"#N/A")</f>
        <v>#N/A</v>
      </c>
    </row>
    <row r="1794">
      <c r="A1794" s="4" t="s">
        <v>1801</v>
      </c>
      <c r="B1794" s="1" t="s">
        <v>1101</v>
      </c>
      <c r="C1794" s="2" t="str">
        <f>HYPERLINK("http://4sq.com/1VSEaLF","Ristr8to Lab (รีสเตรสโต้ แลป) ")</f>
        <v>Ristr8to Lab (รีสเตรสโต้ แลป) </v>
      </c>
      <c r="E1794" t="str">
        <f>IFERROR(__xludf.DUMMYFUNCTION("REGEXEXTRACT(FORMULATEXT(D1794),""center=([-0-9.]+,[-0-9.]+)"")"),"#N/A")</f>
        <v>#N/A</v>
      </c>
    </row>
    <row r="1795">
      <c r="A1795" s="4" t="s">
        <v>1802</v>
      </c>
      <c r="B1795" s="1" t="s">
        <v>1101</v>
      </c>
      <c r="C1795" s="2" t="str">
        <f>HYPERLINK("http://4sq.com/VZ4JV5","Baan Kang Wat (บ้านข้างวัด) ")</f>
        <v>Baan Kang Wat (บ้านข้างวัด) </v>
      </c>
      <c r="E1795" t="str">
        <f>IFERROR(__xludf.DUMMYFUNCTION("REGEXEXTRACT(FORMULATEXT(D1795),""center=([-0-9.]+,[-0-9.]+)"")"),"#N/A")</f>
        <v>#N/A</v>
      </c>
    </row>
    <row r="1796">
      <c r="A1796" s="4" t="s">
        <v>1803</v>
      </c>
      <c r="B1796" s="1" t="s">
        <v>1101</v>
      </c>
      <c r="C1796" s="2" t="str">
        <f>HYPERLINK("http://4sq.com/10QOCd0","The Mexican Grill ")</f>
        <v>The Mexican Grill </v>
      </c>
      <c r="E1796" t="str">
        <f>IFERROR(__xludf.DUMMYFUNCTION("REGEXEXTRACT(FORMULATEXT(D1796),""center=([-0-9.]+,[-0-9.]+)"")"),"#N/A")</f>
        <v>#N/A</v>
      </c>
    </row>
    <row r="1797">
      <c r="A1797" s="4" t="s">
        <v>1804</v>
      </c>
      <c r="B1797" s="1" t="s">
        <v>1101</v>
      </c>
      <c r="C1797" s="2" t="str">
        <f>HYPERLINK("http://4sq.com/1NMIaul","Cheunjai Coffee&amp;Thai food ")</f>
        <v>Cheunjai Coffee&amp;Thai food </v>
      </c>
      <c r="E1797" t="str">
        <f>IFERROR(__xludf.DUMMYFUNCTION("REGEXEXTRACT(FORMULATEXT(D1797),""center=([-0-9.]+,[-0-9.]+)"")"),"#N/A")</f>
        <v>#N/A</v>
      </c>
    </row>
    <row r="1798">
      <c r="A1798" s="4" t="s">
        <v>1805</v>
      </c>
      <c r="B1798" s="1" t="s">
        <v>1101</v>
      </c>
      <c r="C1798" s="2" t="str">
        <f>HYPERLINK("http://4sq.com/12weN37","คาเฟ่ ดินดิน Cafe DinDin ")</f>
        <v>คาเฟ่ ดินดิน Cafe DinDin </v>
      </c>
      <c r="E1798" t="str">
        <f>IFERROR(__xludf.DUMMYFUNCTION("REGEXEXTRACT(FORMULATEXT(D1798),""center=([-0-9.]+,[-0-9.]+)"")"),"#N/A")</f>
        <v>#N/A</v>
      </c>
    </row>
    <row r="1799">
      <c r="A1799" s="4" t="s">
        <v>1806</v>
      </c>
      <c r="B1799" s="1" t="s">
        <v>1101</v>
      </c>
      <c r="C1799" s="2" t="str">
        <f>HYPERLINK("http://4sq.com/hH9kmE","Sweet Garden ")</f>
        <v>Sweet Garden </v>
      </c>
      <c r="E1799" t="str">
        <f>IFERROR(__xludf.DUMMYFUNCTION("REGEXEXTRACT(FORMULATEXT(D1799),""center=([-0-9.]+,[-0-9.]+)"")"),"#N/A")</f>
        <v>#N/A</v>
      </c>
    </row>
    <row r="1800">
      <c r="A1800" s="4" t="s">
        <v>1807</v>
      </c>
      <c r="B1800" s="1" t="s">
        <v>1101</v>
      </c>
      <c r="C1800" s="2" t="str">
        <f>HYPERLINK("http://4sq.com/1dHOYY4","Pizzeria Giotto ")</f>
        <v>Pizzeria Giotto </v>
      </c>
      <c r="E1800" t="str">
        <f>IFERROR(__xludf.DUMMYFUNCTION("REGEXEXTRACT(FORMULATEXT(D1800),""center=([-0-9.]+,[-0-9.]+)"")"),"#N/A")</f>
        <v>#N/A</v>
      </c>
    </row>
    <row r="1801">
      <c r="A1801" s="4" t="s">
        <v>1808</v>
      </c>
      <c r="B1801" s="1" t="s">
        <v>1101</v>
      </c>
      <c r="C1801" s="2" t="str">
        <f>HYPERLINK("http://4sq.com/9Xt3FL","Huay Tueng Tao (ห้วยตึงเฒ่า) ")</f>
        <v>Huay Tueng Tao (ห้วยตึงเฒ่า) </v>
      </c>
      <c r="E1801" t="str">
        <f>IFERROR(__xludf.DUMMYFUNCTION("REGEXEXTRACT(FORMULATEXT(D1801),""center=([-0-9.]+,[-0-9.]+)"")"),"#N/A")</f>
        <v>#N/A</v>
      </c>
    </row>
    <row r="1802">
      <c r="A1802" s="4" t="s">
        <v>1809</v>
      </c>
      <c r="B1802" s="1" t="s">
        <v>1101</v>
      </c>
      <c r="C1802" s="2" t="str">
        <f>HYPERLINK("http://4sq.com/1uTcCs4","Local Cafe (คาเฟ่บ้านนอก) ")</f>
        <v>Local Cafe (คาเฟ่บ้านนอก) </v>
      </c>
      <c r="E1802" t="str">
        <f>IFERROR(__xludf.DUMMYFUNCTION("REGEXEXTRACT(FORMULATEXT(D1802),""center=([-0-9.]+,[-0-9.]+)"")"),"#N/A")</f>
        <v>#N/A</v>
      </c>
    </row>
    <row r="1803">
      <c r="A1803" s="4" t="s">
        <v>1810</v>
      </c>
      <c r="B1803" s="1" t="s">
        <v>1101</v>
      </c>
      <c r="C1803" s="2" t="str">
        <f>HYPERLINK("http://4sq.com/1UN2yN3","Mont Blanc Sweet Cafe ")</f>
        <v>Mont Blanc Sweet Cafe </v>
      </c>
      <c r="E1803" t="str">
        <f>IFERROR(__xludf.DUMMYFUNCTION("REGEXEXTRACT(FORMULATEXT(D1803),""center=([-0-9.]+,[-0-9.]+)"")"),"#N/A")</f>
        <v>#N/A</v>
      </c>
    </row>
    <row r="1804">
      <c r="A1804" s="4" t="s">
        <v>1811</v>
      </c>
      <c r="B1804" s="1" t="s">
        <v>1101</v>
      </c>
      <c r="C1804" s="2" t="str">
        <f>HYPERLINK("http://4sq.com/kGK8x1","ร้านกอเซี้ยม แม่ริมพลาซ่า ")</f>
        <v>ร้านกอเซี้ยม แม่ริมพลาซ่า </v>
      </c>
      <c r="E1804" t="str">
        <f>IFERROR(__xludf.DUMMYFUNCTION("REGEXEXTRACT(FORMULATEXT(D1804),""center=([-0-9.]+,[-0-9.]+)"")"),"#N/A")</f>
        <v>#N/A</v>
      </c>
    </row>
    <row r="1805">
      <c r="A1805" s="4" t="s">
        <v>1812</v>
      </c>
      <c r="B1805" s="1" t="s">
        <v>1101</v>
      </c>
      <c r="C1805" s="2" t="str">
        <f>HYPERLINK("http://4sq.com/2iDiV23","Zombie Cafe ")</f>
        <v>Zombie Cafe </v>
      </c>
      <c r="E1805" t="str">
        <f>IFERROR(__xludf.DUMMYFUNCTION("REGEXEXTRACT(FORMULATEXT(D1805),""center=([-0-9.]+,[-0-9.]+)"")"),"#N/A")</f>
        <v>#N/A</v>
      </c>
    </row>
    <row r="1806">
      <c r="A1806" s="4" t="s">
        <v>1813</v>
      </c>
      <c r="B1806" s="1" t="s">
        <v>1101</v>
      </c>
      <c r="C1806" s="2" t="str">
        <f>HYPERLINK("http://4sq.com/1uTcCs4","Local Cafe (คาเฟ่บ้านนอก) ")</f>
        <v>Local Cafe (คาเฟ่บ้านนอก) </v>
      </c>
      <c r="E1806" t="str">
        <f>IFERROR(__xludf.DUMMYFUNCTION("REGEXEXTRACT(FORMULATEXT(D1806),""center=([-0-9.]+,[-0-9.]+)"")"),"#N/A")</f>
        <v>#N/A</v>
      </c>
    </row>
    <row r="1807">
      <c r="A1807" s="4" t="s">
        <v>1814</v>
      </c>
      <c r="B1807" s="1" t="s">
        <v>1101</v>
      </c>
      <c r="C1807" s="2" t="str">
        <f>HYPERLINK("http://4sq.com/2nYZcMa","TUBE TREK WATER PARK CHIANGMAI ")</f>
        <v>TUBE TREK WATER PARK CHIANGMAI </v>
      </c>
      <c r="E1807" t="str">
        <f>IFERROR(__xludf.DUMMYFUNCTION("REGEXEXTRACT(FORMULATEXT(D1807),""center=([-0-9.]+,[-0-9.]+)"")"),"#N/A")</f>
        <v>#N/A</v>
      </c>
    </row>
    <row r="1808">
      <c r="A1808" s="4" t="s">
        <v>1815</v>
      </c>
      <c r="B1808" s="1" t="s">
        <v>1101</v>
      </c>
      <c r="C1808" s="2" t="str">
        <f>HYPERLINK("http://4sq.com/10JNogt","Lumdee Te Khuadang (ลำดีตี้ขัวแดง) ")</f>
        <v>Lumdee Te Khuadang (ลำดีตี้ขัวแดง) </v>
      </c>
      <c r="E1808" t="str">
        <f>IFERROR(__xludf.DUMMYFUNCTION("REGEXEXTRACT(FORMULATEXT(D1808),""center=([-0-9.]+,[-0-9.]+)"")"),"#N/A")</f>
        <v>#N/A</v>
      </c>
    </row>
    <row r="1809">
      <c r="A1809" s="4" t="s">
        <v>1816</v>
      </c>
      <c r="B1809" s="1" t="s">
        <v>1101</v>
      </c>
      <c r="C1809" s="2" t="str">
        <f>HYPERLINK("http://4sq.com/1LwwIEn","Let It Be ")</f>
        <v>Let It Be </v>
      </c>
      <c r="E1809" t="str">
        <f>IFERROR(__xludf.DUMMYFUNCTION("REGEXEXTRACT(FORMULATEXT(D1809),""center=([-0-9.]+,[-0-9.]+)"")"),"#N/A")</f>
        <v>#N/A</v>
      </c>
    </row>
    <row r="1810">
      <c r="A1810" s="4" t="s">
        <v>1817</v>
      </c>
      <c r="B1810" s="1" t="s">
        <v>1101</v>
      </c>
      <c r="C1810" s="2" t="str">
        <f>HYPERLINK("http://4sq.com/1qmeXs8","The First Residents &amp; Cafe' ")</f>
        <v>The First Residents &amp; Cafe' </v>
      </c>
      <c r="E1810" t="str">
        <f>IFERROR(__xludf.DUMMYFUNCTION("REGEXEXTRACT(FORMULATEXT(D1810),""center=([-0-9.]+,[-0-9.]+)"")"),"#N/A")</f>
        <v>#N/A</v>
      </c>
    </row>
    <row r="1811">
      <c r="A1811" s="4" t="s">
        <v>1818</v>
      </c>
      <c r="B1811" s="1" t="s">
        <v>1101</v>
      </c>
      <c r="C1811" s="2" t="str">
        <f>HYPERLINK("http://4sq.com/kGK8x1","ร้านกอเซี้ยม แม่ริมพลาซ่า ")</f>
        <v>ร้านกอเซี้ยม แม่ริมพลาซ่า </v>
      </c>
      <c r="E1811" t="str">
        <f>IFERROR(__xludf.DUMMYFUNCTION("REGEXEXTRACT(FORMULATEXT(D1811),""center=([-0-9.]+,[-0-9.]+)"")"),"#N/A")</f>
        <v>#N/A</v>
      </c>
    </row>
    <row r="1812">
      <c r="A1812" s="4" t="s">
        <v>1819</v>
      </c>
      <c r="B1812" s="1" t="s">
        <v>1101</v>
      </c>
      <c r="C1812" s="2" t="str">
        <f>HYPERLINK("http://4sq.com/MC8BlK","Tianna Garden Village ")</f>
        <v>Tianna Garden Village </v>
      </c>
      <c r="E1812" t="str">
        <f>IFERROR(__xludf.DUMMYFUNCTION("REGEXEXTRACT(FORMULATEXT(D1812),""center=([-0-9.]+,[-0-9.]+)"")"),"#N/A")</f>
        <v>#N/A</v>
      </c>
    </row>
    <row r="1813">
      <c r="A1813" s="4" t="s">
        <v>1820</v>
      </c>
      <c r="B1813" s="1" t="s">
        <v>1101</v>
      </c>
      <c r="C1813" s="2" t="str">
        <f>HYPERLINK("http://4sq.com/1ePI1Wp","Wine Connection (ไวน์คอนเนคชั่น) ")</f>
        <v>Wine Connection (ไวน์คอนเนคชั่น) </v>
      </c>
      <c r="E1813" t="str">
        <f>IFERROR(__xludf.DUMMYFUNCTION("REGEXEXTRACT(FORMULATEXT(D1813),""center=([-0-9.]+,[-0-9.]+)"")"),"#N/A")</f>
        <v>#N/A</v>
      </c>
    </row>
    <row r="1814">
      <c r="A1814" s="4" t="s">
        <v>1821</v>
      </c>
      <c r="B1814" s="1" t="s">
        <v>1101</v>
      </c>
      <c r="C1814" s="2" t="str">
        <f>HYPERLINK("http://4sq.com/10JNogt","Lumdee Te Khuadang (ลำดีตี้ขัวแดง) ")</f>
        <v>Lumdee Te Khuadang (ลำดีตี้ขัวแดง) </v>
      </c>
      <c r="E1814" t="str">
        <f>IFERROR(__xludf.DUMMYFUNCTION("REGEXEXTRACT(FORMULATEXT(D1814),""center=([-0-9.]+,[-0-9.]+)"")"),"#N/A")</f>
        <v>#N/A</v>
      </c>
    </row>
    <row r="1815">
      <c r="A1815" s="4" t="s">
        <v>1822</v>
      </c>
      <c r="B1815" s="1" t="s">
        <v>1101</v>
      </c>
      <c r="C1815" s="2" t="str">
        <f>HYPERLINK("http://4sq.com/amzSVo","Rimping Supermarket (ริมปิง) ")</f>
        <v>Rimping Supermarket (ริมปิง) </v>
      </c>
      <c r="E1815" t="str">
        <f>IFERROR(__xludf.DUMMYFUNCTION("REGEXEXTRACT(FORMULATEXT(D1815),""center=([-0-9.]+,[-0-9.]+)"")"),"#N/A")</f>
        <v>#N/A</v>
      </c>
    </row>
    <row r="1816">
      <c r="A1816" s="4" t="s">
        <v>1823</v>
      </c>
      <c r="B1816" s="1" t="s">
        <v>1101</v>
      </c>
      <c r="C1816" s="2" t="str">
        <f>HYPERLINK("http://4sq.com/1uTcCs4","Local Cafe (คาเฟ่บ้านนอก) ")</f>
        <v>Local Cafe (คาเฟ่บ้านนอก) </v>
      </c>
      <c r="E1816" t="str">
        <f>IFERROR(__xludf.DUMMYFUNCTION("REGEXEXTRACT(FORMULATEXT(D1816),""center=([-0-9.]+,[-0-9.]+)"")"),"#N/A")</f>
        <v>#N/A</v>
      </c>
    </row>
    <row r="1817">
      <c r="A1817" s="4" t="s">
        <v>1824</v>
      </c>
      <c r="B1817" s="1" t="s">
        <v>1101</v>
      </c>
      <c r="C1817" s="2" t="str">
        <f>HYPERLINK("http://4sq.com/12weN37","คาเฟ่ ดินดิน Cafe DinDin ")</f>
        <v>คาเฟ่ ดินดิน Cafe DinDin </v>
      </c>
      <c r="E1817" t="str">
        <f>IFERROR(__xludf.DUMMYFUNCTION("REGEXEXTRACT(FORMULATEXT(D1817),""center=([-0-9.]+,[-0-9.]+)"")"),"#N/A")</f>
        <v>#N/A</v>
      </c>
    </row>
    <row r="1818">
      <c r="A1818" s="4" t="s">
        <v>1825</v>
      </c>
      <c r="B1818" s="1" t="s">
        <v>1101</v>
      </c>
      <c r="C1818" s="2" t="str">
        <f>HYPERLINK("http://4sq.com/p8J1iG","ไปรษณีย์แม่ริม Post office ")</f>
        <v>ไปรษณีย์แม่ริม Post office </v>
      </c>
      <c r="E1818" t="str">
        <f>IFERROR(__xludf.DUMMYFUNCTION("REGEXEXTRACT(FORMULATEXT(D1818),""center=([-0-9.]+,[-0-9.]+)"")"),"#N/A")</f>
        <v>#N/A</v>
      </c>
    </row>
    <row r="1819">
      <c r="A1819" s="4" t="s">
        <v>1826</v>
      </c>
      <c r="B1819" s="1" t="s">
        <v>1101</v>
      </c>
      <c r="C1819" s="2" t="str">
        <f>HYPERLINK("http://4sq.com/RXHHa6","Nakara Jardin (นครา จาร์แด็ง) ")</f>
        <v>Nakara Jardin (นครา จาร์แด็ง) </v>
      </c>
      <c r="E1819" t="str">
        <f>IFERROR(__xludf.DUMMYFUNCTION("REGEXEXTRACT(FORMULATEXT(D1819),""center=([-0-9.]+,[-0-9.]+)"")"),"#N/A")</f>
        <v>#N/A</v>
      </c>
    </row>
    <row r="1820">
      <c r="A1820" s="4" t="s">
        <v>1827</v>
      </c>
      <c r="B1820" s="1" t="s">
        <v>1101</v>
      </c>
      <c r="C1820" s="2" t="str">
        <f>HYPERLINK("http://4sq.com/1uTcCs4","Local Cafe (คาเฟ่บ้านนอก) ")</f>
        <v>Local Cafe (คาเฟ่บ้านนอก) </v>
      </c>
      <c r="E1820" t="str">
        <f>IFERROR(__xludf.DUMMYFUNCTION("REGEXEXTRACT(FORMULATEXT(D1820),""center=([-0-9.]+,[-0-9.]+)"")"),"#N/A")</f>
        <v>#N/A</v>
      </c>
    </row>
    <row r="1821">
      <c r="A1821" s="4" t="s">
        <v>1828</v>
      </c>
      <c r="B1821" s="1" t="s">
        <v>1101</v>
      </c>
      <c r="C1821" s="2" t="str">
        <f>HYPERLINK("http://4sq.com/kGK8x1","ร้านกอเซี้ยม แม่ริมพลาซ่า ")</f>
        <v>ร้านกอเซี้ยม แม่ริมพลาซ่า </v>
      </c>
      <c r="E1821" t="str">
        <f>IFERROR(__xludf.DUMMYFUNCTION("REGEXEXTRACT(FORMULATEXT(D1821),""center=([-0-9.]+,[-0-9.]+)"")"),"#N/A")</f>
        <v>#N/A</v>
      </c>
    </row>
    <row r="1822">
      <c r="A1822" s="4" t="s">
        <v>1829</v>
      </c>
      <c r="B1822" s="1" t="s">
        <v>1101</v>
      </c>
      <c r="C1822" s="2" t="str">
        <f>HYPERLINK("http://4sq.com/12weN37","คาเฟ่ ดินดิน Cafe DinDin ")</f>
        <v>คาเฟ่ ดินดิน Cafe DinDin </v>
      </c>
      <c r="E1822" t="str">
        <f>IFERROR(__xludf.DUMMYFUNCTION("REGEXEXTRACT(FORMULATEXT(D1822),""center=([-0-9.]+,[-0-9.]+)"")"),"#N/A")</f>
        <v>#N/A</v>
      </c>
    </row>
    <row r="1823">
      <c r="A1823" s="4" t="s">
        <v>1830</v>
      </c>
      <c r="B1823" s="1" t="s">
        <v>1101</v>
      </c>
      <c r="C1823" s="2" t="str">
        <f>HYPERLINK("http://4sq.com/nbQ3ST","Blue Café by Coffee Blue (บลูคาเฟ่) ")</f>
        <v>Blue Café by Coffee Blue (บลูคาเฟ่) </v>
      </c>
      <c r="E1823" t="str">
        <f>IFERROR(__xludf.DUMMYFUNCTION("REGEXEXTRACT(FORMULATEXT(D1823),""center=([-0-9.]+,[-0-9.]+)"")"),"#N/A")</f>
        <v>#N/A</v>
      </c>
    </row>
    <row r="1824">
      <c r="A1824" s="4" t="s">
        <v>1831</v>
      </c>
      <c r="B1824" s="1" t="s">
        <v>1101</v>
      </c>
      <c r="C1824" s="2" t="str">
        <f>HYPERLINK("http://4sq.com/1GjmLUZ","Pizza Pasta by Simon ")</f>
        <v>Pizza Pasta by Simon </v>
      </c>
      <c r="E1824" t="str">
        <f>IFERROR(__xludf.DUMMYFUNCTION("REGEXEXTRACT(FORMULATEXT(D1824),""center=([-0-9.]+,[-0-9.]+)"")"),"#N/A")</f>
        <v>#N/A</v>
      </c>
    </row>
    <row r="1825">
      <c r="A1825" s="4" t="s">
        <v>1832</v>
      </c>
      <c r="B1825" s="1" t="s">
        <v>1101</v>
      </c>
      <c r="C1825" s="2" t="str">
        <f>HYPERLINK("http://4sq.com/fxwtgf","Jia Jia Sport Club ")</f>
        <v>Jia Jia Sport Club </v>
      </c>
      <c r="E1825" t="str">
        <f>IFERROR(__xludf.DUMMYFUNCTION("REGEXEXTRACT(FORMULATEXT(D1825),""center=([-0-9.]+,[-0-9.]+)"")"),"#N/A")</f>
        <v>#N/A</v>
      </c>
    </row>
    <row r="1826">
      <c r="A1826" s="4" t="s">
        <v>1833</v>
      </c>
      <c r="B1826" s="1" t="s">
        <v>1101</v>
      </c>
      <c r="C1826" s="2" t="str">
        <f>HYPERLINK("http://4sq.com/a3WF57","Pizza Mania ")</f>
        <v>Pizza Mania </v>
      </c>
      <c r="E1826" t="str">
        <f>IFERROR(__xludf.DUMMYFUNCTION("REGEXEXTRACT(FORMULATEXT(D1826),""center=([-0-9.]+,[-0-9.]+)"")"),"#N/A")</f>
        <v>#N/A</v>
      </c>
    </row>
    <row r="1827">
      <c r="A1827" s="4" t="s">
        <v>1834</v>
      </c>
      <c r="B1827" s="1" t="s">
        <v>1101</v>
      </c>
      <c r="C1827" s="2" t="str">
        <f>HYPERLINK("http://4sq.com/hH9kmE","Sweet Garden ")</f>
        <v>Sweet Garden </v>
      </c>
      <c r="E1827" t="str">
        <f>IFERROR(__xludf.DUMMYFUNCTION("REGEXEXTRACT(FORMULATEXT(D1827),""center=([-0-9.]+,[-0-9.]+)"")"),"#N/A")</f>
        <v>#N/A</v>
      </c>
    </row>
    <row r="1828">
      <c r="A1828" s="4" t="s">
        <v>1835</v>
      </c>
      <c r="B1828" s="1" t="s">
        <v>1101</v>
      </c>
      <c r="C1828" s="2" t="str">
        <f>HYPERLINK("http://4sq.com/29h1DE4","MAIIAM ")</f>
        <v>MAIIAM </v>
      </c>
      <c r="E1828" t="str">
        <f>IFERROR(__xludf.DUMMYFUNCTION("REGEXEXTRACT(FORMULATEXT(D1828),""center=([-0-9.]+,[-0-9.]+)"")"),"#N/A")</f>
        <v>#N/A</v>
      </c>
    </row>
    <row r="1829">
      <c r="A1829" s="4" t="s">
        <v>1836</v>
      </c>
      <c r="B1829" s="1" t="s">
        <v>1101</v>
      </c>
      <c r="C1829" s="2" t="str">
        <f>HYPERLINK("http://4sq.com/9v7H1W","Extreme Sport Center ")</f>
        <v>Extreme Sport Center </v>
      </c>
      <c r="E1829" t="str">
        <f>IFERROR(__xludf.DUMMYFUNCTION("REGEXEXTRACT(FORMULATEXT(D1829),""center=([-0-9.]+,[-0-9.]+)"")"),"#N/A")</f>
        <v>#N/A</v>
      </c>
    </row>
    <row r="1830">
      <c r="A1830" s="4" t="s">
        <v>1837</v>
      </c>
      <c r="B1830" s="1" t="s">
        <v>1101</v>
      </c>
      <c r="C1830" s="2" t="str">
        <f>HYPERLINK("http://4sq.com/sEnrif","Cheunjai Coffee, Food &amp; Drinks (กาแฟชื่นใจ) ")</f>
        <v>Cheunjai Coffee, Food &amp; Drinks (กาแฟชื่นใจ) </v>
      </c>
      <c r="E1830" t="str">
        <f>IFERROR(__xludf.DUMMYFUNCTION("REGEXEXTRACT(FORMULATEXT(D1830),""center=([-0-9.]+,[-0-9.]+)"")"),"#N/A")</f>
        <v>#N/A</v>
      </c>
    </row>
    <row r="1831">
      <c r="A1831" s="4" t="s">
        <v>1838</v>
      </c>
      <c r="B1831" s="1" t="s">
        <v>1101</v>
      </c>
      <c r="C1831" s="2" t="str">
        <f>HYPERLINK("http://4sq.com/kGK8x1","ร้านกอเซี้ยม แม่ริมพลาซ่า ")</f>
        <v>ร้านกอเซี้ยม แม่ริมพลาซ่า </v>
      </c>
      <c r="E1831" t="str">
        <f>IFERROR(__xludf.DUMMYFUNCTION("REGEXEXTRACT(FORMULATEXT(D1831),""center=([-0-9.]+,[-0-9.]+)"")"),"#N/A")</f>
        <v>#N/A</v>
      </c>
    </row>
    <row r="1832">
      <c r="A1832" s="4" t="s">
        <v>1839</v>
      </c>
      <c r="B1832" s="1" t="s">
        <v>1101</v>
      </c>
      <c r="C1832" s="2" t="str">
        <f>HYPERLINK("http://4sq.com/12weN37","คาเฟ่ ดินดิน Cafe DinDin ")</f>
        <v>คาเฟ่ ดินดิน Cafe DinDin </v>
      </c>
      <c r="E1832" t="str">
        <f>IFERROR(__xludf.DUMMYFUNCTION("REGEXEXTRACT(FORMULATEXT(D1832),""center=([-0-9.]+,[-0-9.]+)"")"),"#N/A")</f>
        <v>#N/A</v>
      </c>
    </row>
    <row r="1833">
      <c r="A1833" s="4" t="s">
        <v>1840</v>
      </c>
      <c r="B1833" s="1" t="s">
        <v>1101</v>
      </c>
      <c r="C1833" s="2" t="str">
        <f>HYPERLINK("http://4sq.com/1dHOYY4","Pizzeria Giotto ")</f>
        <v>Pizzeria Giotto </v>
      </c>
      <c r="E1833" t="str">
        <f>IFERROR(__xludf.DUMMYFUNCTION("REGEXEXTRACT(FORMULATEXT(D1833),""center=([-0-9.]+,[-0-9.]+)"")"),"#N/A")</f>
        <v>#N/A</v>
      </c>
    </row>
    <row r="1834">
      <c r="A1834" s="4" t="s">
        <v>1841</v>
      </c>
      <c r="B1834" s="1" t="s">
        <v>1101</v>
      </c>
      <c r="C1834" s="2" t="str">
        <f>HYPERLINK("http://4sq.com/I28LVE","Café de Oasis (คาเฟ่ เดอ โอเอซิส) ")</f>
        <v>Café de Oasis (คาเฟ่ เดอ โอเอซิส) </v>
      </c>
      <c r="E1834" t="str">
        <f>IFERROR(__xludf.DUMMYFUNCTION("REGEXEXTRACT(FORMULATEXT(D1834),""center=([-0-9.]+,[-0-9.]+)"")"),"#N/A")</f>
        <v>#N/A</v>
      </c>
    </row>
    <row r="1835">
      <c r="A1835" s="4" t="s">
        <v>1842</v>
      </c>
      <c r="B1835" s="1" t="s">
        <v>1101</v>
      </c>
      <c r="C1835" s="2" t="str">
        <f>HYPERLINK("http://4sq.com/19hdlvT","Beer Lab ")</f>
        <v>Beer Lab </v>
      </c>
      <c r="E1835" t="str">
        <f>IFERROR(__xludf.DUMMYFUNCTION("REGEXEXTRACT(FORMULATEXT(D1835),""center=([-0-9.]+,[-0-9.]+)"")"),"#N/A")</f>
        <v>#N/A</v>
      </c>
    </row>
    <row r="1836">
      <c r="A1836" s="4" t="s">
        <v>1843</v>
      </c>
      <c r="B1836" s="1" t="s">
        <v>1101</v>
      </c>
      <c r="C1836" s="2" t="str">
        <f>HYPERLINK("http://4sq.com/aI08BQ","Four Seasons Resort Chiang Mai ")</f>
        <v>Four Seasons Resort Chiang Mai </v>
      </c>
      <c r="E1836" t="str">
        <f>IFERROR(__xludf.DUMMYFUNCTION("REGEXEXTRACT(FORMULATEXT(D1836),""center=([-0-9.]+,[-0-9.]+)"")"),"#N/A")</f>
        <v>#N/A</v>
      </c>
    </row>
    <row r="1837">
      <c r="A1837" s="4" t="s">
        <v>1844</v>
      </c>
      <c r="B1837" s="1" t="s">
        <v>1101</v>
      </c>
      <c r="C1837" s="2" t="str">
        <f>HYPERLINK("http://4sq.com/hsPRl4","Khaosoi House (ข้าวซอยเฮ้าส์) ")</f>
        <v>Khaosoi House (ข้าวซอยเฮ้าส์) </v>
      </c>
      <c r="E1837" t="str">
        <f>IFERROR(__xludf.DUMMYFUNCTION("REGEXEXTRACT(FORMULATEXT(D1837),""center=([-0-9.]+,[-0-9.]+)"")"),"#N/A")</f>
        <v>#N/A</v>
      </c>
    </row>
    <row r="1838">
      <c r="A1838" s="4" t="s">
        <v>1845</v>
      </c>
      <c r="B1838" s="1" t="s">
        <v>1101</v>
      </c>
      <c r="C1838" s="2" t="str">
        <f>HYPERLINK("http://4sq.com/fHcaB9","Coffee Bus (คอฟฟี่บัส) ")</f>
        <v>Coffee Bus (คอฟฟี่บัส) </v>
      </c>
      <c r="E1838" t="str">
        <f>IFERROR(__xludf.DUMMYFUNCTION("REGEXEXTRACT(FORMULATEXT(D1838),""center=([-0-9.]+,[-0-9.]+)"")"),"#N/A")</f>
        <v>#N/A</v>
      </c>
    </row>
    <row r="1839">
      <c r="A1839" s="4" t="s">
        <v>1846</v>
      </c>
      <c r="B1839" s="1" t="s">
        <v>1101</v>
      </c>
      <c r="C1839" s="2" t="str">
        <f>HYPERLINK("http://4sq.com/1uTcCs4","Local Cafe (คาเฟ่บ้านนอก) ")</f>
        <v>Local Cafe (คาเฟ่บ้านนอก) </v>
      </c>
      <c r="E1839" t="str">
        <f>IFERROR(__xludf.DUMMYFUNCTION("REGEXEXTRACT(FORMULATEXT(D1839),""center=([-0-9.]+,[-0-9.]+)"")"),"#N/A")</f>
        <v>#N/A</v>
      </c>
    </row>
    <row r="1840">
      <c r="A1840" s="4" t="s">
        <v>1847</v>
      </c>
      <c r="B1840" s="1" t="s">
        <v>1101</v>
      </c>
      <c r="C1840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E1840" t="str">
        <f>IFERROR(__xludf.DUMMYFUNCTION("REGEXEXTRACT(FORMULATEXT(D1840),""center=([-0-9.]+,[-0-9.]+)"")"),"#N/A")</f>
        <v>#N/A</v>
      </c>
    </row>
    <row r="1841">
      <c r="A1841" s="4" t="s">
        <v>1848</v>
      </c>
      <c r="B1841" s="1" t="s">
        <v>1101</v>
      </c>
      <c r="C1841" s="2" t="str">
        <f>HYPERLINK("http://4sq.com/fHcaB9","Coffee Bus (คอฟฟี่บัส) ")</f>
        <v>Coffee Bus (คอฟฟี่บัส) </v>
      </c>
      <c r="E1841" t="str">
        <f>IFERROR(__xludf.DUMMYFUNCTION("REGEXEXTRACT(FORMULATEXT(D1841),""center=([-0-9.]+,[-0-9.]+)"")"),"#N/A")</f>
        <v>#N/A</v>
      </c>
    </row>
    <row r="1842">
      <c r="A1842" s="4" t="s">
        <v>1849</v>
      </c>
      <c r="B1842" s="1" t="s">
        <v>1101</v>
      </c>
      <c r="C1842" s="2" t="str">
        <f>HYPERLINK("http://4sq.com/alGf7l","PTT (ปตท.) ")</f>
        <v>PTT (ปตท.) </v>
      </c>
      <c r="E1842" t="str">
        <f>IFERROR(__xludf.DUMMYFUNCTION("REGEXEXTRACT(FORMULATEXT(D1842),""center=([-0-9.]+,[-0-9.]+)"")"),"#N/A")</f>
        <v>#N/A</v>
      </c>
    </row>
    <row r="1843">
      <c r="A1843" s="4" t="s">
        <v>1850</v>
      </c>
      <c r="B1843" s="1" t="s">
        <v>1101</v>
      </c>
      <c r="C1843" s="2" t="str">
        <f>HYPERLINK("http://4sq.com/9K7ydH","Bake &amp; Bite (เบ๊คแอนด์ไบท์) ")</f>
        <v>Bake &amp; Bite (เบ๊คแอนด์ไบท์) </v>
      </c>
      <c r="E1843" t="str">
        <f>IFERROR(__xludf.DUMMYFUNCTION("REGEXEXTRACT(FORMULATEXT(D1843),""center=([-0-9.]+,[-0-9.]+)"")"),"#N/A")</f>
        <v>#N/A</v>
      </c>
    </row>
    <row r="1844">
      <c r="A1844" s="4" t="s">
        <v>1851</v>
      </c>
      <c r="B1844" s="1" t="s">
        <v>1101</v>
      </c>
      <c r="C1844" s="2" t="str">
        <f>HYPERLINK("http://4sq.com/2iDiV23","Zombie Cafe ")</f>
        <v>Zombie Cafe </v>
      </c>
      <c r="E1844" t="str">
        <f>IFERROR(__xludf.DUMMYFUNCTION("REGEXEXTRACT(FORMULATEXT(D1844),""center=([-0-9.]+,[-0-9.]+)"")"),"#N/A")</f>
        <v>#N/A</v>
      </c>
    </row>
    <row r="1845">
      <c r="A1845" s="4" t="s">
        <v>1852</v>
      </c>
      <c r="B1845" s="1" t="s">
        <v>1101</v>
      </c>
      <c r="C1845" s="2" t="str">
        <f>HYPERLINK("http://4sq.com/1GjmLUZ","Pizza Pasta by Simon ")</f>
        <v>Pizza Pasta by Simon </v>
      </c>
      <c r="E1845" t="str">
        <f>IFERROR(__xludf.DUMMYFUNCTION("REGEXEXTRACT(FORMULATEXT(D1845),""center=([-0-9.]+,[-0-9.]+)"")"),"#N/A")</f>
        <v>#N/A</v>
      </c>
    </row>
    <row r="1846">
      <c r="A1846" s="4" t="s">
        <v>1853</v>
      </c>
      <c r="B1846" s="1" t="s">
        <v>1101</v>
      </c>
      <c r="C1846" s="2" t="str">
        <f>HYPERLINK("http://4sq.com/W63u29","BOAT BAKERY since 1970 ")</f>
        <v>BOAT BAKERY since 1970 </v>
      </c>
      <c r="E1846" t="str">
        <f>IFERROR(__xludf.DUMMYFUNCTION("REGEXEXTRACT(FORMULATEXT(D1846),""center=([-0-9.]+,[-0-9.]+)"")"),"#N/A")</f>
        <v>#N/A</v>
      </c>
    </row>
    <row r="1847">
      <c r="A1847" s="4" t="s">
        <v>1854</v>
      </c>
      <c r="B1847" s="1" t="s">
        <v>1101</v>
      </c>
      <c r="C1847" s="2" t="str">
        <f>HYPERLINK("http://4sq.com/2bIJz8b","Lamona View Swimming Pool ")</f>
        <v>Lamona View Swimming Pool </v>
      </c>
      <c r="E1847" t="str">
        <f>IFERROR(__xludf.DUMMYFUNCTION("REGEXEXTRACT(FORMULATEXT(D1847),""center=([-0-9.]+,[-0-9.]+)"")"),"#N/A")</f>
        <v>#N/A</v>
      </c>
    </row>
    <row r="1848">
      <c r="A1848" s="4" t="s">
        <v>1855</v>
      </c>
      <c r="B1848" s="1" t="s">
        <v>1101</v>
      </c>
      <c r="C1848" s="2" t="str">
        <f>HYPERLINK("http://4sq.com/10JNogt","Lumdee Te Khuadang (ลำดีตี้ขัวแดง) ")</f>
        <v>Lumdee Te Khuadang (ลำดีตี้ขัวแดง) </v>
      </c>
      <c r="E1848" t="str">
        <f>IFERROR(__xludf.DUMMYFUNCTION("REGEXEXTRACT(FORMULATEXT(D1848),""center=([-0-9.]+,[-0-9.]+)"")"),"#N/A")</f>
        <v>#N/A</v>
      </c>
    </row>
    <row r="1849">
      <c r="A1849" s="4" t="s">
        <v>1856</v>
      </c>
      <c r="B1849" s="1" t="s">
        <v>1101</v>
      </c>
      <c r="C1849" s="2" t="str">
        <f>HYPERLINK("http://4sq.com/2iDiV23","Zombie Cafe ")</f>
        <v>Zombie Cafe </v>
      </c>
      <c r="E1849" t="str">
        <f>IFERROR(__xludf.DUMMYFUNCTION("REGEXEXTRACT(FORMULATEXT(D1849),""center=([-0-9.]+,[-0-9.]+)"")"),"#N/A")</f>
        <v>#N/A</v>
      </c>
    </row>
    <row r="1850">
      <c r="A1850" s="4" t="s">
        <v>1857</v>
      </c>
      <c r="B1850" s="1" t="s">
        <v>1101</v>
      </c>
      <c r="C1850" s="2" t="str">
        <f>HYPERLINK("http://4sq.com/1pPrmIP","นภาภัณฑ์โลหะกิจ ")</f>
        <v>นภาภัณฑ์โลหะกิจ </v>
      </c>
      <c r="E1850" t="str">
        <f>IFERROR(__xludf.DUMMYFUNCTION("REGEXEXTRACT(FORMULATEXT(D1850),""center=([-0-9.]+,[-0-9.]+)"")"),"#N/A")</f>
        <v>#N/A</v>
      </c>
    </row>
    <row r="1851">
      <c r="A1851" s="4" t="s">
        <v>1858</v>
      </c>
      <c r="B1851" s="1" t="s">
        <v>1101</v>
      </c>
      <c r="C1851" s="2" t="str">
        <f>HYPERLINK("http://4sq.com/kGK8x1","ร้านกอเซี้ยม แม่ริมพลาซ่า ")</f>
        <v>ร้านกอเซี้ยม แม่ริมพลาซ่า </v>
      </c>
      <c r="E1851" t="str">
        <f>IFERROR(__xludf.DUMMYFUNCTION("REGEXEXTRACT(FORMULATEXT(D1851),""center=([-0-9.]+,[-0-9.]+)"")"),"#N/A")</f>
        <v>#N/A</v>
      </c>
    </row>
    <row r="1852">
      <c r="A1852" s="4" t="s">
        <v>1859</v>
      </c>
      <c r="B1852" s="1" t="s">
        <v>1101</v>
      </c>
      <c r="C1852" s="2" t="str">
        <f>HYPERLINK("http://4sq.com/2iDiV23","Zombie Cafe ")</f>
        <v>Zombie Cafe </v>
      </c>
      <c r="E1852" t="str">
        <f>IFERROR(__xludf.DUMMYFUNCTION("REGEXEXTRACT(FORMULATEXT(D1852),""center=([-0-9.]+,[-0-9.]+)"")"),"#N/A")</f>
        <v>#N/A</v>
      </c>
    </row>
    <row r="1853">
      <c r="A1853" s="4" t="s">
        <v>1860</v>
      </c>
      <c r="B1853" s="1" t="s">
        <v>1101</v>
      </c>
      <c r="C1853" s="2" t="str">
        <f>HYPERLINK("http://4sq.com/1LwwIEn","Let It Be ")</f>
        <v>Let It Be </v>
      </c>
      <c r="E1853" t="str">
        <f>IFERROR(__xludf.DUMMYFUNCTION("REGEXEXTRACT(FORMULATEXT(D1853),""center=([-0-9.]+,[-0-9.]+)"")"),"#N/A")</f>
        <v>#N/A</v>
      </c>
    </row>
    <row r="1854">
      <c r="A1854" s="4" t="s">
        <v>1861</v>
      </c>
      <c r="B1854" s="1" t="s">
        <v>1101</v>
      </c>
      <c r="C1854" s="2" t="str">
        <f>HYPERLINK("http://4sq.com/1sQE853","Chic 39 ")</f>
        <v>Chic 39 </v>
      </c>
      <c r="E1854" t="str">
        <f>IFERROR(__xludf.DUMMYFUNCTION("REGEXEXTRACT(FORMULATEXT(D1854),""center=([-0-9.]+,[-0-9.]+)"")"),"#N/A")</f>
        <v>#N/A</v>
      </c>
    </row>
    <row r="1855">
      <c r="A1855" s="4" t="s">
        <v>1862</v>
      </c>
      <c r="B1855" s="1" t="s">
        <v>1101</v>
      </c>
      <c r="C1855" s="2" t="str">
        <f>HYPERLINK("http://4sq.com/1MkbF74","Black Canyon (แบล็คแคนยอน) ")</f>
        <v>Black Canyon (แบล็คแคนยอน) </v>
      </c>
      <c r="E1855" t="str">
        <f>IFERROR(__xludf.DUMMYFUNCTION("REGEXEXTRACT(FORMULATEXT(D1855),""center=([-0-9.]+,[-0-9.]+)"")"),"#N/A")</f>
        <v>#N/A</v>
      </c>
    </row>
    <row r="1856">
      <c r="A1856" s="4" t="s">
        <v>1863</v>
      </c>
      <c r="B1856" s="1" t="s">
        <v>1101</v>
      </c>
      <c r="C1856" s="2" t="str">
        <f>HYPERLINK("http://4sq.com/W63u29","BOAT BAKERY since 1970 ")</f>
        <v>BOAT BAKERY since 1970 </v>
      </c>
      <c r="E1856" t="str">
        <f>IFERROR(__xludf.DUMMYFUNCTION("REGEXEXTRACT(FORMULATEXT(D1856),""center=([-0-9.]+,[-0-9.]+)"")"),"#N/A")</f>
        <v>#N/A</v>
      </c>
    </row>
    <row r="1857">
      <c r="A1857" s="4" t="s">
        <v>1864</v>
      </c>
      <c r="B1857" s="1" t="s">
        <v>1101</v>
      </c>
      <c r="C1857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857" t="str">
        <f>IFERROR(__xludf.DUMMYFUNCTION("REGEXEXTRACT(FORMULATEXT(D1857),""center=([-0-9.]+,[-0-9.]+)"")"),"#N/A")</f>
        <v>#N/A</v>
      </c>
    </row>
    <row r="1858">
      <c r="A1858" s="4" t="s">
        <v>1865</v>
      </c>
      <c r="B1858" s="1" t="s">
        <v>1101</v>
      </c>
      <c r="C1858" s="2" t="str">
        <f>HYPERLINK("http://4sq.com/crBVSU","Incheon International Airport (ICN) (인천국제공항) ")</f>
        <v>Incheon International Airport (ICN) (인천국제공항) </v>
      </c>
      <c r="E1858" t="str">
        <f>IFERROR(__xludf.DUMMYFUNCTION("REGEXEXTRACT(FORMULATEXT(D1858),""center=([-0-9.]+,[-0-9.]+)"")"),"#N/A")</f>
        <v>#N/A</v>
      </c>
    </row>
    <row r="1859">
      <c r="A1859" s="4" t="s">
        <v>1866</v>
      </c>
      <c r="B1859" s="1" t="s">
        <v>1101</v>
      </c>
      <c r="C1859" s="2" t="str">
        <f>HYPERLINK("http://4sq.com/72rBX6","Essex Inn ")</f>
        <v>Essex Inn </v>
      </c>
      <c r="E1859" t="str">
        <f>IFERROR(__xludf.DUMMYFUNCTION("REGEXEXTRACT(FORMULATEXT(D1859),""center=([-0-9.]+,[-0-9.]+)"")"),"#N/A")</f>
        <v>#N/A</v>
      </c>
    </row>
    <row r="1860">
      <c r="A1860" s="4" t="s">
        <v>1867</v>
      </c>
      <c r="B1860" s="1" t="s">
        <v>1101</v>
      </c>
      <c r="C1860" s="2" t="str">
        <f>HYPERLINK("http://4sq.com/8mlWbX","Navy Pier ")</f>
        <v>Navy Pier </v>
      </c>
      <c r="E1860" t="str">
        <f>IFERROR(__xludf.DUMMYFUNCTION("REGEXEXTRACT(FORMULATEXT(D1860),""center=([-0-9.]+,[-0-9.]+)"")"),"#N/A")</f>
        <v>#N/A</v>
      </c>
    </row>
    <row r="1861">
      <c r="A1861" s="4" t="s">
        <v>1868</v>
      </c>
      <c r="B1861" s="1" t="s">
        <v>1101</v>
      </c>
      <c r="C1861" s="2" t="str">
        <f>HYPERLINK("http://4sq.com/4yJyfR","Yolk ")</f>
        <v>Yolk </v>
      </c>
      <c r="E1861" t="str">
        <f>IFERROR(__xludf.DUMMYFUNCTION("REGEXEXTRACT(FORMULATEXT(D1861),""center=([-0-9.]+,[-0-9.]+)"")"),"#N/A")</f>
        <v>#N/A</v>
      </c>
    </row>
    <row r="1862">
      <c r="A1862" s="4" t="s">
        <v>1869</v>
      </c>
      <c r="B1862" s="1" t="s">
        <v>1101</v>
      </c>
      <c r="C1862" s="2" t="str">
        <f>HYPERLINK("http://4sq.com/6z3FQS","Museum of Science and Industry ")</f>
        <v>Museum of Science and Industry </v>
      </c>
      <c r="E1862" t="str">
        <f>IFERROR(__xludf.DUMMYFUNCTION("REGEXEXTRACT(FORMULATEXT(D1862),""center=([-0-9.]+,[-0-9.]+)"")"),"#N/A")</f>
        <v>#N/A</v>
      </c>
    </row>
    <row r="1863">
      <c r="A1863" s="4" t="s">
        <v>1870</v>
      </c>
      <c r="B1863" s="1" t="s">
        <v>1101</v>
      </c>
      <c r="C1863" s="2" t="str">
        <f>HYPERLINK("http://4sq.com/15FIWEW","Gen. John Logan Horse Statue ")</f>
        <v>Gen. John Logan Horse Statue </v>
      </c>
      <c r="E1863" t="str">
        <f>IFERROR(__xludf.DUMMYFUNCTION("REGEXEXTRACT(FORMULATEXT(D1863),""center=([-0-9.]+,[-0-9.]+)"")"),"#N/A")</f>
        <v>#N/A</v>
      </c>
    </row>
    <row r="1864">
      <c r="A1864" s="4" t="s">
        <v>1871</v>
      </c>
      <c r="B1864" s="1" t="s">
        <v>1101</v>
      </c>
      <c r="C1864" s="2" t="str">
        <f>HYPERLINK("http://4sq.com/4yJyfR","Yolk ")</f>
        <v>Yolk </v>
      </c>
      <c r="E1864" t="str">
        <f>IFERROR(__xludf.DUMMYFUNCTION("REGEXEXTRACT(FORMULATEXT(D1864),""center=([-0-9.]+,[-0-9.]+)"")"),"#N/A")</f>
        <v>#N/A</v>
      </c>
    </row>
    <row r="1865">
      <c r="A1865" s="4" t="s">
        <v>1872</v>
      </c>
      <c r="B1865" s="1" t="s">
        <v>1101</v>
      </c>
      <c r="C1865" s="2" t="str">
        <f>HYPERLINK("http://4sq.com/8X4kXL","Skydeck Chicago ")</f>
        <v>Skydeck Chicago </v>
      </c>
      <c r="E1865" t="str">
        <f>IFERROR(__xludf.DUMMYFUNCTION("REGEXEXTRACT(FORMULATEXT(D1865),""center=([-0-9.]+,[-0-9.]+)"")"),"#N/A")</f>
        <v>#N/A</v>
      </c>
    </row>
    <row r="1866">
      <c r="A1866" s="4" t="s">
        <v>1873</v>
      </c>
      <c r="B1866" s="1" t="s">
        <v>1101</v>
      </c>
      <c r="C1866" s="2" t="str">
        <f>HYPERLINK("http://4sq.com/6ubrLH","Cadillac Palace Theatre ")</f>
        <v>Cadillac Palace Theatre </v>
      </c>
      <c r="E1866" t="str">
        <f>IFERROR(__xludf.DUMMYFUNCTION("REGEXEXTRACT(FORMULATEXT(D1866),""center=([-0-9.]+,[-0-9.]+)"")"),"#N/A")</f>
        <v>#N/A</v>
      </c>
    </row>
    <row r="1867">
      <c r="A1867" s="4" t="s">
        <v>1874</v>
      </c>
      <c r="B1867" s="1" t="s">
        <v>1101</v>
      </c>
      <c r="C1867" s="2" t="str">
        <f>HYPERLINK("http://4sq.com/1Xgj3z","Intelligentsia Coffee ")</f>
        <v>Intelligentsia Coffee </v>
      </c>
      <c r="E1867" t="str">
        <f>IFERROR(__xludf.DUMMYFUNCTION("REGEXEXTRACT(FORMULATEXT(D1867),""center=([-0-9.]+,[-0-9.]+)"")"),"#N/A")</f>
        <v>#N/A</v>
      </c>
    </row>
    <row r="1868">
      <c r="A1868" s="4" t="s">
        <v>1875</v>
      </c>
      <c r="B1868" s="1" t="s">
        <v>1101</v>
      </c>
      <c r="C1868" s="2" t="str">
        <f>HYPERLINK("http://4sq.com/7Gw5mS","Millennium Park ")</f>
        <v>Millennium Park </v>
      </c>
      <c r="E1868" t="str">
        <f>IFERROR(__xludf.DUMMYFUNCTION("REGEXEXTRACT(FORMULATEXT(D1868),""center=([-0-9.]+,[-0-9.]+)"")"),"#N/A")</f>
        <v>#N/A</v>
      </c>
    </row>
    <row r="1869">
      <c r="A1869" s="4" t="s">
        <v>1876</v>
      </c>
      <c r="B1869" s="1" t="s">
        <v>1101</v>
      </c>
      <c r="C1869" s="2" t="str">
        <f>HYPERLINK("http://4sq.com/1l3BZx","Pizano's Pizza ")</f>
        <v>Pizano's Pizza </v>
      </c>
      <c r="E1869" t="str">
        <f>IFERROR(__xludf.DUMMYFUNCTION("REGEXEXTRACT(FORMULATEXT(D1869),""center=([-0-9.]+,[-0-9.]+)"")"),"#N/A")</f>
        <v>#N/A</v>
      </c>
    </row>
    <row r="1870">
      <c r="A1870" s="4" t="s">
        <v>1877</v>
      </c>
      <c r="B1870" s="1" t="s">
        <v>1101</v>
      </c>
      <c r="C1870" s="2" t="str">
        <f>HYPERLINK("http://4sq.com/jq34rA","Budget Car Rental ")</f>
        <v>Budget Car Rental </v>
      </c>
      <c r="E1870" t="str">
        <f>IFERROR(__xludf.DUMMYFUNCTION("REGEXEXTRACT(FORMULATEXT(D1870),""center=([-0-9.]+,[-0-9.]+)"")"),"#N/A")</f>
        <v>#N/A</v>
      </c>
    </row>
    <row r="1871">
      <c r="A1871" s="4" t="s">
        <v>1878</v>
      </c>
      <c r="B1871" s="1" t="s">
        <v>1101</v>
      </c>
      <c r="C1871" s="2" t="str">
        <f>HYPERLINK("http://4sq.com/4yJyfR","Yolk ")</f>
        <v>Yolk </v>
      </c>
      <c r="E1871" t="str">
        <f>IFERROR(__xludf.DUMMYFUNCTION("REGEXEXTRACT(FORMULATEXT(D1871),""center=([-0-9.]+,[-0-9.]+)"")"),"#N/A")</f>
        <v>#N/A</v>
      </c>
    </row>
    <row r="1872">
      <c r="A1872" s="4" t="s">
        <v>1879</v>
      </c>
      <c r="B1872" s="1" t="s">
        <v>1101</v>
      </c>
      <c r="C1872" s="2" t="str">
        <f>HYPERLINK("http://4sq.com/iDw2MO","Tiffin River Service Plaza (Eastbound) ")</f>
        <v>Tiffin River Service Plaza (Eastbound) </v>
      </c>
      <c r="E1872" t="str">
        <f>IFERROR(__xludf.DUMMYFUNCTION("REGEXEXTRACT(FORMULATEXT(D1872),""center=([-0-9.]+,[-0-9.]+)"")"),"#N/A")</f>
        <v>#N/A</v>
      </c>
    </row>
    <row r="1873">
      <c r="A1873" s="4" t="s">
        <v>1880</v>
      </c>
      <c r="B1873" s="1" t="s">
        <v>1101</v>
      </c>
      <c r="C1873" s="2" t="str">
        <f>HYPERLINK("http://4sq.com/11KQ7pi","toledo thai restaurant ")</f>
        <v>toledo thai restaurant </v>
      </c>
      <c r="E1873" t="str">
        <f>IFERROR(__xludf.DUMMYFUNCTION("REGEXEXTRACT(FORMULATEXT(D1873),""center=([-0-9.]+,[-0-9.]+)"")"),"#N/A")</f>
        <v>#N/A</v>
      </c>
    </row>
    <row r="1874">
      <c r="A1874" s="4" t="s">
        <v>1881</v>
      </c>
      <c r="B1874" s="1" t="s">
        <v>1101</v>
      </c>
      <c r="C1874" s="2" t="str">
        <f>HYPERLINK("http://4sq.com/bdpzMR","Towpath Service Plaza (Eastbound) ")</f>
        <v>Towpath Service Plaza (Eastbound) </v>
      </c>
      <c r="E1874" t="str">
        <f>IFERROR(__xludf.DUMMYFUNCTION("REGEXEXTRACT(FORMULATEXT(D1874),""center=([-0-9.]+,[-0-9.]+)"")"),"#N/A")</f>
        <v>#N/A</v>
      </c>
    </row>
    <row r="1875">
      <c r="A1875" s="4" t="s">
        <v>1882</v>
      </c>
      <c r="B1875" s="1" t="s">
        <v>1101</v>
      </c>
      <c r="C1875" s="2" t="str">
        <f>HYPERLINK("http://4sq.com/djQr9K","Welch's Dairy Cream ")</f>
        <v>Welch's Dairy Cream </v>
      </c>
      <c r="E1875" t="str">
        <f>IFERROR(__xludf.DUMMYFUNCTION("REGEXEXTRACT(FORMULATEXT(D1875),""center=([-0-9.]+,[-0-9.]+)"")"),"#N/A")</f>
        <v>#N/A</v>
      </c>
    </row>
    <row r="1876">
      <c r="A1876" s="4" t="s">
        <v>1883</v>
      </c>
      <c r="B1876" s="1" t="s">
        <v>1101</v>
      </c>
      <c r="C1876" s="2" t="str">
        <f>HYPERLINK("http://4sq.com/9dHk0c","Radisson Inn Akron/Fairlawn ")</f>
        <v>Radisson Inn Akron/Fairlawn </v>
      </c>
      <c r="E1876" t="str">
        <f>IFERROR(__xludf.DUMMYFUNCTION("REGEXEXTRACT(FORMULATEXT(D1876),""center=([-0-9.]+,[-0-9.]+)"")"),"#N/A")</f>
        <v>#N/A</v>
      </c>
    </row>
    <row r="1877">
      <c r="A1877" s="4" t="s">
        <v>1884</v>
      </c>
      <c r="B1877" s="1" t="s">
        <v>1101</v>
      </c>
      <c r="C1877" s="2" t="str">
        <f>HYPERLINK("http://4sq.com/76ttuI","Khao Thai Restaurant ")</f>
        <v>Khao Thai Restaurant </v>
      </c>
      <c r="E1877" t="str">
        <f>IFERROR(__xludf.DUMMYFUNCTION("REGEXEXTRACT(FORMULATEXT(D1877),""center=([-0-9.]+,[-0-9.]+)"")"),"#N/A")</f>
        <v>#N/A</v>
      </c>
    </row>
    <row r="1878">
      <c r="A1878" s="4" t="s">
        <v>1885</v>
      </c>
      <c r="B1878" s="1" t="s">
        <v>1101</v>
      </c>
      <c r="C1878" s="2" t="str">
        <f>HYPERLINK("http://4sq.com/12riVT2","Westgate Farm &amp; Ranch ")</f>
        <v>Westgate Farm &amp; Ranch </v>
      </c>
      <c r="E1878" t="str">
        <f>IFERROR(__xludf.DUMMYFUNCTION("REGEXEXTRACT(FORMULATEXT(D1878),""center=([-0-9.]+,[-0-9.]+)"")"),"#N/A")</f>
        <v>#N/A</v>
      </c>
    </row>
    <row r="1879">
      <c r="A1879" s="4" t="s">
        <v>1886</v>
      </c>
      <c r="B1879" s="1" t="s">
        <v>1101</v>
      </c>
      <c r="C1879" s="2" t="str">
        <f>HYPERLINK("http://4sq.com/1OE3DrM","Parking Area ")</f>
        <v>Parking Area </v>
      </c>
      <c r="E1879" t="str">
        <f>IFERROR(__xludf.DUMMYFUNCTION("REGEXEXTRACT(FORMULATEXT(D1879),""center=([-0-9.]+,[-0-9.]+)"")"),"#N/A")</f>
        <v>#N/A</v>
      </c>
    </row>
    <row r="1880">
      <c r="A1880" s="4" t="s">
        <v>1887</v>
      </c>
      <c r="B1880" s="1" t="s">
        <v>1101</v>
      </c>
      <c r="C1880" s="2" t="str">
        <f>HYPERLINK("http://4sq.com/biTu4M","Stagecoach West ")</f>
        <v>Stagecoach West </v>
      </c>
      <c r="E1880" t="str">
        <f>IFERROR(__xludf.DUMMYFUNCTION("REGEXEXTRACT(FORMULATEXT(D1880),""center=([-0-9.]+,[-0-9.]+)"")"),"#N/A")</f>
        <v>#N/A</v>
      </c>
    </row>
    <row r="1881">
      <c r="A1881" s="4" t="s">
        <v>1888</v>
      </c>
      <c r="B1881" s="1" t="s">
        <v>1101</v>
      </c>
      <c r="C1881" s="2" t="str">
        <f>HYPERLINK("http://4sq.com/2iarJex","DoubleTree by Hilton Hotel Niagara Falls New York ")</f>
        <v>DoubleTree by Hilton Hotel Niagara Falls New York </v>
      </c>
      <c r="E1881" t="str">
        <f>IFERROR(__xludf.DUMMYFUNCTION("REGEXEXTRACT(FORMULATEXT(D1881),""center=([-0-9.]+,[-0-9.]+)"")"),"#N/A")</f>
        <v>#N/A</v>
      </c>
    </row>
    <row r="1882">
      <c r="A1882" s="4" t="s">
        <v>1889</v>
      </c>
      <c r="B1882" s="1" t="s">
        <v>1101</v>
      </c>
      <c r="C1882" s="2" t="str">
        <f>HYPERLINK("http://4sq.com/cjTMI0","Starbucks ")</f>
        <v>Starbucks </v>
      </c>
      <c r="E1882" t="str">
        <f>IFERROR(__xludf.DUMMYFUNCTION("REGEXEXTRACT(FORMULATEXT(D1882),""center=([-0-9.]+,[-0-9.]+)"")"),"#N/A")</f>
        <v>#N/A</v>
      </c>
    </row>
    <row r="1883">
      <c r="A1883" s="4" t="s">
        <v>1890</v>
      </c>
      <c r="B1883" s="1" t="s">
        <v>1101</v>
      </c>
      <c r="C1883" s="2" t="str">
        <f>HYPERLINK("http://4sq.com/1gTiygQ","Downtown Niagara Falls ")</f>
        <v>Downtown Niagara Falls </v>
      </c>
      <c r="E1883" t="str">
        <f>IFERROR(__xludf.DUMMYFUNCTION("REGEXEXTRACT(FORMULATEXT(D1883),""center=([-0-9.]+,[-0-9.]+)"")"),"#N/A")</f>
        <v>#N/A</v>
      </c>
    </row>
    <row r="1884">
      <c r="A1884" s="4" t="s">
        <v>1890</v>
      </c>
      <c r="B1884" s="1" t="s">
        <v>1101</v>
      </c>
      <c r="C1884" s="2" t="str">
        <f>HYPERLINK("http://4sq.com/92yHgJ","Old Falls Street ")</f>
        <v>Old Falls Street </v>
      </c>
      <c r="E1884" t="str">
        <f>IFERROR(__xludf.DUMMYFUNCTION("REGEXEXTRACT(FORMULATEXT(D1884),""center=([-0-9.]+,[-0-9.]+)"")"),"#N/A")</f>
        <v>#N/A</v>
      </c>
    </row>
    <row r="1885">
      <c r="A1885" s="4" t="s">
        <v>1891</v>
      </c>
      <c r="B1885" s="1" t="s">
        <v>1101</v>
      </c>
      <c r="C1885" s="2" t="str">
        <f>HYPERLINK("http://4sq.com/aqP2u9","7-Eleven ")</f>
        <v>7-Eleven </v>
      </c>
      <c r="E1885" t="str">
        <f>IFERROR(__xludf.DUMMYFUNCTION("REGEXEXTRACT(FORMULATEXT(D1885),""center=([-0-9.]+,[-0-9.]+)"")"),"#N/A")</f>
        <v>#N/A</v>
      </c>
    </row>
    <row r="1886">
      <c r="A1886" s="4" t="s">
        <v>1891</v>
      </c>
      <c r="B1886" s="1" t="s">
        <v>1101</v>
      </c>
      <c r="C1886" s="2" t="str">
        <f>HYPERLINK("http://foursquare.com/v/4f8dc4f6e4b0a7ee5a9e3af5","City of Niagara Falls, NY ")</f>
        <v>City of Niagara Falls, NY </v>
      </c>
      <c r="E1886" t="str">
        <f>IFERROR(__xludf.DUMMYFUNCTION("REGEXEXTRACT(FORMULATEXT(D1886),""center=([-0-9.]+,[-0-9.]+)"")"),"#N/A")</f>
        <v>#N/A</v>
      </c>
    </row>
    <row r="1887">
      <c r="A1887" s="4" t="s">
        <v>1892</v>
      </c>
      <c r="B1887" s="1" t="s">
        <v>1101</v>
      </c>
      <c r="C1887" s="2" t="str">
        <f>HYPERLINK("http://4sq.com/4RtZ7y","Walmart Supercenter ")</f>
        <v>Walmart Supercenter </v>
      </c>
      <c r="E1887" t="str">
        <f>IFERROR(__xludf.DUMMYFUNCTION("REGEXEXTRACT(FORMULATEXT(D1887),""center=([-0-9.]+,[-0-9.]+)"")"),"#N/A")</f>
        <v>#N/A</v>
      </c>
    </row>
    <row r="1888">
      <c r="A1888" s="4" t="s">
        <v>1893</v>
      </c>
      <c r="B1888" s="1" t="s">
        <v>1101</v>
      </c>
      <c r="C1888" s="2" t="str">
        <f>HYPERLINK("http://4sq.com/hjdY1v","Kwik Fill ")</f>
        <v>Kwik Fill </v>
      </c>
      <c r="E1888" t="str">
        <f>IFERROR(__xludf.DUMMYFUNCTION("REGEXEXTRACT(FORMULATEXT(D1888),""center=([-0-9.]+,[-0-9.]+)"")"),"#N/A")</f>
        <v>#N/A</v>
      </c>
    </row>
    <row r="1889">
      <c r="A1889" s="4" t="s">
        <v>1894</v>
      </c>
      <c r="B1889" s="1" t="s">
        <v>1101</v>
      </c>
      <c r="C1889" s="2" t="str">
        <f>HYPERLINK("http://4sq.com/bfbMCV","Holiday Inn Express Cleveland Downtown ")</f>
        <v>Holiday Inn Express Cleveland Downtown </v>
      </c>
      <c r="E1889" t="str">
        <f>IFERROR(__xludf.DUMMYFUNCTION("REGEXEXTRACT(FORMULATEXT(D1889),""center=([-0-9.]+,[-0-9.]+)"")"),"#N/A")</f>
        <v>#N/A</v>
      </c>
    </row>
    <row r="1890">
      <c r="A1890" s="4" t="s">
        <v>1895</v>
      </c>
      <c r="B1890" s="1" t="s">
        <v>1101</v>
      </c>
      <c r="C1890" s="2" t="str">
        <f>HYPERLINK("http://4sq.com/aZPYQA","5th Street Arcades ")</f>
        <v>5th Street Arcades </v>
      </c>
      <c r="E1890" t="str">
        <f>IFERROR(__xludf.DUMMYFUNCTION("REGEXEXTRACT(FORMULATEXT(D1890),""center=([-0-9.]+,[-0-9.]+)"")"),"#N/A")</f>
        <v>#N/A</v>
      </c>
    </row>
    <row r="1891">
      <c r="A1891" s="4" t="s">
        <v>1896</v>
      </c>
      <c r="B1891" s="1" t="s">
        <v>1101</v>
      </c>
      <c r="C1891" s="2" t="str">
        <f>HYPERLINK("http://4sq.com/7qOVig","The Arcade Cleveland ")</f>
        <v>The Arcade Cleveland </v>
      </c>
      <c r="E1891" t="str">
        <f>IFERROR(__xludf.DUMMYFUNCTION("REGEXEXTRACT(FORMULATEXT(D1891),""center=([-0-9.]+,[-0-9.]+)"")"),"#N/A")</f>
        <v>#N/A</v>
      </c>
    </row>
    <row r="1892">
      <c r="A1892" s="4" t="s">
        <v>1897</v>
      </c>
      <c r="B1892" s="1" t="s">
        <v>1101</v>
      </c>
      <c r="C1892" s="2" t="str">
        <f>HYPERLINK("http://4sq.com/c2loRD","Federal Reserve Bank of Cleveland / Learning Center &amp; Money Museum ")</f>
        <v>Federal Reserve Bank of Cleveland / Learning Center &amp; Money Museum </v>
      </c>
      <c r="E1892" t="str">
        <f>IFERROR(__xludf.DUMMYFUNCTION("REGEXEXTRACT(FORMULATEXT(D1892),""center=([-0-9.]+,[-0-9.]+)"")"),"#N/A")</f>
        <v>#N/A</v>
      </c>
    </row>
    <row r="1893">
      <c r="A1893" s="4" t="s">
        <v>1898</v>
      </c>
      <c r="B1893" s="1" t="s">
        <v>1101</v>
      </c>
      <c r="C1893" s="2" t="str">
        <f>HYPERLINK("http://4sq.com/aZPYQA","5th Street Arcades ")</f>
        <v>5th Street Arcades </v>
      </c>
      <c r="E1893" t="str">
        <f>IFERROR(__xludf.DUMMYFUNCTION("REGEXEXTRACT(FORMULATEXT(D1893),""center=([-0-9.]+,[-0-9.]+)"")"),"#N/A")</f>
        <v>#N/A</v>
      </c>
    </row>
    <row r="1894">
      <c r="A1894" s="4" t="s">
        <v>1899</v>
      </c>
      <c r="B1894" s="1" t="s">
        <v>1101</v>
      </c>
      <c r="C1894" s="2" t="str">
        <f>HYPERLINK("http://4sq.com/8XVB9B","Eastman Reading Garden ")</f>
        <v>Eastman Reading Garden </v>
      </c>
      <c r="E1894" t="str">
        <f>IFERROR(__xludf.DUMMYFUNCTION("REGEXEXTRACT(FORMULATEXT(D1894),""center=([-0-9.]+,[-0-9.]+)"")"),"#N/A")</f>
        <v>#N/A</v>
      </c>
    </row>
    <row r="1895">
      <c r="A1895" s="4" t="s">
        <v>1900</v>
      </c>
      <c r="B1895" s="1" t="s">
        <v>1101</v>
      </c>
      <c r="C1895" s="2" t="str">
        <f>HYPERLINK("http://4sq.com/9Ll47O","Cleveland Public Library - Main Branch ")</f>
        <v>Cleveland Public Library - Main Branch </v>
      </c>
      <c r="E1895" t="str">
        <f>IFERROR(__xludf.DUMMYFUNCTION("REGEXEXTRACT(FORMULATEXT(D1895),""center=([-0-9.]+,[-0-9.]+)"")"),"#N/A")</f>
        <v>#N/A</v>
      </c>
    </row>
    <row r="1896">
      <c r="A1896" s="4" t="s">
        <v>1901</v>
      </c>
      <c r="B1896" s="1" t="s">
        <v>1101</v>
      </c>
      <c r="C1896" s="2" t="str">
        <f>HYPERLINK("http://4sq.com/6ZtX9t","Dave's Cosmic Subs ")</f>
        <v>Dave's Cosmic Subs </v>
      </c>
      <c r="E1896" t="str">
        <f>IFERROR(__xludf.DUMMYFUNCTION("REGEXEXTRACT(FORMULATEXT(D1896),""center=([-0-9.]+,[-0-9.]+)"")"),"#N/A")</f>
        <v>#N/A</v>
      </c>
    </row>
    <row r="1897">
      <c r="A1897" s="4" t="s">
        <v>1902</v>
      </c>
      <c r="B1897" s="1" t="s">
        <v>1101</v>
      </c>
      <c r="C1897" s="2" t="str">
        <f>HYPERLINK("http://4sq.com/aWTs5M","Castaway Bay Resort ")</f>
        <v>Castaway Bay Resort </v>
      </c>
      <c r="E1897" t="str">
        <f>IFERROR(__xludf.DUMMYFUNCTION("REGEXEXTRACT(FORMULATEXT(D1897),""center=([-0-9.]+,[-0-9.]+)"")"),"#N/A")</f>
        <v>#N/A</v>
      </c>
    </row>
    <row r="1898">
      <c r="A1898" s="4" t="s">
        <v>1903</v>
      </c>
      <c r="B1898" s="1" t="s">
        <v>1101</v>
      </c>
      <c r="C1898" s="2" t="str">
        <f>HYPERLINK("http://4sq.com/k2ZSt1","Rest Area 2-04 ")</f>
        <v>Rest Area 2-04 </v>
      </c>
      <c r="E1898" t="str">
        <f>IFERROR(__xludf.DUMMYFUNCTION("REGEXEXTRACT(FORMULATEXT(D1898),""center=([-0-9.]+,[-0-9.]+)"")"),"#N/A")</f>
        <v>#N/A</v>
      </c>
    </row>
    <row r="1899">
      <c r="A1899" s="4" t="s">
        <v>1904</v>
      </c>
      <c r="B1899" s="1" t="s">
        <v>1101</v>
      </c>
      <c r="C1899" s="2" t="str">
        <f>HYPERLINK("http://4sq.com/1MnHfBv","Noodles &amp; Company ")</f>
        <v>Noodles &amp; Company </v>
      </c>
      <c r="E1899" t="str">
        <f>IFERROR(__xludf.DUMMYFUNCTION("REGEXEXTRACT(FORMULATEXT(D1899),""center=([-0-9.]+,[-0-9.]+)"")"),"#N/A")</f>
        <v>#N/A</v>
      </c>
    </row>
    <row r="1900">
      <c r="A1900" s="4" t="s">
        <v>1905</v>
      </c>
      <c r="B1900" s="1" t="s">
        <v>1101</v>
      </c>
      <c r="C1900" s="2" t="str">
        <f>HYPERLINK("http://4sq.com/c9P1NX","Mobil ")</f>
        <v>Mobil </v>
      </c>
      <c r="E1900" t="str">
        <f>IFERROR(__xludf.DUMMYFUNCTION("REGEXEXTRACT(FORMULATEXT(D1900),""center=([-0-9.]+,[-0-9.]+)"")"),"#N/A")</f>
        <v>#N/A</v>
      </c>
    </row>
    <row r="1901">
      <c r="A1901" s="4" t="s">
        <v>1906</v>
      </c>
      <c r="B1901" s="1" t="s">
        <v>1101</v>
      </c>
      <c r="C1901" s="2" t="str">
        <f>HYPERLINK("http://4sq.com/jYpuqG","Ludington North Breakwater Lighthouse ")</f>
        <v>Ludington North Breakwater Lighthouse </v>
      </c>
      <c r="E1901" t="str">
        <f>IFERROR(__xludf.DUMMYFUNCTION("REGEXEXTRACT(FORMULATEXT(D1901),""center=([-0-9.]+,[-0-9.]+)"")"),"#N/A")</f>
        <v>#N/A</v>
      </c>
    </row>
    <row r="1902">
      <c r="A1902" s="4" t="s">
        <v>1907</v>
      </c>
      <c r="B1902" s="1" t="s">
        <v>1101</v>
      </c>
      <c r="C1902" s="2" t="str">
        <f>HYPERLINK("http://4sq.com/jLGAA7","Ludington Beach ")</f>
        <v>Ludington Beach </v>
      </c>
      <c r="E1902" t="str">
        <f>IFERROR(__xludf.DUMMYFUNCTION("REGEXEXTRACT(FORMULATEXT(D1902),""center=([-0-9.]+,[-0-9.]+)"")"),"#N/A")</f>
        <v>#N/A</v>
      </c>
    </row>
    <row r="1903">
      <c r="A1903" s="4" t="s">
        <v>1908</v>
      </c>
      <c r="B1903" s="1" t="s">
        <v>1101</v>
      </c>
      <c r="C1903" s="2" t="str">
        <f>HYPERLINK("http://4sq.com/2so8Mis","Lighthouse Motel ")</f>
        <v>Lighthouse Motel </v>
      </c>
      <c r="E1903" t="str">
        <f>IFERROR(__xludf.DUMMYFUNCTION("REGEXEXTRACT(FORMULATEXT(D1903),""center=([-0-9.]+,[-0-9.]+)"")"),"#N/A")</f>
        <v>#N/A</v>
      </c>
    </row>
    <row r="1904">
      <c r="A1904" s="4" t="s">
        <v>1909</v>
      </c>
      <c r="B1904" s="1" t="s">
        <v>1101</v>
      </c>
      <c r="C1904" s="2" t="str">
        <f>HYPERLINK("http://4sq.com/aN4sFu","SS Badger - Ludington ")</f>
        <v>SS Badger - Ludington </v>
      </c>
      <c r="E1904" t="str">
        <f>IFERROR(__xludf.DUMMYFUNCTION("REGEXEXTRACT(FORMULATEXT(D1904),""center=([-0-9.]+,[-0-9.]+)"")"),"#N/A")</f>
        <v>#N/A</v>
      </c>
    </row>
    <row r="1905">
      <c r="A1905" s="4" t="s">
        <v>1910</v>
      </c>
      <c r="B1905" s="1" t="s">
        <v>1101</v>
      </c>
      <c r="C1905" s="2" t="str">
        <f>HYPERLINK("http://4sq.com/9U2Mbz","Cedar Crest ice cream ")</f>
        <v>Cedar Crest ice cream </v>
      </c>
      <c r="E1905" t="str">
        <f>IFERROR(__xludf.DUMMYFUNCTION("REGEXEXTRACT(FORMULATEXT(D1905),""center=([-0-9.]+,[-0-9.]+)"")"),"#N/A")</f>
        <v>#N/A</v>
      </c>
    </row>
    <row r="1906">
      <c r="A1906" s="4" t="s">
        <v>1911</v>
      </c>
      <c r="B1906" s="1" t="s">
        <v>1101</v>
      </c>
      <c r="C1906" s="2" t="str">
        <f>HYPERLINK("http://4sq.com/fQH82K","Menards ")</f>
        <v>Menards </v>
      </c>
      <c r="E1906" t="str">
        <f>IFERROR(__xludf.DUMMYFUNCTION("REGEXEXTRACT(FORMULATEXT(D1906),""center=([-0-9.]+,[-0-9.]+)"")"),"#N/A")</f>
        <v>#N/A</v>
      </c>
    </row>
    <row r="1907">
      <c r="A1907" s="4" t="s">
        <v>1912</v>
      </c>
      <c r="B1907" s="1" t="s">
        <v>1101</v>
      </c>
      <c r="C1907" s="2" t="str">
        <f>HYPERLINK("http://4sq.com/13HVwxu","Dublin's ")</f>
        <v>Dublin's </v>
      </c>
      <c r="E1907" t="str">
        <f>IFERROR(__xludf.DUMMYFUNCTION("REGEXEXTRACT(FORMULATEXT(D1907),""center=([-0-9.]+,[-0-9.]+)"")"),"#N/A")</f>
        <v>#N/A</v>
      </c>
    </row>
    <row r="1908">
      <c r="A1908" s="4" t="s">
        <v>1913</v>
      </c>
      <c r="B1908" s="1" t="s">
        <v>1101</v>
      </c>
      <c r="C1908" s="2" t="str">
        <f>HYPERLINK("http://4sq.com/9CsjyQ","Coffee Corner ")</f>
        <v>Coffee Corner </v>
      </c>
      <c r="E1908" t="str">
        <f>IFERROR(__xludf.DUMMYFUNCTION("REGEXEXTRACT(FORMULATEXT(D1908),""center=([-0-9.]+,[-0-9.]+)"")"),"#N/A")</f>
        <v>#N/A</v>
      </c>
    </row>
    <row r="1909">
      <c r="A1909" s="4" t="s">
        <v>1914</v>
      </c>
      <c r="B1909" s="1" t="s">
        <v>1101</v>
      </c>
      <c r="C1909" s="2" t="str">
        <f>HYPERLINK("http://4sq.com/cnE1Wq","Horicon Marsh Education and Visitor Center ")</f>
        <v>Horicon Marsh Education and Visitor Center </v>
      </c>
      <c r="E1909" t="str">
        <f>IFERROR(__xludf.DUMMYFUNCTION("REGEXEXTRACT(FORMULATEXT(D1909),""center=([-0-9.]+,[-0-9.]+)"")"),"#N/A")</f>
        <v>#N/A</v>
      </c>
    </row>
    <row r="1910">
      <c r="A1910" s="4" t="s">
        <v>1915</v>
      </c>
      <c r="B1910" s="1" t="s">
        <v>1101</v>
      </c>
      <c r="C1910" s="2" t="str">
        <f>HYPERLINK("http://4sq.com/9aavzD","Piggly Wiggly ")</f>
        <v>Piggly Wiggly </v>
      </c>
      <c r="E1910" t="str">
        <f>IFERROR(__xludf.DUMMYFUNCTION("REGEXEXTRACT(FORMULATEXT(D1910),""center=([-0-9.]+,[-0-9.]+)"")"),"#N/A")</f>
        <v>#N/A</v>
      </c>
    </row>
    <row r="1911">
      <c r="A1911" s="4" t="s">
        <v>1916</v>
      </c>
      <c r="B1911" s="1" t="s">
        <v>1101</v>
      </c>
      <c r="C1911" s="2" t="str">
        <f>HYPERLINK("http://4sq.com/GXROKz","Kewaskum, WI ")</f>
        <v>Kewaskum, WI </v>
      </c>
      <c r="E1911" t="str">
        <f>IFERROR(__xludf.DUMMYFUNCTION("REGEXEXTRACT(FORMULATEXT(D1911),""center=([-0-9.]+,[-0-9.]+)"")"),"#N/A")</f>
        <v>#N/A</v>
      </c>
    </row>
    <row r="1912">
      <c r="A1912" s="4" t="s">
        <v>1917</v>
      </c>
      <c r="B1912" s="1" t="s">
        <v>1101</v>
      </c>
      <c r="C1912" s="2" t="str">
        <f>HYPERLINK("http://4sq.com/baQYiS","River Hill Park ")</f>
        <v>River Hill Park </v>
      </c>
      <c r="E1912" t="str">
        <f>IFERROR(__xludf.DUMMYFUNCTION("REGEXEXTRACT(FORMULATEXT(D1912),""center=([-0-9.]+,[-0-9.]+)"")"),"#N/A")</f>
        <v>#N/A</v>
      </c>
    </row>
    <row r="1913">
      <c r="A1913" s="4" t="s">
        <v>1918</v>
      </c>
      <c r="B1913" s="1" t="s">
        <v>1101</v>
      </c>
      <c r="C1913" s="2" t="str">
        <f>HYPERLINK("http://4sq.com/7smMlH","Milwaukee Art Museum ")</f>
        <v>Milwaukee Art Museum </v>
      </c>
      <c r="E1913" t="str">
        <f>IFERROR(__xludf.DUMMYFUNCTION("REGEXEXTRACT(FORMULATEXT(D1913),""center=([-0-9.]+,[-0-9.]+)"")"),"#N/A")</f>
        <v>#N/A</v>
      </c>
    </row>
    <row r="1914">
      <c r="A1914" s="4" t="s">
        <v>1919</v>
      </c>
      <c r="B1914" s="1" t="s">
        <v>1101</v>
      </c>
      <c r="C1914" s="2" t="str">
        <f>HYPERLINK("http://4sq.com/bfvoyW","Henry Maier Festival Park ")</f>
        <v>Henry Maier Festival Park </v>
      </c>
      <c r="E1914" t="str">
        <f>IFERROR(__xludf.DUMMYFUNCTION("REGEXEXTRACT(FORMULATEXT(D1914),""center=([-0-9.]+,[-0-9.]+)"")"),"#N/A")</f>
        <v>#N/A</v>
      </c>
    </row>
    <row r="1915">
      <c r="A1915" s="4" t="s">
        <v>1920</v>
      </c>
      <c r="B1915" s="1" t="s">
        <v>1101</v>
      </c>
      <c r="C1915" s="2" t="str">
        <f>HYPERLINK("http://4sq.com/cNXxVt","Northwestern Mutual Children's Theater &amp; Playzone ")</f>
        <v>Northwestern Mutual Children's Theater &amp; Playzone </v>
      </c>
      <c r="E1915" t="str">
        <f>IFERROR(__xludf.DUMMYFUNCTION("REGEXEXTRACT(FORMULATEXT(D1915),""center=([-0-9.]+,[-0-9.]+)"")"),"#N/A")</f>
        <v>#N/A</v>
      </c>
    </row>
    <row r="1916">
      <c r="A1916" s="4" t="s">
        <v>1921</v>
      </c>
      <c r="B1916" s="1" t="s">
        <v>1101</v>
      </c>
      <c r="C1916" s="2" t="str">
        <f>HYPERLINK("http://4sq.com/f3yi7","EE-Sane Thai-Lao Cuisine ")</f>
        <v>EE-Sane Thai-Lao Cuisine </v>
      </c>
      <c r="E1916" t="str">
        <f>IFERROR(__xludf.DUMMYFUNCTION("REGEXEXTRACT(FORMULATEXT(D1916),""center=([-0-9.]+,[-0-9.]+)"")"),"#N/A")</f>
        <v>#N/A</v>
      </c>
    </row>
    <row r="1917">
      <c r="A1917" s="4" t="s">
        <v>1922</v>
      </c>
      <c r="B1917" s="1" t="s">
        <v>1101</v>
      </c>
      <c r="C1917" s="2" t="str">
        <f>HYPERLINK("http://4sq.com/9CsjyQ","Coffee Corner ")</f>
        <v>Coffee Corner </v>
      </c>
      <c r="E1917" t="str">
        <f>IFERROR(__xludf.DUMMYFUNCTION("REGEXEXTRACT(FORMULATEXT(D1917),""center=([-0-9.]+,[-0-9.]+)"")"),"#N/A")</f>
        <v>#N/A</v>
      </c>
    </row>
    <row r="1918">
      <c r="A1918" s="4" t="s">
        <v>1923</v>
      </c>
      <c r="B1918" s="1" t="s">
        <v>1101</v>
      </c>
      <c r="C1918" s="2" t="str">
        <f>HYPERLINK("http://4sq.com/kzVTUy","Kewaskum Public Library ")</f>
        <v>Kewaskum Public Library </v>
      </c>
      <c r="E1918" t="str">
        <f>IFERROR(__xludf.DUMMYFUNCTION("REGEXEXTRACT(FORMULATEXT(D1918),""center=([-0-9.]+,[-0-9.]+)"")"),"#N/A")</f>
        <v>#N/A</v>
      </c>
    </row>
    <row r="1919">
      <c r="A1919" s="4" t="s">
        <v>1924</v>
      </c>
      <c r="B1919" s="1" t="s">
        <v>1101</v>
      </c>
      <c r="C1919" s="2" t="str">
        <f>HYPERLINK("http://4sq.com/8I9vhN","California Pizza Kitchen ")</f>
        <v>California Pizza Kitchen </v>
      </c>
      <c r="E1919" t="str">
        <f>IFERROR(__xludf.DUMMYFUNCTION("REGEXEXTRACT(FORMULATEXT(D1919),""center=([-0-9.]+,[-0-9.]+)"")"),"#N/A")</f>
        <v>#N/A</v>
      </c>
    </row>
    <row r="1920">
      <c r="A1920" s="4" t="s">
        <v>1925</v>
      </c>
      <c r="B1920" s="1" t="s">
        <v>1101</v>
      </c>
      <c r="C1920" s="2" t="str">
        <f>HYPERLINK("http://4sq.com/c3Sj5c","Walmart Supercenter ")</f>
        <v>Walmart Supercenter </v>
      </c>
      <c r="E1920" t="str">
        <f>IFERROR(__xludf.DUMMYFUNCTION("REGEXEXTRACT(FORMULATEXT(D1920),""center=([-0-9.]+,[-0-9.]+)"")"),"#N/A")</f>
        <v>#N/A</v>
      </c>
    </row>
    <row r="1921">
      <c r="A1921" s="4" t="s">
        <v>1926</v>
      </c>
      <c r="B1921" s="1" t="s">
        <v>1101</v>
      </c>
      <c r="C1921" s="2" t="str">
        <f>HYPERLINK("http://4sq.com/90XXf4","Piggly Wiggly ")</f>
        <v>Piggly Wiggly </v>
      </c>
      <c r="E1921" t="str">
        <f>IFERROR(__xludf.DUMMYFUNCTION("REGEXEXTRACT(FORMULATEXT(D1921),""center=([-0-9.]+,[-0-9.]+)"")"),"#N/A")</f>
        <v>#N/A</v>
      </c>
    </row>
    <row r="1922">
      <c r="A1922" s="4" t="s">
        <v>1927</v>
      </c>
      <c r="B1922" s="1" t="s">
        <v>1101</v>
      </c>
      <c r="C1922" s="2" t="str">
        <f>HYPERLINK("http://4sq.com/99LHqb","Cedar Valley Cheese Factory ")</f>
        <v>Cedar Valley Cheese Factory </v>
      </c>
      <c r="E1922" t="str">
        <f>IFERROR(__xludf.DUMMYFUNCTION("REGEXEXTRACT(FORMULATEXT(D1922),""center=([-0-9.]+,[-0-9.]+)"")"),"#N/A")</f>
        <v>#N/A</v>
      </c>
    </row>
    <row r="1923">
      <c r="A1923" s="4" t="s">
        <v>1928</v>
      </c>
      <c r="B1923" s="1" t="s">
        <v>1101</v>
      </c>
      <c r="C1923" s="2" t="str">
        <f>HYPERLINK("http://4sq.com/91JRP0","Speedway ")</f>
        <v>Speedway </v>
      </c>
      <c r="E1923" t="str">
        <f>IFERROR(__xludf.DUMMYFUNCTION("REGEXEXTRACT(FORMULATEXT(D1923),""center=([-0-9.]+,[-0-9.]+)"")"),"#N/A")</f>
        <v>#N/A</v>
      </c>
    </row>
    <row r="1924">
      <c r="A1924" s="4" t="s">
        <v>1929</v>
      </c>
      <c r="B1924" s="1" t="s">
        <v>1101</v>
      </c>
      <c r="C1924" s="2" t="str">
        <f>HYPERLINK("http://4sq.com/as4m8F","IHOP ")</f>
        <v>IHOP </v>
      </c>
      <c r="E1924" t="str">
        <f>IFERROR(__xludf.DUMMYFUNCTION("REGEXEXTRACT(FORMULATEXT(D1924),""center=([-0-9.]+,[-0-9.]+)"")"),"#N/A")</f>
        <v>#N/A</v>
      </c>
    </row>
    <row r="1925">
      <c r="A1925" s="4" t="s">
        <v>1930</v>
      </c>
      <c r="B1925" s="1" t="s">
        <v>1101</v>
      </c>
      <c r="C1925" s="2" t="str">
        <f>HYPERLINK("http://4sq.com/9iSYDt","Avis Car Rental ")</f>
        <v>Avis Car Rental </v>
      </c>
      <c r="E1925" t="str">
        <f>IFERROR(__xludf.DUMMYFUNCTION("REGEXEXTRACT(FORMULATEXT(D1925),""center=([-0-9.]+,[-0-9.]+)"")"),"#N/A")</f>
        <v>#N/A</v>
      </c>
    </row>
    <row r="1926">
      <c r="A1926" s="4" t="s">
        <v>1931</v>
      </c>
      <c r="B1926" s="1" t="s">
        <v>1101</v>
      </c>
      <c r="C1926" s="2" t="str">
        <f>HYPERLINK("http://4sq.com/aysD5U","Southern Wisconsin Veterans Memorial Cemetery ")</f>
        <v>Southern Wisconsin Veterans Memorial Cemetery </v>
      </c>
      <c r="E1926" t="str">
        <f>IFERROR(__xludf.DUMMYFUNCTION("REGEXEXTRACT(FORMULATEXT(D1926),""center=([-0-9.]+,[-0-9.]+)"")"),"#N/A")</f>
        <v>#N/A</v>
      </c>
    </row>
    <row r="1927">
      <c r="A1927" s="4" t="s">
        <v>1932</v>
      </c>
      <c r="B1927" s="1" t="s">
        <v>1101</v>
      </c>
      <c r="C1927" s="2" t="str">
        <f>HYPERLINK("http://4sq.com/1fIQblO","Bass Bay Brew House ")</f>
        <v>Bass Bay Brew House </v>
      </c>
      <c r="E1927" t="str">
        <f>IFERROR(__xludf.DUMMYFUNCTION("REGEXEXTRACT(FORMULATEXT(D1927),""center=([-0-9.]+,[-0-9.]+)"")"),"#N/A")</f>
        <v>#N/A</v>
      </c>
    </row>
    <row r="1928">
      <c r="A1928" s="4" t="s">
        <v>1933</v>
      </c>
      <c r="B1928" s="1" t="s">
        <v>1101</v>
      </c>
      <c r="C1928" s="2" t="str">
        <f>HYPERLINK("http://4sq.com/2uFFkSq","The Hub ")</f>
        <v>The Hub </v>
      </c>
      <c r="E1928" t="str">
        <f>IFERROR(__xludf.DUMMYFUNCTION("REGEXEXTRACT(FORMULATEXT(D1928),""center=([-0-9.]+,[-0-9.]+)"")"),"#N/A")</f>
        <v>#N/A</v>
      </c>
    </row>
    <row r="1929">
      <c r="A1929" s="4" t="s">
        <v>1934</v>
      </c>
      <c r="B1929" s="1" t="s">
        <v>1101</v>
      </c>
      <c r="C1929" s="2" t="str">
        <f>HYPERLINK("http://4sq.com/kzVTUy","Kewaskum Public Library ")</f>
        <v>Kewaskum Public Library </v>
      </c>
      <c r="E1929" t="str">
        <f>IFERROR(__xludf.DUMMYFUNCTION("REGEXEXTRACT(FORMULATEXT(D1929),""center=([-0-9.]+,[-0-9.]+)"")"),"#N/A")</f>
        <v>#N/A</v>
      </c>
    </row>
    <row r="1930">
      <c r="A1930" s="4" t="s">
        <v>1935</v>
      </c>
      <c r="B1930" s="1" t="s">
        <v>1101</v>
      </c>
      <c r="C1930" s="2" t="str">
        <f>HYPERLINK("http://4sq.com/bcB5rr","Harbor Hills Bowling Lanes ")</f>
        <v>Harbor Hills Bowling Lanes </v>
      </c>
      <c r="E1930" t="str">
        <f>IFERROR(__xludf.DUMMYFUNCTION("REGEXEXTRACT(FORMULATEXT(D1930),""center=([-0-9.]+,[-0-9.]+)"")"),"#N/A")</f>
        <v>#N/A</v>
      </c>
    </row>
    <row r="1931">
      <c r="A1931" s="4" t="s">
        <v>1936</v>
      </c>
      <c r="B1931" s="1" t="s">
        <v>1101</v>
      </c>
      <c r="C1931" s="2" t="str">
        <f>HYPERLINK("http://4sq.com/kzVTUy","Kewaskum Public Library ")</f>
        <v>Kewaskum Public Library </v>
      </c>
      <c r="E1931" t="str">
        <f>IFERROR(__xludf.DUMMYFUNCTION("REGEXEXTRACT(FORMULATEXT(D1931),""center=([-0-9.]+,[-0-9.]+)"")"),"#N/A")</f>
        <v>#N/A</v>
      </c>
    </row>
    <row r="1932">
      <c r="A1932" s="4" t="s">
        <v>1937</v>
      </c>
      <c r="B1932" s="1" t="s">
        <v>1101</v>
      </c>
      <c r="C1932" s="2" t="str">
        <f>HYPERLINK("http://4sq.com/99LHqb","Cedar Valley Cheese Factory ")</f>
        <v>Cedar Valley Cheese Factory </v>
      </c>
      <c r="E1932" t="str">
        <f>IFERROR(__xludf.DUMMYFUNCTION("REGEXEXTRACT(FORMULATEXT(D1932),""center=([-0-9.]+,[-0-9.]+)"")"),"#N/A")</f>
        <v>#N/A</v>
      </c>
    </row>
    <row r="1933">
      <c r="A1933" s="4" t="s">
        <v>1938</v>
      </c>
      <c r="B1933" s="1" t="s">
        <v>1101</v>
      </c>
      <c r="C1933" s="2" t="str">
        <f>HYPERLINK("http://4sq.com/56h9fn","General Mitchell International Airport (MKE) ")</f>
        <v>General Mitchell International Airport (MKE) </v>
      </c>
      <c r="E1933" t="str">
        <f>IFERROR(__xludf.DUMMYFUNCTION("REGEXEXTRACT(FORMULATEXT(D1933),""center=([-0-9.]+,[-0-9.]+)"")"),"#N/A")</f>
        <v>#N/A</v>
      </c>
    </row>
    <row r="1934">
      <c r="A1934" s="4" t="s">
        <v>1939</v>
      </c>
      <c r="B1934" s="1" t="s">
        <v>1101</v>
      </c>
      <c r="C1934" s="2" t="str">
        <f>HYPERLINK("http://4sq.com/jVvFJH","Mills Fleet Farm ")</f>
        <v>Mills Fleet Farm </v>
      </c>
      <c r="E1934" t="str">
        <f>IFERROR(__xludf.DUMMYFUNCTION("REGEXEXTRACT(FORMULATEXT(D1934),""center=([-0-9.]+,[-0-9.]+)"")"),"#N/A")</f>
        <v>#N/A</v>
      </c>
    </row>
    <row r="1935">
      <c r="A1935" s="4" t="s">
        <v>1940</v>
      </c>
      <c r="B1935" s="1" t="s">
        <v>1101</v>
      </c>
      <c r="C1935" s="2" t="str">
        <f>HYPERLINK("http://4sq.com/2uFFkSq","The Hub ")</f>
        <v>The Hub </v>
      </c>
      <c r="E1935" t="str">
        <f>IFERROR(__xludf.DUMMYFUNCTION("REGEXEXTRACT(FORMULATEXT(D1935),""center=([-0-9.]+,[-0-9.]+)"")"),"#N/A")</f>
        <v>#N/A</v>
      </c>
    </row>
    <row r="1936">
      <c r="A1936" s="4" t="s">
        <v>1941</v>
      </c>
      <c r="B1936" s="1" t="s">
        <v>1101</v>
      </c>
      <c r="C1936" s="2" t="str">
        <f>HYPERLINK("http://4sq.com/dcs5Dp","D. E. O'Malley's Pizza Pub ")</f>
        <v>D. E. O'Malley's Pizza Pub </v>
      </c>
      <c r="E1936" t="str">
        <f>IFERROR(__xludf.DUMMYFUNCTION("REGEXEXTRACT(FORMULATEXT(D1936),""center=([-0-9.]+,[-0-9.]+)"")"),"#N/A")</f>
        <v>#N/A</v>
      </c>
    </row>
    <row r="1937">
      <c r="A1937" s="4" t="s">
        <v>1942</v>
      </c>
      <c r="B1937" s="1" t="s">
        <v>1101</v>
      </c>
      <c r="C1937" s="2" t="str">
        <f>HYPERLINK("http://4sq.com/aSQdH2","Upper Lake Park ")</f>
        <v>Upper Lake Park </v>
      </c>
      <c r="E1937" t="str">
        <f>IFERROR(__xludf.DUMMYFUNCTION("REGEXEXTRACT(FORMULATEXT(D1937),""center=([-0-9.]+,[-0-9.]+)"")"),"#N/A")</f>
        <v>#N/A</v>
      </c>
    </row>
    <row r="1938">
      <c r="A1938" s="4" t="s">
        <v>1943</v>
      </c>
      <c r="B1938" s="1" t="s">
        <v>1101</v>
      </c>
      <c r="C1938" s="2" t="str">
        <f>HYPERLINK("http://4sq.com/yFnsES","Possibility Playground ")</f>
        <v>Possibility Playground </v>
      </c>
      <c r="E1938" t="str">
        <f>IFERROR(__xludf.DUMMYFUNCTION("REGEXEXTRACT(FORMULATEXT(D1938),""center=([-0-9.]+,[-0-9.]+)"")"),"#N/A")</f>
        <v>#N/A</v>
      </c>
    </row>
    <row r="1939">
      <c r="A1939" s="4" t="s">
        <v>1944</v>
      </c>
      <c r="B1939" s="1" t="s">
        <v>1101</v>
      </c>
      <c r="C1939" s="2" t="str">
        <f>HYPERLINK("http://4sq.com/bhHG2O","Schooner Pub ")</f>
        <v>Schooner Pub </v>
      </c>
      <c r="E1939" t="str">
        <f>IFERROR(__xludf.DUMMYFUNCTION("REGEXEXTRACT(FORMULATEXT(D1939),""center=([-0-9.]+,[-0-9.]+)"")"),"#N/A")</f>
        <v>#N/A</v>
      </c>
    </row>
    <row r="1940">
      <c r="A1940" s="4" t="s">
        <v>1945</v>
      </c>
      <c r="B1940" s="1" t="s">
        <v>1101</v>
      </c>
      <c r="C1940" s="2" t="str">
        <f>HYPERLINK("http://4sq.com/l1G0jA","Fingers Parking Lot ")</f>
        <v>Fingers Parking Lot </v>
      </c>
      <c r="E1940" t="str">
        <f>IFERROR(__xludf.DUMMYFUNCTION("REGEXEXTRACT(FORMULATEXT(D1940),""center=([-0-9.]+,[-0-9.]+)"")"),"#N/A")</f>
        <v>#N/A</v>
      </c>
    </row>
    <row r="1941">
      <c r="A1941" s="4" t="s">
        <v>1946</v>
      </c>
      <c r="B1941" s="1" t="s">
        <v>1101</v>
      </c>
      <c r="C1941" s="2" t="str">
        <f>HYPERLINK("http://4sq.com/6QG1QO","Beans &amp; Barley ")</f>
        <v>Beans &amp; Barley </v>
      </c>
      <c r="E1941" t="str">
        <f>IFERROR(__xludf.DUMMYFUNCTION("REGEXEXTRACT(FORMULATEXT(D1941),""center=([-0-9.]+,[-0-9.]+)"")"),"#N/A")</f>
        <v>#N/A</v>
      </c>
    </row>
    <row r="1942">
      <c r="A1942" s="4" t="s">
        <v>1947</v>
      </c>
      <c r="B1942" s="1" t="s">
        <v>1101</v>
      </c>
      <c r="C1942" s="2" t="str">
        <f>HYPERLINK("http://4sq.com/chnGpk","Milwaukee Public Library - East ")</f>
        <v>Milwaukee Public Library - East </v>
      </c>
      <c r="E1942" t="str">
        <f>IFERROR(__xludf.DUMMYFUNCTION("REGEXEXTRACT(FORMULATEXT(D1942),""center=([-0-9.]+,[-0-9.]+)"")"),"#N/A")</f>
        <v>#N/A</v>
      </c>
    </row>
    <row r="1943">
      <c r="A1943" s="4" t="s">
        <v>1948</v>
      </c>
      <c r="B1943" s="1" t="s">
        <v>1101</v>
      </c>
      <c r="C1943" s="2" t="str">
        <f>HYPERLINK("http://4sq.com/7ijteA","Ma Fischer's ")</f>
        <v>Ma Fischer's </v>
      </c>
      <c r="E1943" t="str">
        <f>IFERROR(__xludf.DUMMYFUNCTION("REGEXEXTRACT(FORMULATEXT(D1943),""center=([-0-9.]+,[-0-9.]+)"")"),"#N/A")</f>
        <v>#N/A</v>
      </c>
    </row>
    <row r="1944">
      <c r="A1944" s="4" t="s">
        <v>1949</v>
      </c>
      <c r="B1944" s="1" t="s">
        <v>1101</v>
      </c>
      <c r="C1944" s="2" t="str">
        <f>HYPERLINK("http://4sq.com/chnGpk","Milwaukee Public Library - East ")</f>
        <v>Milwaukee Public Library - East </v>
      </c>
      <c r="E1944" t="str">
        <f>IFERROR(__xludf.DUMMYFUNCTION("REGEXEXTRACT(FORMULATEXT(D1944),""center=([-0-9.]+,[-0-9.]+)"")"),"#N/A")</f>
        <v>#N/A</v>
      </c>
    </row>
    <row r="1945">
      <c r="A1945" s="4" t="s">
        <v>1950</v>
      </c>
      <c r="B1945" s="1" t="s">
        <v>1101</v>
      </c>
      <c r="C1945" s="2" t="str">
        <f>HYPERLINK("http://4sq.com/8cXnpc","Hooligan's Super Bar ")</f>
        <v>Hooligan's Super Bar </v>
      </c>
      <c r="E1945" t="str">
        <f>IFERROR(__xludf.DUMMYFUNCTION("REGEXEXTRACT(FORMULATEXT(D1945),""center=([-0-9.]+,[-0-9.]+)"")"),"#N/A")</f>
        <v>#N/A</v>
      </c>
    </row>
    <row r="1946">
      <c r="A1946" s="4" t="s">
        <v>1951</v>
      </c>
      <c r="B1946" s="1" t="s">
        <v>1101</v>
      </c>
      <c r="C1946" s="2" t="str">
        <f>HYPERLINK("http://4sq.com/ik8dQ","Colectivo Coffee ")</f>
        <v>Colectivo Coffee </v>
      </c>
      <c r="E1946" t="str">
        <f>IFERROR(__xludf.DUMMYFUNCTION("REGEXEXTRACT(FORMULATEXT(D1946),""center=([-0-9.]+,[-0-9.]+)"")"),"#N/A")</f>
        <v>#N/A</v>
      </c>
    </row>
    <row r="1947">
      <c r="A1947" s="4" t="s">
        <v>1952</v>
      </c>
      <c r="B1947" s="1" t="s">
        <v>1101</v>
      </c>
      <c r="C1947" s="2" t="str">
        <f>HYPERLINK("http://4sq.com/1b6CdGu","Potbelly Sandwich Shop ")</f>
        <v>Potbelly Sandwich Shop </v>
      </c>
      <c r="E1947" t="str">
        <f>IFERROR(__xludf.DUMMYFUNCTION("REGEXEXTRACT(FORMULATEXT(D1947),""center=([-0-9.]+,[-0-9.]+)"")"),"#N/A")</f>
        <v>#N/A</v>
      </c>
    </row>
    <row r="1948">
      <c r="A1948" s="4" t="s">
        <v>1953</v>
      </c>
      <c r="B1948" s="1" t="s">
        <v>1101</v>
      </c>
      <c r="C1948" s="2" t="str">
        <f t="shared" ref="C1948:C1949" si="36">HYPERLINK("http://4sq.com/chnGpk","Milwaukee Public Library - East ")</f>
        <v>Milwaukee Public Library - East </v>
      </c>
      <c r="E1948" t="str">
        <f>IFERROR(__xludf.DUMMYFUNCTION("REGEXEXTRACT(FORMULATEXT(D1948),""center=([-0-9.]+,[-0-9.]+)"")"),"#N/A")</f>
        <v>#N/A</v>
      </c>
    </row>
    <row r="1949">
      <c r="A1949" s="4" t="s">
        <v>1954</v>
      </c>
      <c r="B1949" s="1" t="s">
        <v>1101</v>
      </c>
      <c r="C1949" s="2" t="str">
        <f t="shared" si="36"/>
        <v>Milwaukee Public Library - East </v>
      </c>
      <c r="E1949" t="str">
        <f>IFERROR(__xludf.DUMMYFUNCTION("REGEXEXTRACT(FORMULATEXT(D1949),""center=([-0-9.]+,[-0-9.]+)"")"),"#N/A")</f>
        <v>#N/A</v>
      </c>
    </row>
    <row r="1950">
      <c r="A1950" s="4" t="s">
        <v>1955</v>
      </c>
      <c r="B1950" s="1" t="s">
        <v>1101</v>
      </c>
      <c r="C1950" s="2" t="str">
        <f>HYPERLINK("http://4sq.com/6QG1QO","Beans &amp; Barley ")</f>
        <v>Beans &amp; Barley </v>
      </c>
      <c r="E1950" t="str">
        <f>IFERROR(__xludf.DUMMYFUNCTION("REGEXEXTRACT(FORMULATEXT(D1950),""center=([-0-9.]+,[-0-9.]+)"")"),"#N/A")</f>
        <v>#N/A</v>
      </c>
    </row>
    <row r="1951">
      <c r="A1951" s="4" t="s">
        <v>1956</v>
      </c>
      <c r="B1951" s="1" t="s">
        <v>1101</v>
      </c>
      <c r="C1951" s="2" t="str">
        <f>HYPERLINK("http://4sq.com/b6jf2V","Bradford Beach ")</f>
        <v>Bradford Beach </v>
      </c>
      <c r="E1951" t="str">
        <f>IFERROR(__xludf.DUMMYFUNCTION("REGEXEXTRACT(FORMULATEXT(D1951),""center=([-0-9.]+,[-0-9.]+)"")"),"#N/A")</f>
        <v>#N/A</v>
      </c>
    </row>
    <row r="1952">
      <c r="A1952" s="4" t="s">
        <v>1957</v>
      </c>
      <c r="B1952" s="1" t="s">
        <v>1101</v>
      </c>
      <c r="C1952" s="2" t="str">
        <f>HYPERLINK("http://4sq.com/5522UJ","Klode Park ")</f>
        <v>Klode Park </v>
      </c>
      <c r="E1952" t="str">
        <f>IFERROR(__xludf.DUMMYFUNCTION("REGEXEXTRACT(FORMULATEXT(D1952),""center=([-0-9.]+,[-0-9.]+)"")"),"#N/A")</f>
        <v>#N/A</v>
      </c>
    </row>
    <row r="1953">
      <c r="A1953" s="4" t="s">
        <v>1958</v>
      </c>
      <c r="B1953" s="1" t="s">
        <v>1101</v>
      </c>
      <c r="C1953" s="2" t="str">
        <f>HYPERLINK("http://4sq.com/6TQ9tu","Kewaskum High School ")</f>
        <v>Kewaskum High School </v>
      </c>
      <c r="E1953" t="str">
        <f>IFERROR(__xludf.DUMMYFUNCTION("REGEXEXTRACT(FORMULATEXT(D1953),""center=([-0-9.]+,[-0-9.]+)"")"),"#N/A")</f>
        <v>#N/A</v>
      </c>
    </row>
    <row r="1954">
      <c r="A1954" s="4" t="s">
        <v>1959</v>
      </c>
      <c r="B1954" s="1" t="s">
        <v>1101</v>
      </c>
      <c r="C1954" s="2" t="str">
        <f>HYPERLINK("http://4sq.com/c3aECX","Jefferson Park ")</f>
        <v>Jefferson Park </v>
      </c>
      <c r="E1954" t="str">
        <f>IFERROR(__xludf.DUMMYFUNCTION("REGEXEXTRACT(FORMULATEXT(D1954),""center=([-0-9.]+,[-0-9.]+)"")"),"#N/A")</f>
        <v>#N/A</v>
      </c>
    </row>
    <row r="1955">
      <c r="A1955" s="4" t="s">
        <v>1960</v>
      </c>
      <c r="B1955" s="1" t="s">
        <v>1101</v>
      </c>
      <c r="C1955" s="2" t="str">
        <f>HYPERLINK("http://4sq.com/dw6icO","Quik-mart Citgo ")</f>
        <v>Quik-mart Citgo </v>
      </c>
      <c r="E1955" t="str">
        <f>IFERROR(__xludf.DUMMYFUNCTION("REGEXEXTRACT(FORMULATEXT(D1955),""center=([-0-9.]+,[-0-9.]+)"")"),"#N/A")</f>
        <v>#N/A</v>
      </c>
    </row>
    <row r="1956">
      <c r="A1956" s="4" t="s">
        <v>1961</v>
      </c>
      <c r="B1956" s="1" t="s">
        <v>1101</v>
      </c>
      <c r="C1956" s="2" t="str">
        <f>HYPERLINK("http://4sq.com/kzVTUy","Kewaskum Public Library ")</f>
        <v>Kewaskum Public Library </v>
      </c>
      <c r="E1956" t="str">
        <f>IFERROR(__xludf.DUMMYFUNCTION("REGEXEXTRACT(FORMULATEXT(D1956),""center=([-0-9.]+,[-0-9.]+)"")"),"#N/A")</f>
        <v>#N/A</v>
      </c>
    </row>
    <row r="1957">
      <c r="A1957" s="4" t="s">
        <v>1962</v>
      </c>
      <c r="B1957" s="1" t="s">
        <v>1101</v>
      </c>
      <c r="C1957" s="2" t="str">
        <f>HYPERLINK("http://4sq.com/a2fEXt","W J Niederkorn Library ")</f>
        <v>W J Niederkorn Library </v>
      </c>
      <c r="E1957" t="str">
        <f>IFERROR(__xludf.DUMMYFUNCTION("REGEXEXTRACT(FORMULATEXT(D1957),""center=([-0-9.]+,[-0-9.]+)"")"),"#N/A")</f>
        <v>#N/A</v>
      </c>
    </row>
    <row r="1958">
      <c r="A1958" s="4" t="s">
        <v>1963</v>
      </c>
      <c r="B1958" s="1" t="s">
        <v>1101</v>
      </c>
      <c r="C1958" s="2" t="str">
        <f>HYPERLINK("http://4sq.com/1rEeQOq","Great Out Doors ")</f>
        <v>Great Out Doors </v>
      </c>
      <c r="E1958" t="str">
        <f>IFERROR(__xludf.DUMMYFUNCTION("REGEXEXTRACT(FORMULATEXT(D1958),""center=([-0-9.]+,[-0-9.]+)"")"),"#N/A")</f>
        <v>#N/A</v>
      </c>
    </row>
    <row r="1959">
      <c r="A1959" s="4" t="s">
        <v>1964</v>
      </c>
      <c r="B1959" s="1" t="s">
        <v>1101</v>
      </c>
      <c r="C1959" s="2" t="str">
        <f>HYPERLINK("http://4sq.com/c6eR7w","Oscar Grady Library ")</f>
        <v>Oscar Grady Library </v>
      </c>
      <c r="E1959" t="str">
        <f>IFERROR(__xludf.DUMMYFUNCTION("REGEXEXTRACT(FORMULATEXT(D1959),""center=([-0-9.]+,[-0-9.]+)"")"),"#N/A")</f>
        <v>#N/A</v>
      </c>
    </row>
    <row r="1960">
      <c r="A1960" s="4" t="s">
        <v>1965</v>
      </c>
      <c r="B1960" s="1" t="s">
        <v>1101</v>
      </c>
      <c r="C1960" s="2" t="str">
        <f>HYPERLINK("http://4sq.com/5obFP7","Target ")</f>
        <v>Target </v>
      </c>
      <c r="E1960" t="str">
        <f>IFERROR(__xludf.DUMMYFUNCTION("REGEXEXTRACT(FORMULATEXT(D1960),""center=([-0-9.]+,[-0-9.]+)"")"),"#N/A")</f>
        <v>#N/A</v>
      </c>
    </row>
    <row r="1961">
      <c r="A1961" s="4" t="s">
        <v>1966</v>
      </c>
      <c r="B1961" s="1" t="s">
        <v>1101</v>
      </c>
      <c r="C1961" s="2" t="str">
        <f>HYPERLINK("http://4sq.com/bdhDer","Colectivo Coffee ")</f>
        <v>Colectivo Coffee </v>
      </c>
      <c r="E1961" t="str">
        <f>IFERROR(__xludf.DUMMYFUNCTION("REGEXEXTRACT(FORMULATEXT(D1961),""center=([-0-9.]+,[-0-9.]+)"")"),"#N/A")</f>
        <v>#N/A</v>
      </c>
    </row>
    <row r="1962">
      <c r="A1962" s="4" t="s">
        <v>1967</v>
      </c>
      <c r="B1962" s="1" t="s">
        <v>1101</v>
      </c>
      <c r="C1962" s="2" t="str">
        <f>HYPERLINK("http://4sq.com/as4m8F","IHOP ")</f>
        <v>IHOP </v>
      </c>
      <c r="E1962" t="str">
        <f>IFERROR(__xludf.DUMMYFUNCTION("REGEXEXTRACT(FORMULATEXT(D1962),""center=([-0-9.]+,[-0-9.]+)"")"),"#N/A")</f>
        <v>#N/A</v>
      </c>
    </row>
    <row r="1963">
      <c r="A1963" s="4" t="s">
        <v>1968</v>
      </c>
      <c r="B1963" s="1" t="s">
        <v>1101</v>
      </c>
      <c r="C1963" s="2" t="str">
        <f>HYPERLINK("http://4sq.com/4YJ1ua","Target ")</f>
        <v>Target </v>
      </c>
      <c r="E1963" t="str">
        <f>IFERROR(__xludf.DUMMYFUNCTION("REGEXEXTRACT(FORMULATEXT(D1963),""center=([-0-9.]+,[-0-9.]+)"")"),"#N/A")</f>
        <v>#N/A</v>
      </c>
    </row>
    <row r="1964">
      <c r="A1964" s="4" t="s">
        <v>1969</v>
      </c>
      <c r="B1964" s="1" t="s">
        <v>1101</v>
      </c>
      <c r="C1964" s="2" t="str">
        <f>HYPERLINK("http://4sq.com/crBVSU","Incheon International Airport (ICN) (인천국제공항) ")</f>
        <v>Incheon International Airport (ICN) (인천국제공항) </v>
      </c>
      <c r="E1964" t="str">
        <f>IFERROR(__xludf.DUMMYFUNCTION("REGEXEXTRACT(FORMULATEXT(D1964),""center=([-0-9.]+,[-0-9.]+)"")"),"#N/A")</f>
        <v>#N/A</v>
      </c>
    </row>
    <row r="1965">
      <c r="A1965" s="4" t="s">
        <v>1970</v>
      </c>
      <c r="B1965" s="1" t="s">
        <v>1101</v>
      </c>
      <c r="C1965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965" t="str">
        <f>IFERROR(__xludf.DUMMYFUNCTION("REGEXEXTRACT(FORMULATEXT(D1965),""center=([-0-9.]+,[-0-9.]+)"")"),"#N/A")</f>
        <v>#N/A</v>
      </c>
    </row>
    <row r="1966">
      <c r="A1966" s="4" t="s">
        <v>1971</v>
      </c>
      <c r="B1966" s="1" t="s">
        <v>1101</v>
      </c>
      <c r="C1966" s="2" t="str">
        <f>HYPERLINK("http://4sq.com/1GjmLUZ","Pizza Pasta by Simon ")</f>
        <v>Pizza Pasta by Simon </v>
      </c>
      <c r="E1966" t="str">
        <f>IFERROR(__xludf.DUMMYFUNCTION("REGEXEXTRACT(FORMULATEXT(D1966),""center=([-0-9.]+,[-0-9.]+)"")"),"#N/A")</f>
        <v>#N/A</v>
      </c>
    </row>
    <row r="1967">
      <c r="A1967" s="4" t="s">
        <v>1972</v>
      </c>
      <c r="B1967" s="1" t="s">
        <v>1101</v>
      </c>
      <c r="C1967" s="2" t="str">
        <f>HYPERLINK("http://4sq.com/1uTcCs4","Local Cafe (คาเฟ่บ้านนอก) ")</f>
        <v>Local Cafe (คาเฟ่บ้านนอก) </v>
      </c>
      <c r="E1967" t="str">
        <f>IFERROR(__xludf.DUMMYFUNCTION("REGEXEXTRACT(FORMULATEXT(D1967),""center=([-0-9.]+,[-0-9.]+)"")"),"#N/A")</f>
        <v>#N/A</v>
      </c>
    </row>
    <row r="1968">
      <c r="A1968" s="4" t="s">
        <v>1973</v>
      </c>
      <c r="B1968" s="1" t="s">
        <v>1101</v>
      </c>
      <c r="C1968" s="2" t="str">
        <f>HYPERLINK("http://4sq.com/cfY4HC","Siam Commercial Bank (ธนาคารไทยพาณิชย์) ")</f>
        <v>Siam Commercial Bank (ธนาคารไทยพาณิชย์) </v>
      </c>
      <c r="E1968" t="str">
        <f>IFERROR(__xludf.DUMMYFUNCTION("REGEXEXTRACT(FORMULATEXT(D1968),""center=([-0-9.]+,[-0-9.]+)"")"),"#N/A")</f>
        <v>#N/A</v>
      </c>
    </row>
    <row r="1969">
      <c r="A1969" s="4" t="s">
        <v>1974</v>
      </c>
      <c r="B1969" s="1" t="s">
        <v>1101</v>
      </c>
      <c r="C1969" s="2" t="str">
        <f>HYPERLINK("http://4sq.com/dwbrHe","The Salad Concept ")</f>
        <v>The Salad Concept </v>
      </c>
      <c r="E1969" t="str">
        <f>IFERROR(__xludf.DUMMYFUNCTION("REGEXEXTRACT(FORMULATEXT(D1969),""center=([-0-9.]+,[-0-9.]+)"")"),"#N/A")</f>
        <v>#N/A</v>
      </c>
    </row>
    <row r="1970">
      <c r="A1970" s="4" t="s">
        <v>1975</v>
      </c>
      <c r="B1970" s="1" t="s">
        <v>1101</v>
      </c>
      <c r="C1970" s="2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  <c r="E1970" t="str">
        <f>IFERROR(__xludf.DUMMYFUNCTION("REGEXEXTRACT(FORMULATEXT(D1970),""center=([-0-9.]+,[-0-9.]+)"")"),"#N/A")</f>
        <v>#N/A</v>
      </c>
    </row>
    <row r="1971">
      <c r="A1971" s="4" t="s">
        <v>1976</v>
      </c>
      <c r="B1971" s="1" t="s">
        <v>1101</v>
      </c>
      <c r="C1971" s="2" t="str">
        <f>HYPERLINK("http://4sq.com/17EOSdj","The Larder Cafe and Bar ")</f>
        <v>The Larder Cafe and Bar </v>
      </c>
      <c r="E1971" t="str">
        <f>IFERROR(__xludf.DUMMYFUNCTION("REGEXEXTRACT(FORMULATEXT(D1971),""center=([-0-9.]+,[-0-9.]+)"")"),"#N/A")</f>
        <v>#N/A</v>
      </c>
    </row>
    <row r="1972">
      <c r="A1972" s="4" t="s">
        <v>1977</v>
      </c>
      <c r="B1972" s="1" t="s">
        <v>1101</v>
      </c>
      <c r="C1972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E1972" t="str">
        <f>IFERROR(__xludf.DUMMYFUNCTION("REGEXEXTRACT(FORMULATEXT(D1972),""center=([-0-9.]+,[-0-9.]+)"")"),"#N/A")</f>
        <v>#N/A</v>
      </c>
    </row>
    <row r="1973">
      <c r="A1973" s="4" t="s">
        <v>1978</v>
      </c>
      <c r="B1973" s="1" t="s">
        <v>1101</v>
      </c>
      <c r="C1973" s="2" t="str">
        <f>HYPERLINK("http://4sq.com/1hVXHYn","and ann coffee ")</f>
        <v>and ann coffee </v>
      </c>
      <c r="E1973" t="str">
        <f>IFERROR(__xludf.DUMMYFUNCTION("REGEXEXTRACT(FORMULATEXT(D1973),""center=([-0-9.]+,[-0-9.]+)"")"),"#N/A")</f>
        <v>#N/A</v>
      </c>
    </row>
    <row r="1974">
      <c r="A1974" s="4" t="s">
        <v>1979</v>
      </c>
      <c r="B1974" s="1" t="s">
        <v>1101</v>
      </c>
      <c r="C1974" s="2" t="str">
        <f>HYPERLINK("http://4sq.com/2dySMPy","The Ironwood ")</f>
        <v>The Ironwood </v>
      </c>
      <c r="E1974" t="str">
        <f>IFERROR(__xludf.DUMMYFUNCTION("REGEXEXTRACT(FORMULATEXT(D1974),""center=([-0-9.]+,[-0-9.]+)"")"),"#N/A")</f>
        <v>#N/A</v>
      </c>
    </row>
    <row r="1975">
      <c r="A1975" s="4" t="s">
        <v>1980</v>
      </c>
      <c r="B1975" s="1" t="s">
        <v>1101</v>
      </c>
      <c r="C1975" s="2" t="str">
        <f>HYPERLINK("http://4sq.com/2iDiV23","Zombie Cafe ")</f>
        <v>Zombie Cafe </v>
      </c>
      <c r="E1975" t="str">
        <f>IFERROR(__xludf.DUMMYFUNCTION("REGEXEXTRACT(FORMULATEXT(D1975),""center=([-0-9.]+,[-0-9.]+)"")"),"#N/A")</f>
        <v>#N/A</v>
      </c>
    </row>
    <row r="1976">
      <c r="A1976" s="4" t="s">
        <v>1981</v>
      </c>
      <c r="B1976" s="1" t="s">
        <v>1101</v>
      </c>
      <c r="C1976" s="2" t="str">
        <f>HYPERLINK("http://4sq.com/1eCpkTQ","MAYA (เมญ่า) ")</f>
        <v>MAYA (เมญ่า) </v>
      </c>
      <c r="E1976" t="str">
        <f>IFERROR(__xludf.DUMMYFUNCTION("REGEXEXTRACT(FORMULATEXT(D1976),""center=([-0-9.]+,[-0-9.]+)"")"),"#N/A")</f>
        <v>#N/A</v>
      </c>
    </row>
    <row r="1977">
      <c r="A1977" s="4" t="s">
        <v>1982</v>
      </c>
      <c r="B1977" s="1" t="s">
        <v>1101</v>
      </c>
      <c r="C1977" s="2" t="str">
        <f>HYPERLINK("http://4sq.com/1uTcCs4","Local Cafe (คาเฟ่บ้านนอก) ")</f>
        <v>Local Cafe (คาเฟ่บ้านนอก) </v>
      </c>
      <c r="E1977" t="str">
        <f>IFERROR(__xludf.DUMMYFUNCTION("REGEXEXTRACT(FORMULATEXT(D1977),""center=([-0-9.]+,[-0-9.]+)"")"),"#N/A")</f>
        <v>#N/A</v>
      </c>
    </row>
    <row r="1978">
      <c r="A1978" s="4" t="s">
        <v>1983</v>
      </c>
      <c r="B1978" s="1" t="s">
        <v>1101</v>
      </c>
      <c r="C1978" s="2" t="str">
        <f>HYPERLINK("http://4sq.com/cfY4HC","Siam Commercial Bank (ธนาคารไทยพาณิชย์) ")</f>
        <v>Siam Commercial Bank (ธนาคารไทยพาณิชย์) </v>
      </c>
      <c r="E1978" t="str">
        <f>IFERROR(__xludf.DUMMYFUNCTION("REGEXEXTRACT(FORMULATEXT(D1978),""center=([-0-9.]+,[-0-9.]+)"")"),"#N/A")</f>
        <v>#N/A</v>
      </c>
    </row>
    <row r="1979">
      <c r="A1979" s="4" t="s">
        <v>1984</v>
      </c>
      <c r="B1979" s="1" t="s">
        <v>1101</v>
      </c>
      <c r="C1979" s="2" t="str">
        <f>HYPERLINK("http://4sq.com/di0WBH","Kasikornbank (ธนาคารกสิกรไทย) ")</f>
        <v>Kasikornbank (ธนาคารกสิกรไทย) </v>
      </c>
      <c r="E1979" t="str">
        <f>IFERROR(__xludf.DUMMYFUNCTION("REGEXEXTRACT(FORMULATEXT(D1979),""center=([-0-9.]+,[-0-9.]+)"")"),"#N/A")</f>
        <v>#N/A</v>
      </c>
    </row>
    <row r="1980">
      <c r="A1980" s="4" t="s">
        <v>1985</v>
      </c>
      <c r="B1980" s="1" t="s">
        <v>1101</v>
      </c>
      <c r="C1980" s="2" t="str">
        <f>HYPERLINK("http://4sq.com/1eCpkTQ","MAYA (เมญ่า) ")</f>
        <v>MAYA (เมญ่า) </v>
      </c>
      <c r="E1980" t="str">
        <f>IFERROR(__xludf.DUMMYFUNCTION("REGEXEXTRACT(FORMULATEXT(D1980),""center=([-0-9.]+,[-0-9.]+)"")"),"#N/A")</f>
        <v>#N/A</v>
      </c>
    </row>
    <row r="1981">
      <c r="A1981" s="4" t="s">
        <v>1986</v>
      </c>
      <c r="B1981" s="1" t="s">
        <v>1101</v>
      </c>
      <c r="C1981" s="2" t="str">
        <f>HYPERLINK("http://4sq.com/1GjmLUZ","Pizza Pasta by Simon ")</f>
        <v>Pizza Pasta by Simon </v>
      </c>
      <c r="E1981" t="str">
        <f>IFERROR(__xludf.DUMMYFUNCTION("REGEXEXTRACT(FORMULATEXT(D1981),""center=([-0-9.]+,[-0-9.]+)"")"),"#N/A")</f>
        <v>#N/A</v>
      </c>
    </row>
    <row r="1982">
      <c r="A1982" s="4" t="s">
        <v>1987</v>
      </c>
      <c r="B1982" s="1" t="s">
        <v>1101</v>
      </c>
      <c r="C1982" s="2" t="str">
        <f>HYPERLINK("http://4sq.com/9Xt3FL","Huay Tueng Tao (ห้วยตึงเฒ่า) ")</f>
        <v>Huay Tueng Tao (ห้วยตึงเฒ่า) </v>
      </c>
      <c r="E1982" t="str">
        <f>IFERROR(__xludf.DUMMYFUNCTION("REGEXEXTRACT(FORMULATEXT(D1982),""center=([-0-9.]+,[-0-9.]+)"")"),"#N/A")</f>
        <v>#N/A</v>
      </c>
    </row>
    <row r="1983">
      <c r="A1983" s="4" t="s">
        <v>1988</v>
      </c>
      <c r="B1983" s="1" t="s">
        <v>1101</v>
      </c>
      <c r="C1983" s="2" t="str">
        <f>HYPERLINK("http://4sq.com/1JMJibe","Chiang Mai Immigration One Stop Service ")</f>
        <v>Chiang Mai Immigration One Stop Service </v>
      </c>
      <c r="E1983" t="str">
        <f>IFERROR(__xludf.DUMMYFUNCTION("REGEXEXTRACT(FORMULATEXT(D1983),""center=([-0-9.]+,[-0-9.]+)"")"),"#N/A")</f>
        <v>#N/A</v>
      </c>
    </row>
    <row r="1984">
      <c r="A1984" s="4" t="s">
        <v>1989</v>
      </c>
      <c r="B1984" s="1" t="s">
        <v>1101</v>
      </c>
      <c r="C1984" s="2" t="str">
        <f>HYPERLINK("http://4sq.com/I28LVE","Café de Oasis (คาเฟ่ เดอ โอเอซิส) ")</f>
        <v>Café de Oasis (คาเฟ่ เดอ โอเอซิส) </v>
      </c>
      <c r="E1984" t="str">
        <f>IFERROR(__xludf.DUMMYFUNCTION("REGEXEXTRACT(FORMULATEXT(D1984),""center=([-0-9.]+,[-0-9.]+)"")"),"#N/A")</f>
        <v>#N/A</v>
      </c>
    </row>
    <row r="1985">
      <c r="A1985" s="4" t="s">
        <v>1990</v>
      </c>
      <c r="B1985" s="1" t="s">
        <v>1101</v>
      </c>
      <c r="C1985" s="2" t="str">
        <f>HYPERLINK("http://4sq.com/dwbrHe","The Salad Concept ")</f>
        <v>The Salad Concept </v>
      </c>
      <c r="E1985" t="str">
        <f>IFERROR(__xludf.DUMMYFUNCTION("REGEXEXTRACT(FORMULATEXT(D1985),""center=([-0-9.]+,[-0-9.]+)"")"),"#N/A")</f>
        <v>#N/A</v>
      </c>
    </row>
    <row r="1986">
      <c r="A1986" s="4" t="s">
        <v>1991</v>
      </c>
      <c r="B1986" s="1" t="s">
        <v>1101</v>
      </c>
      <c r="C1986" s="2" t="str">
        <f>HYPERLINK("http://4sq.com/1uTcCs4","Local Cafe (คาเฟ่บ้านนอก) ")</f>
        <v>Local Cafe (คาเฟ่บ้านนอก) </v>
      </c>
      <c r="E1986" t="str">
        <f>IFERROR(__xludf.DUMMYFUNCTION("REGEXEXTRACT(FORMULATEXT(D1986),""center=([-0-9.]+,[-0-9.]+)"")"),"#N/A")</f>
        <v>#N/A</v>
      </c>
    </row>
    <row r="1987">
      <c r="A1987" s="4" t="s">
        <v>1992</v>
      </c>
      <c r="B1987" s="1" t="s">
        <v>1101</v>
      </c>
      <c r="C1987" s="2" t="str">
        <f>HYPERLINK("http://4sq.com/cVrVR4","HillSide 3 Condominium ")</f>
        <v>HillSide 3 Condominium </v>
      </c>
      <c r="E1987" t="str">
        <f>IFERROR(__xludf.DUMMYFUNCTION("REGEXEXTRACT(FORMULATEXT(D1987),""center=([-0-9.]+,[-0-9.]+)"")"),"#N/A")</f>
        <v>#N/A</v>
      </c>
    </row>
    <row r="1988">
      <c r="A1988" s="4" t="s">
        <v>1993</v>
      </c>
      <c r="B1988" s="1" t="s">
        <v>1101</v>
      </c>
      <c r="C1988" s="2" t="str">
        <f>HYPERLINK("http://4sq.com/2oSWN5L","Is Wheels ")</f>
        <v>Is Wheels </v>
      </c>
      <c r="E1988" t="str">
        <f>IFERROR(__xludf.DUMMYFUNCTION("REGEXEXTRACT(FORMULATEXT(D1988),""center=([-0-9.]+,[-0-9.]+)"")"),"#N/A")</f>
        <v>#N/A</v>
      </c>
    </row>
    <row r="1989">
      <c r="A1989" s="4" t="s">
        <v>1994</v>
      </c>
      <c r="B1989" s="1" t="s">
        <v>1101</v>
      </c>
      <c r="C1989" s="2" t="str">
        <f>HYPERLINK("http://4sq.com/1uTcCs4","Local Cafe (คาเฟ่บ้านนอก) ")</f>
        <v>Local Cafe (คาเฟ่บ้านนอก) </v>
      </c>
      <c r="E1989" t="str">
        <f>IFERROR(__xludf.DUMMYFUNCTION("REGEXEXTRACT(FORMULATEXT(D1989),""center=([-0-9.]+,[-0-9.]+)"")"),"#N/A")</f>
        <v>#N/A</v>
      </c>
    </row>
    <row r="1990">
      <c r="A1990" s="4" t="s">
        <v>1995</v>
      </c>
      <c r="B1990" s="1" t="s">
        <v>1101</v>
      </c>
      <c r="C1990" s="2" t="str">
        <f>HYPERLINK("http://4sq.com/RVSjq4","Punna Oasis ")</f>
        <v>Punna Oasis </v>
      </c>
      <c r="E1990" t="str">
        <f>IFERROR(__xludf.DUMMYFUNCTION("REGEXEXTRACT(FORMULATEXT(D1990),""center=([-0-9.]+,[-0-9.]+)"")"),"#N/A")</f>
        <v>#N/A</v>
      </c>
    </row>
    <row r="1991">
      <c r="A1991" s="4" t="s">
        <v>1996</v>
      </c>
      <c r="B1991" s="1" t="s">
        <v>1101</v>
      </c>
      <c r="C1991" s="2" t="str">
        <f>HYPERLINK("http://4sq.com/1glAL7r","The Duke's ")</f>
        <v>The Duke's </v>
      </c>
      <c r="E1991" t="str">
        <f>IFERROR(__xludf.DUMMYFUNCTION("REGEXEXTRACT(FORMULATEXT(D1991),""center=([-0-9.]+,[-0-9.]+)"")"),"#N/A")</f>
        <v>#N/A</v>
      </c>
    </row>
    <row r="1992">
      <c r="A1992" s="4" t="s">
        <v>1997</v>
      </c>
      <c r="B1992" s="1" t="s">
        <v>1101</v>
      </c>
      <c r="C1992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E1992" t="str">
        <f>IFERROR(__xludf.DUMMYFUNCTION("REGEXEXTRACT(FORMULATEXT(D1992),""center=([-0-9.]+,[-0-9.]+)"")"),"#N/A")</f>
        <v>#N/A</v>
      </c>
    </row>
    <row r="1993">
      <c r="A1993" s="4" t="s">
        <v>1998</v>
      </c>
      <c r="B1993" s="1" t="s">
        <v>1101</v>
      </c>
      <c r="C1993" s="2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E1993" t="str">
        <f>IFERROR(__xludf.DUMMYFUNCTION("REGEXEXTRACT(FORMULATEXT(D1993),""center=([-0-9.]+,[-0-9.]+)"")"),"#N/A")</f>
        <v>#N/A</v>
      </c>
    </row>
    <row r="1994">
      <c r="A1994" s="4" t="s">
        <v>1999</v>
      </c>
      <c r="B1994" s="1" t="s">
        <v>1101</v>
      </c>
      <c r="C1994" s="2" t="str">
        <f>HYPERLINK("http://4sq.com/bkQm2W","ARL Suvarnabhumi (A1) (ARL สุวรรณภูมิ) ")</f>
        <v>ARL Suvarnabhumi (A1) (ARL สุวรรณภูมิ) </v>
      </c>
      <c r="E1994" t="str">
        <f>IFERROR(__xludf.DUMMYFUNCTION("REGEXEXTRACT(FORMULATEXT(D1994),""center=([-0-9.]+,[-0-9.]+)"")"),"#N/A")</f>
        <v>#N/A</v>
      </c>
    </row>
    <row r="1995">
      <c r="A1995" s="4" t="s">
        <v>2000</v>
      </c>
      <c r="B1995" s="1" t="s">
        <v>1101</v>
      </c>
      <c r="C1995" s="2" t="str">
        <f>HYPERLINK("http://4sq.com/aCfoyY","The Tavern ")</f>
        <v>The Tavern </v>
      </c>
      <c r="E1995" t="str">
        <f>IFERROR(__xludf.DUMMYFUNCTION("REGEXEXTRACT(FORMULATEXT(D1995),""center=([-0-9.]+,[-0-9.]+)"")"),"#N/A")</f>
        <v>#N/A</v>
      </c>
    </row>
    <row r="1996">
      <c r="A1996" s="4" t="s">
        <v>2001</v>
      </c>
      <c r="B1996" s="1" t="s">
        <v>1101</v>
      </c>
      <c r="C1996" s="2" t="str">
        <f>HYPERLINK("http://4sq.com/9lcPb2","Café Tartine (คาเฟ่ ทาร์ทีน) ")</f>
        <v>Café Tartine (คาเฟ่ ทาร์ทีน) </v>
      </c>
      <c r="E1996" t="str">
        <f>IFERROR(__xludf.DUMMYFUNCTION("REGEXEXTRACT(FORMULATEXT(D1996),""center=([-0-9.]+,[-0-9.]+)"")"),"#N/A")</f>
        <v>#N/A</v>
      </c>
    </row>
    <row r="1997">
      <c r="A1997" s="4" t="s">
        <v>2002</v>
      </c>
      <c r="B1997" s="1" t="s">
        <v>1101</v>
      </c>
      <c r="C1997" s="2" t="str">
        <f>HYPERLINK("http://4sq.com/Kl2v56","The Game ")</f>
        <v>The Game </v>
      </c>
      <c r="E1997" t="str">
        <f>IFERROR(__xludf.DUMMYFUNCTION("REGEXEXTRACT(FORMULATEXT(D1997),""center=([-0-9.]+,[-0-9.]+)"")"),"#N/A")</f>
        <v>#N/A</v>
      </c>
    </row>
    <row r="1998">
      <c r="A1998" s="4" t="s">
        <v>2003</v>
      </c>
      <c r="B1998" s="1" t="s">
        <v>1101</v>
      </c>
      <c r="C1998" s="2" t="str">
        <f>HYPERLINK("http://4sq.com/1OJCwcR","The Mexican Cantina and Comedor ")</f>
        <v>The Mexican Cantina and Comedor </v>
      </c>
      <c r="E1998" t="str">
        <f>IFERROR(__xludf.DUMMYFUNCTION("REGEXEXTRACT(FORMULATEXT(D1998),""center=([-0-9.]+,[-0-9.]+)"")"),"#N/A")</f>
        <v>#N/A</v>
      </c>
    </row>
    <row r="1999">
      <c r="A1999" s="4" t="s">
        <v>2004</v>
      </c>
      <c r="B1999" s="1" t="s">
        <v>1101</v>
      </c>
      <c r="C1999" s="2" t="str">
        <f>HYPERLINK("http://4sq.com/1egrGGW","SWAY ")</f>
        <v>SWAY </v>
      </c>
      <c r="E1999" t="str">
        <f>IFERROR(__xludf.DUMMYFUNCTION("REGEXEXTRACT(FORMULATEXT(D1999),""center=([-0-9.]+,[-0-9.]+)"")"),"#N/A")</f>
        <v>#N/A</v>
      </c>
    </row>
    <row r="2000">
      <c r="A2000" s="4" t="s">
        <v>2005</v>
      </c>
      <c r="B2000" s="1" t="s">
        <v>1101</v>
      </c>
      <c r="C2000" s="2" t="str">
        <f>HYPERLINK("http://4sq.com/16AbUmG","The Coffee Club (เดอะ คอฟฟี่ คลับ) ")</f>
        <v>The Coffee Club (เดอะ คอฟฟี่ คลับ) </v>
      </c>
      <c r="E2000" t="str">
        <f>IFERROR(__xludf.DUMMYFUNCTION("REGEXEXTRACT(FORMULATEXT(D2000),""center=([-0-9.]+,[-0-9.]+)"")"),"#N/A")</f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8" max="8" width="29.88"/>
    <col customWidth="1" min="9" max="9" width="21.88"/>
    <col customWidth="1" min="10" max="10" width="28.25"/>
  </cols>
  <sheetData>
    <row r="1">
      <c r="A1" s="1" t="s">
        <v>0</v>
      </c>
      <c r="C1" s="2" t="str">
        <f>HYPERLINK("http://4sq.com/9j2fhe","Doi Chaang Coffe ")</f>
        <v>Doi Chaang Coffe </v>
      </c>
      <c r="F1" s="4" t="s">
        <v>2006</v>
      </c>
      <c r="G1" s="4" t="s">
        <v>2007</v>
      </c>
      <c r="H1" s="5" t="s">
        <v>2008</v>
      </c>
      <c r="I1" s="4" t="s">
        <v>2009</v>
      </c>
      <c r="J1" s="4" t="s">
        <v>2010</v>
      </c>
    </row>
    <row r="2">
      <c r="A2" s="1" t="s">
        <v>1</v>
      </c>
      <c r="C2" s="2" t="str">
        <f>HYPERLINK("http://4sq.com/hphxyG","Madrid Pizzeria &amp; Bar ")</f>
        <v>Madrid Pizzeria &amp; Bar </v>
      </c>
      <c r="F2" s="6" t="str">
        <f t="shared" ref="F2:H2" si="1">INDEX(A:C, RANDBETWEEN(1, ROWS(2:117)), RANDBETWEEN(1, COLUMNS(C:C)))</f>
        <v>December 02, 2012 at 04:06PM</v>
      </c>
      <c r="G2" t="str">
        <f t="shared" si="1"/>
        <v/>
      </c>
      <c r="H2" s="2" t="str">
        <f t="shared" si="1"/>
        <v>Bourbon St. </v>
      </c>
      <c r="I2" s="7" t="str">
        <f t="array" ref="I2">INDEX(C:C, RANDBETWEEN(1, ROWS(1:116)), RANDBETWEEN(1, COLUMNS(C:C)))</f>
        <v>Au Bon Pain (โอ บอง แปง) </v>
      </c>
      <c r="J2" t="str">
        <f>CONCATENATE(F2," ",H2)</f>
        <v>December 02, 2012 at 04:06PM Bourbon St. </v>
      </c>
    </row>
    <row r="3">
      <c r="A3" s="1" t="s">
        <v>2</v>
      </c>
      <c r="C3" s="2" t="str">
        <f>HYPERLINK("http://4sq.com/88NMQc","Four Seasons Hotel Bangkok ")</f>
        <v>Four Seasons Hotel Bangkok </v>
      </c>
    </row>
    <row r="4">
      <c r="A4" s="1" t="s">
        <v>3</v>
      </c>
      <c r="C4" s="2" t="str">
        <f>HYPERLINK("http://4sq.com/cB0spg","Sizzler (ซิซซ์เลอร์) ")</f>
        <v>Sizzler (ซิซซ์เลอร์) </v>
      </c>
    </row>
    <row r="5">
      <c r="A5" s="1" t="s">
        <v>4</v>
      </c>
      <c r="C5" s="2" t="str">
        <f>HYPERLINK("http://4sq.com/H9l2G9","Litehouse Asia ")</f>
        <v>Litehouse Asia </v>
      </c>
    </row>
    <row r="6">
      <c r="A6" s="1" t="s">
        <v>5</v>
      </c>
      <c r="C6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</row>
    <row r="7">
      <c r="A7" s="1" t="s">
        <v>6</v>
      </c>
      <c r="C7" s="2" t="str">
        <f>HYPERLINK("http://4sq.com/9UmMqp","OOTOYA (โอโตยะ) ")</f>
        <v>OOTOYA (โอโตยะ) </v>
      </c>
    </row>
    <row r="8">
      <c r="A8" s="1" t="s">
        <v>7</v>
      </c>
      <c r="C8" s="2" t="str">
        <f>HYPERLINK("http://4sq.com/6l6MbZ","Dusit Thani Bangkok ")</f>
        <v>Dusit Thani Bangkok </v>
      </c>
    </row>
    <row r="9">
      <c r="A9" s="1" t="s">
        <v>8</v>
      </c>
      <c r="C9" s="2" t="str">
        <f>HYPERLINK("http://4sq.com/637ByW","Bed Supperclub ")</f>
        <v>Bed Supperclub </v>
      </c>
    </row>
    <row r="10">
      <c r="A10" s="1" t="s">
        <v>9</v>
      </c>
      <c r="C10" s="2" t="str">
        <f t="shared" ref="C10:C11" si="2">HYPERLINK("http://4sq.com/JtOEww","Levels Club &amp; Lounge ")</f>
        <v>Levels Club &amp; Lounge </v>
      </c>
    </row>
    <row r="11">
      <c r="A11" s="1" t="s">
        <v>10</v>
      </c>
      <c r="C11" s="2" t="str">
        <f t="shared" si="2"/>
        <v>Levels Club &amp; Lounge </v>
      </c>
    </row>
    <row r="12">
      <c r="A12" s="1" t="s">
        <v>11</v>
      </c>
      <c r="C12" s="2" t="str">
        <f>HYPERLINK("http://4sq.com/982T1S","Pro wash carcare ")</f>
        <v>Pro wash carcare </v>
      </c>
    </row>
    <row r="13">
      <c r="A13" s="1" t="s">
        <v>12</v>
      </c>
      <c r="C13" s="2" t="str">
        <f>HYPERLINK("http://4sq.com/e1dncS","สบายใจเก็บตะวัน (Sabaijai Kebtawan) ")</f>
        <v>สบายใจเก็บตะวัน (Sabaijai Kebtawan) </v>
      </c>
    </row>
    <row r="14">
      <c r="A14" s="1" t="s">
        <v>13</v>
      </c>
      <c r="C14" s="2" t="str">
        <f>HYPERLINK("http://4sq.com/4SKUa9","Emporium (เอ็มโพเรียม) ")</f>
        <v>Emporium (เอ็มโพเรียม) </v>
      </c>
    </row>
    <row r="15">
      <c r="A15" s="1" t="s">
        <v>14</v>
      </c>
      <c r="C15" s="2" t="str">
        <f>HYPERLINK("http://4sq.com/9Uu1Sp","อุทยานเบญจสิริ (Benchasiri Park) ")</f>
        <v>อุทยานเบญจสิริ (Benchasiri Park) </v>
      </c>
    </row>
    <row r="16">
      <c r="A16" s="1" t="s">
        <v>15</v>
      </c>
      <c r="C16" s="2" t="str">
        <f>HYPERLINK("http://4sq.com/oxs7u4","Singapore Chicken Rice ")</f>
        <v>Singapore Chicken Rice </v>
      </c>
    </row>
    <row r="17">
      <c r="A17" s="1" t="s">
        <v>16</v>
      </c>
      <c r="C17" s="2" t="str">
        <f>HYPERLINK("http://4sq.com/jJvUtE","Ramada Encore Bangkok ")</f>
        <v>Ramada Encore Bangkok </v>
      </c>
    </row>
    <row r="18">
      <c r="A18" s="1" t="s">
        <v>17</v>
      </c>
      <c r="C18" s="2" t="str">
        <f>HYPERLINK("http://4sq.com/npzpMY","PTT Bypass Chon Buri ")</f>
        <v>PTT Bypass Chon Buri </v>
      </c>
    </row>
    <row r="19">
      <c r="A19" s="1" t="s">
        <v>18</v>
      </c>
      <c r="B19" s="1" t="s">
        <v>19</v>
      </c>
      <c r="C19" s="2" t="str">
        <f>HYPERLINK("http://4sq.com/hvANZC","ริมทะเล บางแสน ")</f>
        <v>ริมทะเล บางแสน </v>
      </c>
    </row>
    <row r="20">
      <c r="A20" s="1" t="s">
        <v>20</v>
      </c>
      <c r="C20" s="2" t="str">
        <f>HYPERLINK("http://4sq.com/IN16pe","Megabangna (เมกาบางนา) ")</f>
        <v>Megabangna (เมกาบางนา) </v>
      </c>
    </row>
    <row r="21">
      <c r="A21" s="1" t="s">
        <v>21</v>
      </c>
      <c r="C21" s="2" t="str">
        <f>HYPERLINK("http://4sq.com/KWSriA","Bangkok Burger Company ")</f>
        <v>Bangkok Burger Company </v>
      </c>
    </row>
    <row r="22">
      <c r="A22" s="1" t="s">
        <v>22</v>
      </c>
      <c r="C22" s="2" t="str">
        <f>HYPERLINK("http://4sq.com/mSCNSR","Food by Phone ")</f>
        <v>Food by Phone </v>
      </c>
    </row>
    <row r="23">
      <c r="A23" s="1" t="s">
        <v>23</v>
      </c>
      <c r="C23" s="2" t="str">
        <f>HYPERLINK("http://4sq.com/akePoH","TrueCoffee (ทรูคอฟฟี่) ")</f>
        <v>TrueCoffee (ทรูคอฟฟี่) </v>
      </c>
    </row>
    <row r="24">
      <c r="A24" s="1" t="s">
        <v>24</v>
      </c>
      <c r="C24" s="2" t="str">
        <f>HYPERLINK("http://4sq.com/bxxPVU","Tesco Lotus (เทสโก้ โลตัส) ")</f>
        <v>Tesco Lotus (เทสโก้ โลตัส) </v>
      </c>
    </row>
    <row r="25">
      <c r="A25" s="1" t="s">
        <v>25</v>
      </c>
      <c r="C25" s="2" t="str">
        <f>HYPERLINK("http://4sq.com/9tK9rd","The Westin Grande Sukhumvit Bangkok ")</f>
        <v>The Westin Grande Sukhumvit Bangkok </v>
      </c>
    </row>
    <row r="26">
      <c r="A26" s="1" t="s">
        <v>26</v>
      </c>
      <c r="C26" s="2" t="str">
        <f>HYPERLINK("http://4sq.com/vaGEut","Mulligan's Irish Pub and Restaurant ")</f>
        <v>Mulligan's Irish Pub and Restaurant </v>
      </c>
    </row>
    <row r="27">
      <c r="A27" s="1" t="s">
        <v>27</v>
      </c>
      <c r="C27" s="2" t="str">
        <f>HYPERLINK("http://4sq.com/JtOEww","Levels Club &amp; Lounge ")</f>
        <v>Levels Club &amp; Lounge </v>
      </c>
    </row>
    <row r="28">
      <c r="A28" s="1" t="s">
        <v>28</v>
      </c>
      <c r="C28" s="2" t="str">
        <f>HYPERLINK("http://4sq.com/cD2Ukz","Au Bon Pain (โอ บอง แปง) ")</f>
        <v>Au Bon Pain (โอ บอง แปง) </v>
      </c>
    </row>
    <row r="29">
      <c r="A29" s="1" t="s">
        <v>29</v>
      </c>
      <c r="C29" s="2" t="str">
        <f>HYPERLINK("http://4sq.com/exXZGv","BTS บางนา (Bang Na) E13 ")</f>
        <v>BTS บางนา (Bang Na) E13 </v>
      </c>
    </row>
    <row r="30">
      <c r="A30" s="1" t="s">
        <v>30</v>
      </c>
      <c r="C30" s="2" t="str">
        <f>HYPERLINK("http://4sq.com/989PFv","BITEC (ศูนย์นิทรรศการและการประชุมไบเทค) ")</f>
        <v>BITEC (ศูนย์นิทรรศการและการประชุมไบเทค) </v>
      </c>
    </row>
    <row r="31">
      <c r="A31" s="1" t="s">
        <v>31</v>
      </c>
      <c r="C31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</row>
    <row r="32">
      <c r="A32" s="1" t="s">
        <v>32</v>
      </c>
      <c r="C32" s="2" t="str">
        <f>HYPERLINK("http://4sq.com/OU9B8n","Nakiya ")</f>
        <v>Nakiya </v>
      </c>
    </row>
    <row r="33">
      <c r="A33" s="1" t="s">
        <v>33</v>
      </c>
      <c r="C33" s="2" t="str">
        <f>HYPERLINK("http://4sq.com/cVvKnp","Doi Chaang (กาแฟดอยช้าง) ")</f>
        <v>Doi Chaang (กาแฟดอยช้าง) </v>
      </c>
    </row>
    <row r="34">
      <c r="A34" s="1" t="s">
        <v>34</v>
      </c>
      <c r="C34" s="2" t="str">
        <f>HYPERLINK("http://4sq.com/9re5J6","Night Food Stall Street ")</f>
        <v>Night Food Stall Street </v>
      </c>
    </row>
    <row r="35">
      <c r="A35" s="1" t="s">
        <v>35</v>
      </c>
      <c r="C35" s="2" t="str">
        <f>HYPERLINK("http://4sq.com/aGMW2Q","The Landmark Bangkok ")</f>
        <v>The Landmark Bangkok </v>
      </c>
    </row>
    <row r="36">
      <c r="A36" s="1" t="s">
        <v>36</v>
      </c>
      <c r="C36" s="2" t="str">
        <f>HYPERLINK("http://4sq.com/aeDVYJ","Pullman Bangkok King Power ")</f>
        <v>Pullman Bangkok King Power </v>
      </c>
    </row>
    <row r="37">
      <c r="A37" s="1" t="s">
        <v>37</v>
      </c>
      <c r="C37" s="2" t="str">
        <f>HYPERLINK("http://4sq.com/g7rpC8","Playtime@Play Lane ")</f>
        <v>Playtime@Play Lane </v>
      </c>
    </row>
    <row r="38">
      <c r="A38" s="1" t="s">
        <v>38</v>
      </c>
      <c r="C38" s="2" t="str">
        <f>HYPERLINK("http://4sq.com/e3gDzA","Omu (โอมุ) おむ ")</f>
        <v>Omu (โอมุ) おむ </v>
      </c>
    </row>
    <row r="39">
      <c r="A39" s="1" t="s">
        <v>39</v>
      </c>
      <c r="C39" s="2" t="str">
        <f>HYPERLINK("http://4sq.com/yiWuCo","PTT: Nak Niwat ")</f>
        <v>PTT: Nak Niwat </v>
      </c>
    </row>
    <row r="40">
      <c r="A40" s="1" t="s">
        <v>40</v>
      </c>
      <c r="C40" s="2" t="str">
        <f>HYPERLINK("http://4sq.com/cbXVJ2","การไฟฟ้านครหลวงเขต สาขาย่อยนาคนิวาส ")</f>
        <v>การไฟฟ้านครหลวงเขต สาขาย่อยนาคนิวาส </v>
      </c>
    </row>
    <row r="41">
      <c r="A41" s="1" t="s">
        <v>41</v>
      </c>
      <c r="C41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</row>
    <row r="42">
      <c r="A42" s="1" t="s">
        <v>42</v>
      </c>
      <c r="C42" s="2" t="str">
        <f>HYPERLINK("http://4sq.com/57s7nj","BTS สะพานตากสิน (Saphan Taksin) S6 ")</f>
        <v>BTS สะพานตากสิน (Saphan Taksin) S6 </v>
      </c>
    </row>
    <row r="43">
      <c r="A43" s="1" t="s">
        <v>43</v>
      </c>
      <c r="C43" s="2" t="str">
        <f>HYPERLINK("http://4sq.com/dgiNh8","River City (ริเวอร์ซิตี้) ")</f>
        <v>River City (ริเวอร์ซิตี้) </v>
      </c>
    </row>
    <row r="44">
      <c r="A44" s="1" t="s">
        <v>43</v>
      </c>
      <c r="C44" s="2" t="str">
        <f t="shared" ref="C44:C45" si="3">HYPERLINK("http://4sq.com/nTqH1Q","Viva &amp; Aviv The River ")</f>
        <v>Viva &amp; Aviv The River </v>
      </c>
    </row>
    <row r="45">
      <c r="A45" s="1" t="s">
        <v>44</v>
      </c>
      <c r="C45" s="2" t="str">
        <f t="shared" si="3"/>
        <v>Viva &amp; Aviv The River </v>
      </c>
    </row>
    <row r="46">
      <c r="A46" s="1" t="s">
        <v>45</v>
      </c>
      <c r="C46" s="2" t="str">
        <f>HYPERLINK("http://4sq.com/60bYEf","ปากคลองตลาด (Pak Khlong Market) ")</f>
        <v>ปากคลองตลาด (Pak Khlong Market) </v>
      </c>
    </row>
    <row r="47">
      <c r="A47" s="1" t="s">
        <v>46</v>
      </c>
      <c r="C47" s="2" t="str">
        <f>HYPERLINK("http://4sq.com/P9FO7e","Wine I Love You ")</f>
        <v>Wine I Love You </v>
      </c>
    </row>
    <row r="48">
      <c r="A48" s="1" t="s">
        <v>47</v>
      </c>
      <c r="C48" s="2" t="str">
        <f>HYPERLINK("http://4sq.com/9n3t6o","Pullman Bangkok Hotel G ")</f>
        <v>Pullman Bangkok Hotel G </v>
      </c>
    </row>
    <row r="49">
      <c r="A49" s="1" t="s">
        <v>48</v>
      </c>
      <c r="C49" s="2" t="str">
        <f>HYPERLINK("http://4sq.com/aMJWwb","Scarlett ")</f>
        <v>Scarlett </v>
      </c>
    </row>
    <row r="50">
      <c r="A50" s="1" t="s">
        <v>49</v>
      </c>
      <c r="C50" s="2" t="str">
        <f>HYPERLINK("http://4sq.com/Oc8ITm","El Osito Sandwiches &amp; Tapas ")</f>
        <v>El Osito Sandwiches &amp; Tapas </v>
      </c>
    </row>
    <row r="51">
      <c r="A51" s="1" t="s">
        <v>50</v>
      </c>
      <c r="C51" s="2" t="str">
        <f>HYPERLINK("http://4sq.com/hoFGT4","Mojo's ")</f>
        <v>Mojo's </v>
      </c>
    </row>
    <row r="52">
      <c r="A52" s="1" t="s">
        <v>51</v>
      </c>
      <c r="C52" s="2" t="str">
        <f>HYPERLINK("http://4sq.com/KWSriA","Bangkok Burger Company ")</f>
        <v>Bangkok Burger Company </v>
      </c>
    </row>
    <row r="53">
      <c r="A53" s="1" t="s">
        <v>52</v>
      </c>
      <c r="C53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54">
      <c r="A54" s="1" t="s">
        <v>53</v>
      </c>
      <c r="C54" s="2" t="str">
        <f>HYPERLINK("http://4sq.com/cbfq7a","Krabi International Airport (KBV) ท่าอากาศยานนานาชาติกระบี่ ")</f>
        <v>Krabi International Airport (KBV) ท่าอากาศยานนานาชาติกระบี่ </v>
      </c>
    </row>
    <row r="55">
      <c r="A55" s="1" t="s">
        <v>54</v>
      </c>
      <c r="C55" s="2" t="str">
        <f>HYPERLINK("http://4sq.com/9OK8r7","Aonang Paradise Resort &amp; Longstay ")</f>
        <v>Aonang Paradise Resort &amp; Longstay </v>
      </c>
    </row>
    <row r="56">
      <c r="A56" s="1" t="s">
        <v>55</v>
      </c>
      <c r="C56" s="2" t="str">
        <f>HYPERLINK("http://4sq.com/9fAfRE","วังทรายซีฟู้ด (Wang Sai Seafood) ")</f>
        <v>วังทรายซีฟู้ด (Wang Sai Seafood) </v>
      </c>
    </row>
    <row r="57">
      <c r="A57" s="1" t="s">
        <v>56</v>
      </c>
      <c r="C57" s="2" t="str">
        <f t="shared" ref="C57:C58" si="4">HYPERLINK("http://4sq.com/6gRhAV","Railay Beach West (อ่าวไร่เลย์) ")</f>
        <v>Railay Beach West (อ่าวไร่เลย์) </v>
      </c>
    </row>
    <row r="58">
      <c r="A58" s="1" t="s">
        <v>57</v>
      </c>
      <c r="C58" s="2" t="str">
        <f t="shared" si="4"/>
        <v>Railay Beach West (อ่าวไร่เลย์) </v>
      </c>
    </row>
    <row r="59">
      <c r="A59" s="1" t="s">
        <v>58</v>
      </c>
      <c r="C59" s="2" t="str">
        <f>HYPERLINK("http://4sq.com/j9s9G6","The Last Fisherman Bar, Ao Nang ")</f>
        <v>The Last Fisherman Bar, Ao Nang </v>
      </c>
    </row>
    <row r="60">
      <c r="A60" s="1" t="s">
        <v>59</v>
      </c>
      <c r="C60" s="2" t="str">
        <f>HYPERLINK("http://4sq.com/i8BiCV","Coconut Bar ")</f>
        <v>Coconut Bar </v>
      </c>
    </row>
    <row r="61">
      <c r="A61" s="1" t="s">
        <v>60</v>
      </c>
      <c r="C61" s="2" t="str">
        <f>HYPERLINK("http://4sq.com/bvrzTO","Blue Orchid Cafe ")</f>
        <v>Blue Orchid Cafe </v>
      </c>
    </row>
    <row r="62">
      <c r="A62" s="1" t="s">
        <v>61</v>
      </c>
      <c r="C62" s="2" t="str">
        <f>HYPERLINK("http://4sq.com/bLIJPF","ร้านน้องโจ๊ก ")</f>
        <v>ร้านน้องโจ๊ก </v>
      </c>
    </row>
    <row r="63">
      <c r="A63" s="1" t="s">
        <v>62</v>
      </c>
      <c r="C63" s="2" t="str">
        <f>HYPERLINK("http://4sq.com/cbfq7a","Krabi International Airport (KBV) ท่าอากาศยานนานาชาติกระบี่ ")</f>
        <v>Krabi International Airport (KBV) ท่าอากาศยานนานาชาติกระบี่ </v>
      </c>
    </row>
    <row r="64">
      <c r="A64" s="1" t="s">
        <v>63</v>
      </c>
      <c r="C64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65">
      <c r="A65" s="1" t="s">
        <v>64</v>
      </c>
      <c r="C65" s="2" t="str">
        <f>HYPERLINK("http://4sq.com/bYsqsf","The Imperial Queen's Park Hotel ")</f>
        <v>The Imperial Queen's Park Hotel </v>
      </c>
    </row>
    <row r="66">
      <c r="A66" s="1" t="s">
        <v>65</v>
      </c>
      <c r="C66" s="2" t="str">
        <f>HYPERLINK("http://4sq.com/9j2fhe","Doi Chaang Coffe ")</f>
        <v>Doi Chaang Coffe </v>
      </c>
    </row>
    <row r="67">
      <c r="A67" s="1" t="s">
        <v>66</v>
      </c>
      <c r="C67" s="2" t="str">
        <f>HYPERLINK("http://4sq.com/cZkLQo","Siam Wheels ")</f>
        <v>Siam Wheels </v>
      </c>
    </row>
    <row r="68">
      <c r="A68" s="1" t="s">
        <v>67</v>
      </c>
      <c r="C68" s="2" t="str">
        <f>HYPERLINK("http://4sq.com/TZNcDc","Charlie San Fran Restaurant ")</f>
        <v>Charlie San Fran Restaurant </v>
      </c>
    </row>
    <row r="69">
      <c r="A69" s="1" t="s">
        <v>68</v>
      </c>
      <c r="C69" s="2" t="str">
        <f>HYPERLINK("http://4sq.com/nqZDxe","Katip Restaurant ")</f>
        <v>Katip Restaurant </v>
      </c>
    </row>
    <row r="70">
      <c r="A70" s="1" t="s">
        <v>69</v>
      </c>
      <c r="C70" s="2" t="str">
        <f>HYPERLINK("http://4sq.com/bwtdbR","Durty Nelly's Irish Pub ")</f>
        <v>Durty Nelly's Irish Pub </v>
      </c>
    </row>
    <row r="71">
      <c r="A71" s="1" t="s">
        <v>70</v>
      </c>
      <c r="C71" s="2" t="str">
        <f>HYPERLINK("http://4sq.com/dbOIev","Bangkok Patana School (โรงเรียนบางกอกพัฒนา) ")</f>
        <v>Bangkok Patana School (โรงเรียนบางกอกพัฒนา) </v>
      </c>
    </row>
    <row r="72">
      <c r="A72" s="1" t="s">
        <v>71</v>
      </c>
      <c r="C72" s="2" t="str">
        <f>HYPERLINK("http://4sq.com/c4Rb2o","Attarod Cuisine (ครัวอรรถรส) ")</f>
        <v>Attarod Cuisine (ครัวอรรถรส) </v>
      </c>
    </row>
    <row r="73">
      <c r="A73" s="1" t="s">
        <v>72</v>
      </c>
      <c r="C73" s="2" t="str">
        <f>HYPERLINK("http://4sq.com/akePoH","TrueCoffee (ทรูคอฟฟี่) ")</f>
        <v>TrueCoffee (ทรูคอฟฟี่) </v>
      </c>
    </row>
    <row r="74">
      <c r="A74" s="1" t="s">
        <v>73</v>
      </c>
      <c r="C74" s="2" t="str">
        <f>HYPERLINK("http://4sq.com/5TNFC5","Bourbon St. ")</f>
        <v>Bourbon St. </v>
      </c>
    </row>
    <row r="75">
      <c r="A75" s="1" t="s">
        <v>74</v>
      </c>
      <c r="C75" s="2" t="str">
        <f>HYPERLINK("http://4sq.com/QsYXXs","Flow House Bangkok ")</f>
        <v>Flow House Bangkok </v>
      </c>
    </row>
    <row r="76">
      <c r="A76" s="1" t="s">
        <v>75</v>
      </c>
      <c r="C76" s="2" t="str">
        <f>HYPERLINK("http://4sq.com/OksxL5","Corn Dog Dude ")</f>
        <v>Corn Dog Dude </v>
      </c>
    </row>
    <row r="77">
      <c r="A77" s="1" t="s">
        <v>76</v>
      </c>
      <c r="C77" s="2" t="str">
        <f>HYPERLINK("http://4sq.com/eMPbUu","Kuppadeli ")</f>
        <v>Kuppadeli </v>
      </c>
    </row>
    <row r="78">
      <c r="A78" s="1" t="s">
        <v>77</v>
      </c>
      <c r="C78" s="2" t="str">
        <f>HYPERLINK("http://4sq.com/ci8faI","Offshore fish &amp; chips ")</f>
        <v>Offshore fish &amp; chips </v>
      </c>
    </row>
    <row r="79">
      <c r="A79" s="1" t="s">
        <v>78</v>
      </c>
      <c r="C79" s="2" t="str">
        <f>HYPERLINK("http://4sq.com/7GwAmp","BTS หมอชิต (Mo Chit) N8 ")</f>
        <v>BTS หมอชิต (Mo Chit) N8 </v>
      </c>
    </row>
    <row r="80">
      <c r="A80" s="1" t="s">
        <v>79</v>
      </c>
      <c r="C80" s="2" t="str">
        <f>HYPERLINK("http://4sq.com/T822K5","J.J Market Weekend ")</f>
        <v>J.J Market Weekend </v>
      </c>
    </row>
    <row r="81">
      <c r="A81" s="1" t="s">
        <v>80</v>
      </c>
      <c r="C81" s="2" t="str">
        <f>HYPERLINK("http://4sq.com/5BK2lU","MRT สวนจตุจักร (Chatuchak Park) CHA ")</f>
        <v>MRT สวนจตุจักร (Chatuchak Park) CHA </v>
      </c>
    </row>
    <row r="82">
      <c r="A82" s="1" t="s">
        <v>81</v>
      </c>
      <c r="C82" s="2" t="str">
        <f>HYPERLINK("http://4sq.com/5TNFC5","Bourbon St. ")</f>
        <v>Bourbon St. </v>
      </c>
    </row>
    <row r="83">
      <c r="A83" s="1" t="s">
        <v>82</v>
      </c>
      <c r="C83" s="2" t="str">
        <f>HYPERLINK("http://4sq.com/g7rpC8","Playtime@Play Lane ")</f>
        <v>Playtime@Play Lane </v>
      </c>
    </row>
    <row r="84">
      <c r="A84" s="1" t="s">
        <v>83</v>
      </c>
      <c r="C84" s="2" t="str">
        <f>HYPERLINK("http://4sq.com/fAWkjh","Chu Chocolate Bar &amp; Cafe ")</f>
        <v>Chu Chocolate Bar &amp; Cafe </v>
      </c>
    </row>
    <row r="85">
      <c r="A85" s="1" t="s">
        <v>84</v>
      </c>
      <c r="C85" s="2" t="str">
        <f t="shared" ref="C85:C86" si="5">HYPERLINK("http://4sq.com/UxeAst","Chatrium Hotel Riverside ")</f>
        <v>Chatrium Hotel Riverside </v>
      </c>
    </row>
    <row r="86">
      <c r="A86" s="1" t="s">
        <v>85</v>
      </c>
      <c r="C86" s="2" t="str">
        <f t="shared" si="5"/>
        <v>Chatrium Hotel Riverside </v>
      </c>
    </row>
    <row r="87">
      <c r="A87" s="1" t="s">
        <v>86</v>
      </c>
      <c r="C87" s="2" t="str">
        <f>HYPERLINK("http://4sq.com/9kBTMC","Anna &amp; Charlie's Café ")</f>
        <v>Anna &amp; Charlie's Café </v>
      </c>
    </row>
    <row r="88">
      <c r="A88" s="1" t="s">
        <v>87</v>
      </c>
      <c r="C88" s="2" t="str">
        <f>HYPERLINK("http://4sq.com/6jd3M8","The Black Swan ")</f>
        <v>The Black Swan </v>
      </c>
    </row>
    <row r="89">
      <c r="A89" s="1" t="s">
        <v>88</v>
      </c>
      <c r="C89" s="2" t="str">
        <f>HYPERLINK("http://4sq.com/bxxPVU","Tesco Lotus (เทสโก้ โลตัส) ")</f>
        <v>Tesco Lotus (เทสโก้ โลตัส) </v>
      </c>
    </row>
    <row r="90">
      <c r="A90" s="1" t="s">
        <v>89</v>
      </c>
      <c r="C90" s="2" t="str">
        <f>HYPERLINK("http://4sq.com/5TNFC5","Bourbon St. ")</f>
        <v>Bourbon St. </v>
      </c>
    </row>
    <row r="91">
      <c r="A91" s="1" t="s">
        <v>90</v>
      </c>
      <c r="C91" s="2" t="str">
        <f>HYPERLINK("http://4sq.com/TZNcDc","Charlie San Fran Restaurant ")</f>
        <v>Charlie San Fran Restaurant </v>
      </c>
    </row>
    <row r="92">
      <c r="A92" s="1" t="s">
        <v>91</v>
      </c>
      <c r="C92" s="2" t="str">
        <f>HYPERLINK("http://4sq.com/RRKiSR","LAUNCHPAD ")</f>
        <v>LAUNCHPAD </v>
      </c>
    </row>
    <row r="93">
      <c r="A93" s="1" t="s">
        <v>92</v>
      </c>
      <c r="C93" s="2" t="str">
        <f>HYPERLINK("http://4sq.com/cB0spg","Sizzler (ซิซซ์เลอร์) ")</f>
        <v>Sizzler (ซิซซ์เลอร์) </v>
      </c>
    </row>
    <row r="94">
      <c r="A94" s="1" t="s">
        <v>93</v>
      </c>
      <c r="C94" s="2" t="str">
        <f>HYPERLINK("http://4sq.com/iDzqGG","The Connex Condominium ")</f>
        <v>The Connex Condominium </v>
      </c>
    </row>
    <row r="95">
      <c r="A95" s="1" t="s">
        <v>94</v>
      </c>
      <c r="C95" s="2" t="str">
        <f>HYPERLINK("http://4sq.com/a4OIRH","Petronas ศรีนครินทร์ ")</f>
        <v>Petronas ศรีนครินทร์ </v>
      </c>
    </row>
    <row r="96">
      <c r="A96" s="1" t="s">
        <v>95</v>
      </c>
      <c r="C96" s="2" t="str">
        <f>HYPERLINK("http://4sq.com/cnameF","BTS บางจาก (Bang Chak) E10 ")</f>
        <v>BTS บางจาก (Bang Chak) E10 </v>
      </c>
    </row>
    <row r="97">
      <c r="A97" s="1" t="s">
        <v>96</v>
      </c>
      <c r="C97" s="2" t="str">
        <f>HYPERLINK("http://4sq.com/dqI3BV","BTS อุดมสุข (Udom Suk) E12 ")</f>
        <v>BTS อุดมสุข (Udom Suk) E12 </v>
      </c>
    </row>
    <row r="98">
      <c r="A98" s="1" t="s">
        <v>97</v>
      </c>
      <c r="C98" s="2" t="str">
        <f>HYPERLINK("http://4sq.com/kqzwob","Oasis Bar&amp;Restauntrent ")</f>
        <v>Oasis Bar&amp;Restauntrent </v>
      </c>
    </row>
    <row r="99">
      <c r="A99" s="1" t="s">
        <v>98</v>
      </c>
      <c r="C99" s="2" t="str">
        <f>HYPERLINK("http://4sq.com/c8sCUC","Esso เกาะคา ")</f>
        <v>Esso เกาะคา </v>
      </c>
    </row>
    <row r="100">
      <c r="A100" s="1" t="s">
        <v>99</v>
      </c>
      <c r="C100" s="2" t="str">
        <f>HYPERLINK("http://4sq.com/gnUove","Aroon(rai)อรุณ(ไร) ")</f>
        <v>Aroon(rai)อรุณ(ไร) </v>
      </c>
    </row>
    <row r="101">
      <c r="A101" s="1" t="s">
        <v>100</v>
      </c>
      <c r="C101" s="2" t="str">
        <f>HYPERLINK("http://4sq.com/RmSfiO","Viva Chiang Mai ")</f>
        <v>Viva Chiang Mai </v>
      </c>
    </row>
    <row r="102">
      <c r="A102" s="1" t="s">
        <v>101</v>
      </c>
      <c r="C102" s="2" t="str">
        <f>HYPERLINK("http://4sq.com/a9YnRb","Coffee Bus ")</f>
        <v>Coffee Bus </v>
      </c>
    </row>
    <row r="103">
      <c r="A103" s="1" t="s">
        <v>102</v>
      </c>
      <c r="C103" s="2" t="str">
        <f>HYPERLINK("http://4sq.com/9Ddkzi","Doi Chaang Coffee @ Mae Suai ")</f>
        <v>Doi Chaang Coffee @ Mae Suai </v>
      </c>
    </row>
    <row r="104">
      <c r="A104" s="1" t="s">
        <v>103</v>
      </c>
      <c r="C104" s="2" t="str">
        <f>HYPERLINK("http://4sq.com/i6ovrr","Tesco Lotus Maechan ")</f>
        <v>Tesco Lotus Maechan </v>
      </c>
    </row>
    <row r="105">
      <c r="A105" s="1" t="s">
        <v>104</v>
      </c>
      <c r="C105" s="2" t="str">
        <f>HYPERLINK("http://4sq.com/OEMjhq","Barrab Restaurant ")</f>
        <v>Barrab Restaurant </v>
      </c>
    </row>
    <row r="106">
      <c r="A106" s="1" t="s">
        <v>105</v>
      </c>
      <c r="C106" s="2" t="str">
        <f>HYPERLINK("http://4sq.com/ueRACY","ST Motorcycle ")</f>
        <v>ST Motorcycle </v>
      </c>
    </row>
    <row r="107">
      <c r="A107" s="1" t="s">
        <v>106</v>
      </c>
      <c r="C107" s="2" t="str">
        <f>HYPERLINK("http://4sq.com/s1OduH","Amy Coffee @ Hotspring, Patueng ")</f>
        <v>Amy Coffee @ Hotspring, Patueng </v>
      </c>
    </row>
    <row r="108">
      <c r="A108" s="1" t="s">
        <v>107</v>
      </c>
      <c r="C108" s="2" t="str">
        <f>HYPERLINK("http://4sq.com/cTUv51","Mae Fah Luang - Chiang Rai International Airport (CEI) ท่าอากาศยานแม่ฟ้าหลวง เชียงราย ")</f>
        <v>Mae Fah Luang - Chiang Rai International Airport (CEI) ท่าอากาศยานแม่ฟ้าหลวง เชียงราย </v>
      </c>
    </row>
    <row r="109">
      <c r="A109" s="1" t="s">
        <v>108</v>
      </c>
      <c r="C109" s="2" t="str">
        <f>HYPERLINK("http://4sq.com/Os1Y3r","ข้าวซอยสูตรเหมืองฮ่อ||ข้างกรุงไทย ")</f>
        <v>ข้าวซอยสูตรเหมืองฮ่อ||ข้างกรุงไทย </v>
      </c>
    </row>
    <row r="110">
      <c r="A110" s="1" t="s">
        <v>109</v>
      </c>
      <c r="C110" s="2" t="str">
        <f>HYPERLINK("http://4sq.com/tLh2wl","สวีทแม่สลอง (Sweet Maesalong) ")</f>
        <v>สวีทแม่สลอง (Sweet Maesalong) </v>
      </c>
    </row>
    <row r="111">
      <c r="A111" s="1" t="s">
        <v>110</v>
      </c>
      <c r="C111" s="2" t="str">
        <f>HYPERLINK("http://4sq.com/ueRACY","ST Motorcycle ")</f>
        <v>ST Motorcycle </v>
      </c>
    </row>
    <row r="112">
      <c r="A112" s="1" t="s">
        <v>111</v>
      </c>
      <c r="C112" s="2" t="str">
        <f>HYPERLINK("http://4sq.com/qW6Xmi","Kaffee Hub Chiangrai | เชียงรายรำลึก ")</f>
        <v>Kaffee Hub Chiangrai | เชียงรายรำลึก </v>
      </c>
    </row>
    <row r="113">
      <c r="A113" s="1" t="s">
        <v>112</v>
      </c>
      <c r="C113" s="2" t="str">
        <f>HYPERLINK("http://4sq.com/ifi3s2","Teepee Bar ")</f>
        <v>Teepee Bar </v>
      </c>
    </row>
    <row r="114">
      <c r="A114" s="1" t="s">
        <v>113</v>
      </c>
      <c r="C114" s="2" t="str">
        <f>HYPERLINK("http://4sq.com/rXCeNp","ตลาดโต้รุ่งแม่จัน ")</f>
        <v>ตลาดโต้รุ่งแม่จัน </v>
      </c>
    </row>
    <row r="115">
      <c r="A115" s="1" t="s">
        <v>114</v>
      </c>
      <c r="C115" s="2" t="str">
        <f>HYPERLINK("http://4sq.com/s1OduH","Amy Coffee @ Hotspring, Patueng ")</f>
        <v>Amy Coffee @ Hotspring, Patueng </v>
      </c>
    </row>
    <row r="116">
      <c r="A116" s="1" t="s">
        <v>115</v>
      </c>
      <c r="C116" s="2" t="str">
        <f>HYPERLINK("http://4sq.com/i6ovrr","Tesco Lotus Maechan ")</f>
        <v>Tesco Lotus Maechan 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2.63"/>
    <col customWidth="1" min="3" max="3" width="53.38"/>
  </cols>
  <sheetData>
    <row r="1">
      <c r="A1" s="1" t="s">
        <v>116</v>
      </c>
      <c r="C1" s="2" t="str">
        <f>HYPERLINK("http://4sq.com/g5GjRR","อู่รถสมบัติทัวร์ นางแล | Sombat Tour Hub ")</f>
        <v>อู่รถสมบัติทัวร์ นางแล | Sombat Tour Hub </v>
      </c>
      <c r="F1" s="4" t="s">
        <v>2006</v>
      </c>
      <c r="G1" s="4" t="s">
        <v>2007</v>
      </c>
      <c r="H1" s="5" t="s">
        <v>2008</v>
      </c>
      <c r="I1" s="4" t="s">
        <v>2009</v>
      </c>
      <c r="J1" s="4" t="s">
        <v>2010</v>
      </c>
    </row>
    <row r="2">
      <c r="A2" s="1" t="s">
        <v>117</v>
      </c>
      <c r="C2" s="2" t="str">
        <f>HYPERLINK("http://4sq.com/9Ddkzi","Doi Chaang Coffee @ Mae Suai ")</f>
        <v>Doi Chaang Coffee @ Mae Suai </v>
      </c>
      <c r="F2" t="str">
        <f t="shared" ref="F2:H2" si="1">INDEX(A:C, RANDBETWEEN(1, ROWS(2:117)), RANDBETWEEN(1, COLUMNS(C:C)))</f>
        <v>February 02, 2013 at 08:11PM</v>
      </c>
      <c r="G2" t="str">
        <f t="shared" si="1"/>
        <v/>
      </c>
      <c r="H2" s="2" t="str">
        <f t="shared" si="1"/>
        <v>ทุ่งดอกบัวตอง ดอยแม่อูคอ </v>
      </c>
      <c r="I2" s="7" t="str">
        <f t="array" ref="I2">INDEX(C:C, RANDBETWEEN(1, ROWS(1:116)), RANDBETWEEN(1, COLUMNS(C:C)))</f>
        <v>Bangkok Tree House </v>
      </c>
      <c r="J2" t="str">
        <f>CONCATENATE(F2," ",H2)</f>
        <v>February 02, 2013 at 08:11PM ทุ่งดอกบัวตอง ดอยแม่อูคอ </v>
      </c>
    </row>
    <row r="3">
      <c r="A3" s="1" t="s">
        <v>118</v>
      </c>
      <c r="C3" s="2" t="str">
        <f>HYPERLINK("http://4sq.com/xhvGSx","ปั้ม ปตท. แม่ขะจาน @เชียงราย ")</f>
        <v>ปั้ม ปตท. แม่ขะจาน @เชียงราย </v>
      </c>
    </row>
    <row r="4">
      <c r="A4" s="1" t="s">
        <v>119</v>
      </c>
      <c r="C4" s="2" t="str">
        <f>HYPERLINK("http://4sq.com/dIkmO1","PTT Sukhum Service ")</f>
        <v>PTT Sukhum Service </v>
      </c>
    </row>
    <row r="5">
      <c r="A5" s="1" t="s">
        <v>120</v>
      </c>
      <c r="C5" s="2" t="str">
        <f>HYPERLINK("http://4sq.com/mTpKQC","Lai Thai Guest House ")</f>
        <v>Lai Thai Guest House </v>
      </c>
    </row>
    <row r="6">
      <c r="A6" s="1" t="s">
        <v>121</v>
      </c>
      <c r="C6" s="2" t="str">
        <f>HYPERLINK("http://4sq.com/beCFWD","Miguel's Cafe ")</f>
        <v>Miguel's Cafe </v>
      </c>
    </row>
    <row r="7">
      <c r="A7" s="1" t="s">
        <v>122</v>
      </c>
      <c r="C7" s="2" t="str">
        <f>HYPERLINK("http://4sq.com/g8cwa4","Mike's ")</f>
        <v>Mike's </v>
      </c>
    </row>
    <row r="8">
      <c r="A8" s="1" t="s">
        <v>123</v>
      </c>
      <c r="C8" s="2" t="str">
        <f>HYPERLINK("http://4sq.com/HNbK2G","Mr.MECHANIC Motorbike &amp; Car Service. ")</f>
        <v>Mr.MECHANIC Motorbike &amp; Car Service. </v>
      </c>
    </row>
    <row r="9">
      <c r="A9" s="1" t="s">
        <v>124</v>
      </c>
      <c r="C9" s="2" t="str">
        <f>HYPERLINK("http://4sq.com/bbzy6Y","Art Cafe ")</f>
        <v>Art Cafe </v>
      </c>
    </row>
    <row r="10">
      <c r="A10" s="1" t="s">
        <v>125</v>
      </c>
      <c r="C10" s="2" t="str">
        <f>HYPERLINK("http://4sq.com/mNtm2L","32 Coffee Hill ")</f>
        <v>32 Coffee Hill </v>
      </c>
    </row>
    <row r="11">
      <c r="A11" s="1" t="s">
        <v>126</v>
      </c>
      <c r="C11" s="2" t="str">
        <f>HYPERLINK("http://4sq.com/f5kmeu","อุทยานแห่งชาติห้วยน้ำดัง ")</f>
        <v>อุทยานแห่งชาติห้วยน้ำดัง </v>
      </c>
    </row>
    <row r="12">
      <c r="A12" s="1" t="s">
        <v>127</v>
      </c>
      <c r="C12" s="2" t="str">
        <f>HYPERLINK("http://4sq.com/tAjLBs","Pai Taley (ปายทะเล) ")</f>
        <v>Pai Taley (ปายทะเล) </v>
      </c>
    </row>
    <row r="13">
      <c r="A13" s="1" t="s">
        <v>128</v>
      </c>
      <c r="C13" s="2" t="str">
        <f>HYPERLINK("http://4sq.com/bT3Uy2","หมู่บ้านสันติชล (Santichon Village) ")</f>
        <v>หมู่บ้านสันติชล (Santichon Village) </v>
      </c>
    </row>
    <row r="14">
      <c r="A14" s="1" t="s">
        <v>129</v>
      </c>
      <c r="C14" s="2" t="str">
        <f>HYPERLINK("http://4sq.com/aWduYM","ปตท. (PTT) ")</f>
        <v>ปตท. (PTT) </v>
      </c>
    </row>
    <row r="15">
      <c r="A15" s="1" t="s">
        <v>130</v>
      </c>
      <c r="C15" s="2" t="str">
        <f>HYPERLINK("http://4sq.com/d7UfAw","จุดชมวิว ดอยกิ่วลม ")</f>
        <v>จุดชมวิว ดอยกิ่วลม </v>
      </c>
    </row>
    <row r="16">
      <c r="A16" s="1" t="s">
        <v>131</v>
      </c>
      <c r="C16" s="2" t="str">
        <f>HYPERLINK("http://4sq.com/zml408","Tam Wua Forest Monastery ")</f>
        <v>Tam Wua Forest Monastery </v>
      </c>
    </row>
    <row r="17">
      <c r="A17" s="1" t="s">
        <v>132</v>
      </c>
      <c r="C17" s="2" t="str">
        <f>HYPERLINK("http://4sq.com/UcMBQW","Kiang Doi House ")</f>
        <v>Kiang Doi House </v>
      </c>
    </row>
    <row r="18">
      <c r="A18" s="1" t="s">
        <v>133</v>
      </c>
      <c r="C18" s="2" t="str">
        <f>HYPERLINK("http://4sq.com/f32wBt","Sunflower Resturant ")</f>
        <v>Sunflower Resturant </v>
      </c>
    </row>
    <row r="19">
      <c r="A19" s="1" t="s">
        <v>134</v>
      </c>
      <c r="C19" s="2" t="str">
        <f>HYPERLINK("http://4sq.com/cT20LK","Crossroads (ครอสโรด) ")</f>
        <v>Crossroads (ครอสโรด) </v>
      </c>
    </row>
    <row r="20">
      <c r="A20" s="1" t="s">
        <v>135</v>
      </c>
      <c r="C20" s="2" t="str">
        <f t="shared" ref="C20:C21" si="2">HYPERLINK("http://4sq.com/UcMBQW","Kiang Doi House ")</f>
        <v>Kiang Doi House </v>
      </c>
    </row>
    <row r="21">
      <c r="A21" s="1" t="s">
        <v>136</v>
      </c>
      <c r="C21" s="2" t="str">
        <f t="shared" si="2"/>
        <v>Kiang Doi House </v>
      </c>
    </row>
    <row r="22">
      <c r="A22" s="1" t="s">
        <v>137</v>
      </c>
      <c r="C22" s="2" t="str">
        <f>HYPERLINK("http://4sq.com/hLRA40","ร้านกาแฟจุดชมวิวเขื่อนผาบ่อง ")</f>
        <v>ร้านกาแฟจุดชมวิวเขื่อนผาบ่อง </v>
      </c>
    </row>
    <row r="23">
      <c r="A23" s="1" t="s">
        <v>138</v>
      </c>
      <c r="C23" s="2" t="str">
        <f>HYPERLINK("http://4sq.com/pNl4US","PTT อ.ขุนยวม ")</f>
        <v>PTT อ.ขุนยวม </v>
      </c>
    </row>
    <row r="24">
      <c r="A24" s="1" t="s">
        <v>139</v>
      </c>
      <c r="C24" s="2" t="str">
        <f>HYPERLINK("http://4sq.com/cCirdB","ทุ่งดอกบัวตอง ดอยแม่อูคอ ")</f>
        <v>ทุ่งดอกบัวตอง ดอยแม่อูคอ </v>
      </c>
    </row>
    <row r="25">
      <c r="A25" s="1" t="s">
        <v>140</v>
      </c>
      <c r="C25" s="2" t="str">
        <f>HYPERLINK("http://4sq.com/GNS0LW","PARK HEADQUARTERS | ที่ทำการอุทยานแห่งชาติดอยอินทนนท์ ")</f>
        <v>PARK HEADQUARTERS | ที่ทำการอุทยานแห่งชาติดอยอินทนนท์ </v>
      </c>
    </row>
    <row r="26">
      <c r="A26" s="1" t="s">
        <v>141</v>
      </c>
      <c r="C26" s="2" t="str">
        <f>HYPERLINK("http://4sq.com/8YhtW5","ECO HUT INTHANON ")</f>
        <v>ECO HUT INTHANON </v>
      </c>
    </row>
    <row r="27">
      <c r="A27" s="1" t="s">
        <v>142</v>
      </c>
      <c r="C27" s="2" t="str">
        <f>HYPERLINK("http://4sq.com/UAG9Uc","กาแฟห้วยผึ้ง ")</f>
        <v>กาแฟห้วยผึ้ง </v>
      </c>
    </row>
    <row r="28">
      <c r="A28" s="1" t="s">
        <v>143</v>
      </c>
      <c r="C28" s="2" t="str">
        <f>HYPERLINK("http://4sq.com/ddc64z","Bake &amp; Bite ")</f>
        <v>Bake &amp; Bite </v>
      </c>
    </row>
    <row r="29">
      <c r="A29" s="1" t="s">
        <v>144</v>
      </c>
      <c r="C29" s="2" t="str">
        <f>HYPERLINK("http://4sq.com/HNbK2G","Mr.MECHANIC Motorbike &amp; Car Service. ")</f>
        <v>Mr.MECHANIC Motorbike &amp; Car Service. </v>
      </c>
    </row>
    <row r="30">
      <c r="A30" s="1" t="s">
        <v>145</v>
      </c>
      <c r="C30" s="2" t="str">
        <f>HYPERLINK("http://4sq.com/RmSfiO","Viva Chiang Mai ")</f>
        <v>Viva Chiang Mai </v>
      </c>
    </row>
    <row r="31">
      <c r="A31" s="1" t="s">
        <v>146</v>
      </c>
      <c r="C31" s="2" t="str">
        <f>HYPERLINK("http://4sq.com/gX9uNy","สวนป่าทุ่งเกวียน ")</f>
        <v>สวนป่าทุ่งเกวียน </v>
      </c>
    </row>
    <row r="32">
      <c r="A32" s="1" t="s">
        <v>147</v>
      </c>
      <c r="C32" s="2" t="str">
        <f t="shared" ref="C32:C33" si="3">HYPERLINK("http://4sq.com/fG8sEn","กาดทุ่งเกวียน (Kad Tung Kwian) ")</f>
        <v>กาดทุ่งเกวียน (Kad Tung Kwian) </v>
      </c>
    </row>
    <row r="33">
      <c r="A33" s="1" t="s">
        <v>148</v>
      </c>
      <c r="C33" s="2" t="str">
        <f t="shared" si="3"/>
        <v>กาดทุ่งเกวียน (Kad Tung Kwian) </v>
      </c>
    </row>
    <row r="34">
      <c r="A34" s="1" t="s">
        <v>149</v>
      </c>
      <c r="C34" s="2" t="str">
        <f>HYPERLINK("http://4sq.com/gm1HIK","PTT อ.เถิน ")</f>
        <v>PTT อ.เถิน </v>
      </c>
    </row>
    <row r="35">
      <c r="A35" s="1" t="s">
        <v>150</v>
      </c>
      <c r="C35" s="2" t="str">
        <f>HYPERLINK("http://4sq.com/kzulD0","Grand View Resort ")</f>
        <v>Grand View Resort </v>
      </c>
    </row>
    <row r="36">
      <c r="A36" s="1" t="s">
        <v>151</v>
      </c>
      <c r="C36" s="2" t="str">
        <f>HYPERLINK("http://4sq.com/vT9TBf","ร้าน บ้านริมน้ำ ")</f>
        <v>ร้าน บ้านริมน้ำ </v>
      </c>
    </row>
    <row r="37">
      <c r="A37" s="1" t="s">
        <v>152</v>
      </c>
      <c r="C37" s="2" t="str">
        <f>HYPERLINK("http://4sq.com/b5UyWa","โกตี๋ ข้าวมันไก่ ")</f>
        <v>โกตี๋ ข้าวมันไก่ </v>
      </c>
    </row>
    <row r="38">
      <c r="A38" s="1" t="s">
        <v>153</v>
      </c>
      <c r="B38" s="1" t="s">
        <v>154</v>
      </c>
      <c r="C38" s="2" t="str">
        <f>HYPERLINK("http://4sq.com/rf8y6l","สวนสาธารณะ หน้าเทศบาล น.ว. ")</f>
        <v>สวนสาธารณะ หน้าเทศบาล น.ว. </v>
      </c>
    </row>
    <row r="39">
      <c r="A39" s="1" t="s">
        <v>155</v>
      </c>
      <c r="C39" s="2" t="str">
        <f>HYPERLINK("http://4sq.com/mPF2qT","ปตท. (PTT Petrol Station) ")</f>
        <v>ปตท. (PTT Petrol Station) </v>
      </c>
    </row>
    <row r="40">
      <c r="A40" s="1" t="s">
        <v>156</v>
      </c>
      <c r="C40" s="2" t="str">
        <f>HYPERLINK("http://4sq.com/UXFkqt","Praewa Hair Love U ")</f>
        <v>Praewa Hair Love U </v>
      </c>
    </row>
    <row r="41">
      <c r="A41" s="1" t="s">
        <v>157</v>
      </c>
      <c r="C41" s="2" t="str">
        <f>HYPERLINK("http://4sq.com/cBNlEG","แสงทองบูรพา ")</f>
        <v>แสงทองบูรพา </v>
      </c>
    </row>
    <row r="42">
      <c r="A42" s="1" t="s">
        <v>158</v>
      </c>
      <c r="C42" s="2" t="str">
        <f>HYPERLINK("http://4sq.com/pmzVNR","ผัดไทเอกมัย ")</f>
        <v>ผัดไทเอกมัย </v>
      </c>
    </row>
    <row r="43">
      <c r="A43" s="1" t="s">
        <v>159</v>
      </c>
      <c r="C43" s="2" t="str">
        <f>HYPERLINK("http://4sq.com/cU7tIJ","Terminal 21 (เทอร์มินอล ทเวนตี้วัน) ")</f>
        <v>Terminal 21 (เทอร์มินอล ทเวนตี้วัน) </v>
      </c>
    </row>
    <row r="44">
      <c r="A44" s="1" t="s">
        <v>160</v>
      </c>
      <c r="C44" s="2" t="str">
        <f>HYPERLINK("http://4sq.com/ynqN58","Burger Factory ")</f>
        <v>Burger Factory </v>
      </c>
    </row>
    <row r="45">
      <c r="A45" s="1" t="s">
        <v>161</v>
      </c>
      <c r="C45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</row>
    <row r="46">
      <c r="A46" s="1" t="s">
        <v>162</v>
      </c>
      <c r="C46" s="2" t="str">
        <f>HYPERLINK("http://4sq.com/LNyf41","Nagiya(นากิยะ) なぎ屋 ")</f>
        <v>Nagiya(นากิยะ) なぎ屋 </v>
      </c>
    </row>
    <row r="47">
      <c r="A47" s="1" t="s">
        <v>163</v>
      </c>
      <c r="C47" s="2" t="str">
        <f>HYPERLINK("http://4sq.com/dkZhz0","Al Ferdoss Restaurant ")</f>
        <v>Al Ferdoss Restaurant </v>
      </c>
    </row>
    <row r="48">
      <c r="A48" s="1" t="s">
        <v>164</v>
      </c>
      <c r="C48" s="2" t="str">
        <f>HYPERLINK("http://4sq.com/5TNFC5","Bourbon St. ")</f>
        <v>Bourbon St. </v>
      </c>
    </row>
    <row r="49">
      <c r="A49" s="1" t="s">
        <v>165</v>
      </c>
      <c r="C49" s="2" t="str">
        <f>HYPERLINK("http://4sq.com/9Olgvc","Kuppa (คัปป้า) ")</f>
        <v>Kuppa (คัปป้า) </v>
      </c>
    </row>
    <row r="50">
      <c r="A50" s="1" t="s">
        <v>166</v>
      </c>
      <c r="C50" s="2" t="str">
        <f>HYPERLINK("http://4sq.com/bsJwZJ","55 โภชนา ")</f>
        <v>55 โภชนา </v>
      </c>
    </row>
    <row r="51">
      <c r="A51" s="1" t="s">
        <v>167</v>
      </c>
      <c r="C51" s="2" t="str">
        <f>HYPERLINK("http://4sq.com/T8jQ9l","Pastel &amp; Monochrome ")</f>
        <v>Pastel &amp; Monochrome </v>
      </c>
    </row>
    <row r="52">
      <c r="A52" s="1" t="s">
        <v>168</v>
      </c>
      <c r="C52" s="2" t="str">
        <f>HYPERLINK("http://4sq.com/bwtdbR","Durty Nelly's Irish Pub ")</f>
        <v>Durty Nelly's Irish Pub </v>
      </c>
    </row>
    <row r="53">
      <c r="A53" s="1" t="s">
        <v>169</v>
      </c>
      <c r="C53" s="2" t="str">
        <f>HYPERLINK("http://4sq.com/fAWkjh","Chu Chocolate Bar &amp; Cafe ")</f>
        <v>Chu Chocolate Bar &amp; Cafe </v>
      </c>
    </row>
    <row r="54">
      <c r="A54" s="1" t="s">
        <v>170</v>
      </c>
      <c r="C54" s="2" t="str">
        <f>HYPERLINK("http://4sq.com/hphxyG","Madrid Pizzeria &amp; Bar ")</f>
        <v>Madrid Pizzeria &amp; Bar </v>
      </c>
    </row>
    <row r="55">
      <c r="A55" s="1" t="s">
        <v>171</v>
      </c>
      <c r="C55" s="2" t="str">
        <f>HYPERLINK("http://4sq.com/zNftp2","Honda Big Wing ")</f>
        <v>Honda Big Wing </v>
      </c>
    </row>
    <row r="56">
      <c r="A56" s="1" t="s">
        <v>172</v>
      </c>
      <c r="C56" s="2" t="str">
        <f>HYPERLINK("http://4sq.com/bCCT2l","NYCC (เอ็นวายซีซี) ")</f>
        <v>NYCC (เอ็นวายซีซี) </v>
      </c>
    </row>
    <row r="57">
      <c r="A57" s="1" t="s">
        <v>173</v>
      </c>
      <c r="C57" s="2" t="str">
        <f>HYPERLINK("http://4sq.com/aVRndd","Playtime ")</f>
        <v>Playtime </v>
      </c>
    </row>
    <row r="58">
      <c r="A58" s="1" t="s">
        <v>174</v>
      </c>
      <c r="C58" s="2" t="str">
        <f>HYPERLINK("http://4sq.com/Za6aA0","ดนตรีในสวน ครั้งที่ ๒๐ (20th Concert in the Park) ")</f>
        <v>ดนตรีในสวน ครั้งที่ ๒๐ (20th Concert in the Park) </v>
      </c>
    </row>
    <row r="59">
      <c r="A59" s="1" t="s">
        <v>174</v>
      </c>
      <c r="C59" s="2" t="str">
        <f>HYPERLINK("http://4sq.com/7mM5V0","สวนลุมพินี (Lumphini Park) ")</f>
        <v>สวนลุมพินี (Lumphini Park) </v>
      </c>
    </row>
    <row r="60">
      <c r="A60" s="1" t="s">
        <v>175</v>
      </c>
      <c r="C60" s="2" t="str">
        <f>HYPERLINK("http://4sq.com/ynqN58","Burger Factory ")</f>
        <v>Burger Factory </v>
      </c>
    </row>
    <row r="61">
      <c r="A61" s="1" t="s">
        <v>176</v>
      </c>
      <c r="C61" s="2" t="str">
        <f>HYPERLINK("http://4sq.com/6jd3M8","The Black Swan ")</f>
        <v>The Black Swan </v>
      </c>
    </row>
    <row r="62">
      <c r="A62" s="1" t="s">
        <v>177</v>
      </c>
      <c r="C62" s="2" t="str">
        <f>HYPERLINK("http://4sq.com/bYsqsf","The Imperial Queen's Park Hotel ")</f>
        <v>The Imperial Queen's Park Hotel </v>
      </c>
    </row>
    <row r="63">
      <c r="A63" s="1" t="s">
        <v>178</v>
      </c>
      <c r="C63" s="2" t="str">
        <f>HYPERLINK("http://4sq.com/75fe2q","The Neilson Hays Library ")</f>
        <v>The Neilson Hays Library </v>
      </c>
    </row>
    <row r="64">
      <c r="A64" s="1" t="s">
        <v>179</v>
      </c>
      <c r="C64" s="2" t="str">
        <f>HYPERLINK("http://4sq.com/dkZhz0","Al Ferdoss Restaurant ")</f>
        <v>Al Ferdoss Restaurant </v>
      </c>
    </row>
    <row r="65">
      <c r="A65" s="1" t="s">
        <v>180</v>
      </c>
      <c r="C65" s="2" t="str">
        <f>HYPERLINK("http://4sq.com/QSWLGc","Digital 3D Paragon Cineplex ")</f>
        <v>Digital 3D Paragon Cineplex </v>
      </c>
    </row>
    <row r="66">
      <c r="A66" s="1" t="s">
        <v>181</v>
      </c>
      <c r="C66" s="2" t="str">
        <f>HYPERLINK("http://4sq.com/bwtdbR","Durty Nelly's Irish Pub ")</f>
        <v>Durty Nelly's Irish Pub </v>
      </c>
    </row>
    <row r="67">
      <c r="A67" s="1" t="s">
        <v>182</v>
      </c>
      <c r="C67" s="2" t="str">
        <f>HYPERLINK("http://4sq.com/7mM5V0","สวนลุมพินี (Lumphini Park) ")</f>
        <v>สวนลุมพินี (Lumphini Park) </v>
      </c>
    </row>
    <row r="68">
      <c r="A68" s="1" t="s">
        <v>183</v>
      </c>
      <c r="C68" s="2" t="str">
        <f>HYPERLINK("http://4sq.com/Za6aA0","ดนตรีในสวน ครั้งที่ ๒๐ (20th Concert in the Park) ")</f>
        <v>ดนตรีในสวน ครั้งที่ ๒๐ (20th Concert in the Park) </v>
      </c>
    </row>
    <row r="69">
      <c r="A69" s="1" t="s">
        <v>184</v>
      </c>
      <c r="C69" s="2" t="str">
        <f>HYPERLINK("http://4sq.com/aWTiyh","Rembrandt Hotel ")</f>
        <v>Rembrandt Hotel </v>
      </c>
    </row>
    <row r="70">
      <c r="A70" s="1" t="s">
        <v>185</v>
      </c>
      <c r="C70" s="2" t="str">
        <f>HYPERLINK("http://4sq.com/9AaIcE","ธนาคารกรุงเทพ (Bangkok Bank) ")</f>
        <v>ธนาคารกรุงเทพ (Bangkok Bank) </v>
      </c>
    </row>
    <row r="71">
      <c r="A71" s="1" t="s">
        <v>186</v>
      </c>
      <c r="C71" s="2" t="str">
        <f>HYPERLINK("http://4sq.com/aAoZyf","กองบังคับการตรวจคนเข้าเมือง 1 (Immigration Division 1) ")</f>
        <v>กองบังคับการตรวจคนเข้าเมือง 1 (Immigration Division 1) </v>
      </c>
    </row>
    <row r="72">
      <c r="A72" s="1" t="s">
        <v>187</v>
      </c>
      <c r="C72" s="2" t="str">
        <f>HYPERLINK("http://4sq.com/9lcPb2","Café Tartine (คาเฟ่ ทาร์ทีน) ")</f>
        <v>Café Tartine (คาเฟ่ ทาร์ทีน) </v>
      </c>
    </row>
    <row r="73">
      <c r="A73" s="1" t="s">
        <v>188</v>
      </c>
      <c r="C73" s="2" t="str">
        <f>HYPERLINK("http://4sq.com/cy76g9","Ad Makers ")</f>
        <v>Ad Makers </v>
      </c>
    </row>
    <row r="74">
      <c r="A74" s="1" t="s">
        <v>189</v>
      </c>
      <c r="C74" s="2" t="str">
        <f>HYPERLINK("http://4sq.com/Snd120","Spice Roads ")</f>
        <v>Spice Roads </v>
      </c>
    </row>
    <row r="75">
      <c r="A75" s="1" t="s">
        <v>190</v>
      </c>
      <c r="C75" s="2" t="str">
        <f>HYPERLINK("http://4sq.com/nZ7dSE","เสนาแวร์เฮ้าส์ ")</f>
        <v>เสนาแวร์เฮ้าส์ </v>
      </c>
    </row>
    <row r="76">
      <c r="A76" s="1" t="s">
        <v>191</v>
      </c>
      <c r="C76" s="2" t="str">
        <f>HYPERLINK("http://4sq.com/qL3pNr","Koh Sichang Pier ")</f>
        <v>Koh Sichang Pier </v>
      </c>
    </row>
    <row r="77">
      <c r="A77" s="1" t="s">
        <v>192</v>
      </c>
      <c r="C77" s="2" t="str">
        <f>HYPERLINK("http://4sq.com/fCOdo8","เบ๊นซ์บังกาโล | BenzBungalow ")</f>
        <v>เบ๊นซ์บังกาโล | BenzBungalow </v>
      </c>
    </row>
    <row r="78">
      <c r="A78" s="1" t="s">
        <v>193</v>
      </c>
      <c r="C78" s="2" t="str">
        <f>HYPERLINK("http://4sq.com/TUgrJ9","Paree Hut ห้องอาหาร ")</f>
        <v>Paree Hut ห้องอาหาร </v>
      </c>
    </row>
    <row r="79">
      <c r="A79" s="1" t="s">
        <v>194</v>
      </c>
      <c r="C79" s="2" t="str">
        <f>HYPERLINK("http://4sq.com/rilqPX","ช่องอิศริยาภรณ์ (เขาขาด) @ เกาะสีชัง ")</f>
        <v>ช่องอิศริยาภรณ์ (เขาขาด) @ เกาะสีชัง </v>
      </c>
    </row>
    <row r="80">
      <c r="A80" s="1" t="s">
        <v>195</v>
      </c>
      <c r="C80" s="2" t="str">
        <f>HYPERLINK("http://4sq.com/gWbUBa","หาดถ้ำพัง เกาะสีชัง ")</f>
        <v>หาดถ้ำพัง เกาะสีชัง </v>
      </c>
    </row>
    <row r="81">
      <c r="A81" s="1" t="s">
        <v>196</v>
      </c>
      <c r="C81" s="2" t="str">
        <f>HYPERLINK("http://4sq.com/ikeAXb","Malee Blue • • มาลีบลู ")</f>
        <v>Malee Blue • • มาลีบลู </v>
      </c>
    </row>
    <row r="82">
      <c r="A82" s="1" t="s">
        <v>197</v>
      </c>
      <c r="C82" s="2" t="str">
        <f>HYPERLINK("http://4sq.com/aej2KR","ท่าเรือเกาะสีชัง ")</f>
        <v>ท่าเรือเกาะสีชัง </v>
      </c>
    </row>
    <row r="83">
      <c r="A83" s="1" t="s">
        <v>198</v>
      </c>
      <c r="C83" s="2" t="str">
        <f>HYPERLINK("http://4sq.com/hHqW3C","ปตท (PTT) ")</f>
        <v>ปตท (PTT) </v>
      </c>
    </row>
    <row r="84">
      <c r="A84" s="1" t="s">
        <v>199</v>
      </c>
      <c r="C84" s="2" t="str">
        <f>HYPERLINK("http://4sq.com/glMZyL","The Clubhouse ")</f>
        <v>The Clubhouse </v>
      </c>
    </row>
    <row r="85">
      <c r="A85" s="1" t="s">
        <v>200</v>
      </c>
      <c r="C85" s="2" t="str">
        <f>HYPERLINK("http://4sq.com/QsYXXs","Flow House Bangkok ")</f>
        <v>Flow House Bangkok </v>
      </c>
    </row>
    <row r="86">
      <c r="A86" s="1" t="s">
        <v>201</v>
      </c>
      <c r="C86" s="2" t="str">
        <f>HYPERLINK("http://4sq.com/SaxnwB","Carl's Jr. (คาร์ลซ จูเนียร์) ")</f>
        <v>Carl's Jr. (คาร์ลซ จูเนียร์) </v>
      </c>
    </row>
    <row r="87">
      <c r="A87" s="1" t="s">
        <v>202</v>
      </c>
      <c r="C87" s="2" t="str">
        <f t="shared" ref="C87:C88" si="4">HYPERLINK("http://4sq.com/vAItUo","No Idea ")</f>
        <v>No Idea </v>
      </c>
    </row>
    <row r="88">
      <c r="A88" s="1" t="s">
        <v>202</v>
      </c>
      <c r="C88" s="2" t="str">
        <f t="shared" si="4"/>
        <v>No Idea </v>
      </c>
    </row>
    <row r="89">
      <c r="A89" s="1" t="s">
        <v>203</v>
      </c>
      <c r="C89" s="2" t="str">
        <f>HYPERLINK("http://4sq.com/bwtdbR","Durty Nelly's Irish Pub ")</f>
        <v>Durty Nelly's Irish Pub </v>
      </c>
    </row>
    <row r="90">
      <c r="A90" s="1" t="s">
        <v>204</v>
      </c>
      <c r="C90" s="2" t="str">
        <f>HYPERLINK("http://4sq.com/bxxPVU","Tesco Lotus (เทสโก้ โลตัส) ")</f>
        <v>Tesco Lotus (เทสโก้ โลตัส) </v>
      </c>
    </row>
    <row r="91">
      <c r="A91" s="1" t="s">
        <v>205</v>
      </c>
      <c r="C91" s="2" t="str">
        <f>HYPERLINK("http://4sq.com/aA7Ffl","Swensen's (สเวนเซ่นส์) ")</f>
        <v>Swensen's (สเวนเซ่นส์) </v>
      </c>
    </row>
    <row r="92">
      <c r="A92" s="1" t="s">
        <v>206</v>
      </c>
      <c r="C92" s="2" t="str">
        <f>HYPERLINK("http://4sq.com/zNftp2","Honda Big Wing ")</f>
        <v>Honda Big Wing </v>
      </c>
    </row>
    <row r="93">
      <c r="A93" s="1" t="s">
        <v>207</v>
      </c>
      <c r="C93" s="2" t="str">
        <f>HYPERLINK("http://4sq.com/c1oAhw","ครัวแสงดาวเสือ ")</f>
        <v>ครัวแสงดาวเสือ </v>
      </c>
    </row>
    <row r="94">
      <c r="A94" s="1" t="s">
        <v>208</v>
      </c>
      <c r="C94" s="2" t="str">
        <f>HYPERLINK("http://4sq.com/mXVBPd","FIREHOUSE Pub and Restaurant ")</f>
        <v>FIREHOUSE Pub and Restaurant </v>
      </c>
    </row>
    <row r="95">
      <c r="A95" s="1" t="s">
        <v>209</v>
      </c>
      <c r="C95" s="2" t="str">
        <f>HYPERLINK("http://4sq.com/ltmzu6","ท่าเรือวัดบางนานอก (Bangna Nok Temple Pier) ")</f>
        <v>ท่าเรือวัดบางนานอก (Bangna Nok Temple Pier) </v>
      </c>
    </row>
    <row r="96">
      <c r="A96" s="1" t="s">
        <v>210</v>
      </c>
      <c r="C96" s="2" t="str">
        <f>HYPERLINK("http://4sq.com/9re5J6","Night Food Stall Street ")</f>
        <v>Night Food Stall Street </v>
      </c>
    </row>
    <row r="97">
      <c r="A97" s="1" t="s">
        <v>211</v>
      </c>
      <c r="C97" s="2" t="str">
        <f>HYPERLINK("http://4sq.com/aj7BWY","Ramada Hotel &amp; Suites ")</f>
        <v>Ramada Hotel &amp; Suites </v>
      </c>
    </row>
    <row r="98">
      <c r="A98" s="1" t="s">
        <v>212</v>
      </c>
      <c r="C98" s="2" t="str">
        <f>HYPERLINK("http://4sq.com/cB0spg","Sizzler (ซิซซ์เลอร์) ")</f>
        <v>Sizzler (ซิซซ์เลอร์) </v>
      </c>
    </row>
    <row r="99">
      <c r="A99" s="1" t="s">
        <v>213</v>
      </c>
      <c r="C99" s="2" t="str">
        <f>HYPERLINK("http://4sq.com/KXLUq7","Bagel Cafe ")</f>
        <v>Bagel Cafe </v>
      </c>
    </row>
    <row r="100">
      <c r="A100" s="1" t="s">
        <v>214</v>
      </c>
      <c r="C100" s="2" t="str">
        <f>HYPERLINK("http://4sq.com/4SKUa9","Emporium (เอ็มโพเรียม) ")</f>
        <v>Emporium (เอ็มโพเรียม) </v>
      </c>
    </row>
    <row r="101">
      <c r="A101" s="1" t="s">
        <v>215</v>
      </c>
      <c r="C101" s="2" t="str">
        <f>HYPERLINK("http://4sq.com/bYsqsf","The Imperial Queen's Park Hotel ")</f>
        <v>The Imperial Queen's Park Hotel </v>
      </c>
    </row>
    <row r="102">
      <c r="A102" s="1" t="s">
        <v>216</v>
      </c>
      <c r="C102" s="2" t="str">
        <f>HYPERLINK("http://4sq.com/Qii9kZ","Starbucks (สตาร์บัคส์) ")</f>
        <v>Starbucks (สตาร์บัคส์) </v>
      </c>
    </row>
    <row r="103">
      <c r="A103" s="1" t="s">
        <v>217</v>
      </c>
      <c r="C103" s="2" t="str">
        <f>HYPERLINK("http://4sq.com/zWGLTd","หลักสองออยล์ ")</f>
        <v>หลักสองออยล์ </v>
      </c>
    </row>
    <row r="104">
      <c r="A104" s="1" t="s">
        <v>218</v>
      </c>
      <c r="C104" s="2" t="str">
        <f>HYPERLINK("http://4sq.com/93ZXkI","ตลาดน้ำบางน้ำผึ้ง (Bangnamphung Floating Market) ")</f>
        <v>ตลาดน้ำบางน้ำผึ้ง (Bangnamphung Floating Market) </v>
      </c>
    </row>
    <row r="105">
      <c r="A105" s="1" t="s">
        <v>219</v>
      </c>
      <c r="C105" s="2" t="str">
        <f t="shared" ref="C105:C106" si="5">HYPERLINK("http://4sq.com/oY0pgU","Bangkok Tree House ")</f>
        <v>Bangkok Tree House </v>
      </c>
    </row>
    <row r="106">
      <c r="A106" s="1" t="s">
        <v>220</v>
      </c>
      <c r="C106" s="2" t="str">
        <f t="shared" si="5"/>
        <v>Bangkok Tree House </v>
      </c>
    </row>
    <row r="107">
      <c r="A107" s="1" t="s">
        <v>221</v>
      </c>
      <c r="C107" s="2" t="str">
        <f>HYPERLINK("http://4sq.com/9mhamj","ท่าเรือวัดบางน้ำผึ้งนอก ")</f>
        <v>ท่าเรือวัดบางน้ำผึ้งนอก </v>
      </c>
    </row>
    <row r="108">
      <c r="A108" s="1" t="s">
        <v>222</v>
      </c>
      <c r="C108" s="2" t="str">
        <f>HYPERLINK("http://4sq.com/982T1S","Pro Wash Carcare ")</f>
        <v>Pro Wash Carcare </v>
      </c>
    </row>
    <row r="109">
      <c r="A109" s="1" t="s">
        <v>223</v>
      </c>
      <c r="C109" s="2" t="str">
        <f>HYPERLINK("http://4sq.com/5gnRsF","MBK Center (เอ็ม บี เค เซ็นเตอร์) ")</f>
        <v>MBK Center (เอ็ม บี เค เซ็นเตอร์) </v>
      </c>
    </row>
    <row r="110">
      <c r="A110" s="1" t="s">
        <v>224</v>
      </c>
      <c r="C110" s="2" t="str">
        <f>HYPERLINK("http://4sq.com/bwtdbR","Durty Nelly's Irish Pub ")</f>
        <v>Durty Nelly's Irish Pub </v>
      </c>
    </row>
    <row r="111">
      <c r="A111" s="1" t="s">
        <v>225</v>
      </c>
      <c r="C111" s="2" t="str">
        <f>HYPERLINK("http://4sq.com/c6UufL","Siam Center (สยามเซ็นเตอร์) ")</f>
        <v>Siam Center (สยามเซ็นเตอร์) </v>
      </c>
    </row>
    <row r="112">
      <c r="A112" s="1" t="s">
        <v>226</v>
      </c>
      <c r="C112" s="2" t="str">
        <f>HYPERLINK("http://4sq.com/MifImD","The Coffee Club ")</f>
        <v>The Coffee Club </v>
      </c>
    </row>
    <row r="113">
      <c r="A113" s="1" t="s">
        <v>227</v>
      </c>
      <c r="C113" s="2" t="str">
        <f>HYPERLINK("http://4sq.com/eMpweY","บ้านใร่ใบกระเพรา (Banrie Bai Ka Prao) ")</f>
        <v>บ้านใร่ใบกระเพรา (Banrie Bai Ka Prao) </v>
      </c>
    </row>
    <row r="114">
      <c r="A114" s="1" t="s">
        <v>228</v>
      </c>
      <c r="C114" s="2" t="str">
        <f>HYPERLINK("http://4sq.com/ew5vif","Ozono Plaza (โอโซโน่ พลาซ่า) ")</f>
        <v>Ozono Plaza (โอโซโน่ พลาซ่า) </v>
      </c>
    </row>
    <row r="115">
      <c r="A115" s="1" t="s">
        <v>229</v>
      </c>
      <c r="C115" s="2" t="str">
        <f>HYPERLINK("http://4sq.com/aj7BWY","Ramada Hotel &amp; Suites ")</f>
        <v>Ramada Hotel &amp; Suites </v>
      </c>
    </row>
    <row r="116">
      <c r="A116" s="1" t="s">
        <v>230</v>
      </c>
      <c r="C116" s="2" t="str">
        <f>HYPERLINK("http://4sq.com/bzeUlZ","Pantaree Restaurant ")</f>
        <v>Pantaree Restaurant </v>
      </c>
    </row>
    <row r="117">
      <c r="A117" s="1" t="s">
        <v>231</v>
      </c>
      <c r="C117" s="2" t="str">
        <f>HYPERLINK("http://4sq.com/cB0spg","Sizzler (ซิซซ์เลอร์) ")</f>
        <v>Sizzler (ซิซซ์เลอร์) </v>
      </c>
    </row>
    <row r="118">
      <c r="A118" s="1" t="s">
        <v>232</v>
      </c>
      <c r="C118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</row>
    <row r="119">
      <c r="A119" s="1" t="s">
        <v>233</v>
      </c>
      <c r="C119" s="2" t="str">
        <f>HYPERLINK("http://4sq.com/aAoZyf","กองบังคับการตรวจคนเข้าเมือง 1 (Immigration Division 1) ")</f>
        <v>กองบังคับการตรวจคนเข้าเมือง 1 (Immigration Division 1) </v>
      </c>
    </row>
    <row r="120">
      <c r="A120" s="1" t="s">
        <v>234</v>
      </c>
      <c r="C120" s="2" t="str">
        <f>HYPERLINK("http://4sq.com/b5LzKo","โรงพยาบาลพญาไท 3 (Phyathai 3 Hospital) ")</f>
        <v>โรงพยาบาลพญาไท 3 (Phyathai 3 Hospital) </v>
      </c>
    </row>
    <row r="121">
      <c r="A121" s="1" t="s">
        <v>235</v>
      </c>
      <c r="C121" s="2" t="str">
        <f>HYPERLINK("http://4sq.com/b0EgNb","Bua Restaurant ")</f>
        <v>Bua Restaurant </v>
      </c>
    </row>
    <row r="122">
      <c r="A122" s="1" t="s">
        <v>236</v>
      </c>
      <c r="C122" s="2" t="str">
        <f>HYPERLINK("http://4sq.com/9xcRFs","The Dubliner Irish Pub ")</f>
        <v>The Dubliner Irish Pub </v>
      </c>
    </row>
    <row r="123">
      <c r="A123" s="1" t="s">
        <v>237</v>
      </c>
      <c r="C123" s="2" t="str">
        <f>HYPERLINK("http://4sq.com/ri2r7x","Back Rooftop VIP at Qup ")</f>
        <v>Back Rooftop VIP at Qup </v>
      </c>
    </row>
    <row r="124">
      <c r="A124" s="1" t="s">
        <v>238</v>
      </c>
      <c r="C124" s="2" t="str">
        <f>HYPERLINK("http://4sq.com/JtOEww","Levels Club &amp; Lounge ")</f>
        <v>Levels Club &amp; Lounge </v>
      </c>
    </row>
    <row r="125">
      <c r="A125" s="1" t="s">
        <v>239</v>
      </c>
      <c r="C125" s="2" t="str">
        <f>HYPERLINK("http://4sq.com/aVRndd","Playtime ")</f>
        <v>Playtime </v>
      </c>
    </row>
    <row r="126">
      <c r="A126" s="1" t="s">
        <v>240</v>
      </c>
      <c r="C126" s="2" t="str">
        <f>HYPERLINK("http://4sq.com/ppZDWG","IKEA Bangna (อิเกีย บางนา) ")</f>
        <v>IKEA Bangna (อิเกีย บางนา) </v>
      </c>
    </row>
    <row r="127">
      <c r="A127" s="1" t="s">
        <v>241</v>
      </c>
      <c r="C127" s="2" t="str">
        <f>HYPERLINK("http://4sq.com/5TNFC5","Bourbon St. ")</f>
        <v>Bourbon St. </v>
      </c>
    </row>
    <row r="128">
      <c r="A128" s="1" t="s">
        <v>242</v>
      </c>
      <c r="C128" s="2" t="str">
        <f>HYPERLINK("http://4sq.com/bwtdbR","Durty Nelly's Irish Pub ")</f>
        <v>Durty Nelly's Irish Pub </v>
      </c>
    </row>
    <row r="129">
      <c r="A129" s="1" t="s">
        <v>243</v>
      </c>
      <c r="C129" s="2" t="str">
        <f>HYPERLINK("http://4sq.com/99TEId","Sunbelt Asia Co.,Ltd. ")</f>
        <v>Sunbelt Asia Co.,Ltd. </v>
      </c>
    </row>
    <row r="130">
      <c r="A130" s="1" t="s">
        <v>244</v>
      </c>
      <c r="C130" s="2" t="str">
        <f>HYPERLINK("http://4sq.com/aVUyRr","Fortune Town (ฟอร์จูนทาวน์) ")</f>
        <v>Fortune Town (ฟอร์จูนทาวน์) </v>
      </c>
    </row>
    <row r="131">
      <c r="A131" s="1" t="s">
        <v>245</v>
      </c>
      <c r="C131" s="2" t="str">
        <f>HYPERLINK("http://foursquare.com/v/4b65398ff964a5208fe92ae3","Fortune Town (ฟอร์จูนทาวน์) ")</f>
        <v>Fortune Town (ฟอร์จูนทาวน์) </v>
      </c>
    </row>
    <row r="132">
      <c r="A132" s="1" t="s">
        <v>246</v>
      </c>
      <c r="C132" s="2" t="str">
        <f>HYPERLINK("http://foursquare.com/v/4b0587fdf964a52034ab22e3","Siam Paragon (สยามพารากอน) ")</f>
        <v>Siam Paragon (สยามพารากอน) </v>
      </c>
    </row>
    <row r="133">
      <c r="A133" s="1" t="s">
        <v>247</v>
      </c>
      <c r="C133" s="2" t="str">
        <f>HYPERLINK("http://foursquare.com/v/4c24c39e905a0f47d1416060","BTS อุดมสุข (Udom Suk) E12 ")</f>
        <v>BTS อุดมสุข (Udom Suk) E12 </v>
      </c>
    </row>
    <row r="134">
      <c r="A134" s="1" t="s">
        <v>248</v>
      </c>
      <c r="C134" s="2" t="str">
        <f>HYPERLINK("http://foursquare.com/v/5018c33ce4b05a786eee674f","The Coffee Club ")</f>
        <v>The Coffee Club </v>
      </c>
    </row>
    <row r="135">
      <c r="A135" s="1" t="s">
        <v>249</v>
      </c>
      <c r="C135" s="2" t="str">
        <f>HYPERLINK("http://foursquare.com/v/4c04da72f423a5935418d216","Pro Wash Carcare ")</f>
        <v>Pro Wash Carcare </v>
      </c>
    </row>
    <row r="136">
      <c r="A136" s="1" t="s">
        <v>250</v>
      </c>
      <c r="C136" s="2" t="str">
        <f>HYPERLINK("http://foursquare.com/v/4b0587fcf964a52002ab22e3","CentralWorld (เซ็นทรัลเวิลด์) ")</f>
        <v>CentralWorld (เซ็นทรัลเวิลด์) </v>
      </c>
    </row>
    <row r="137">
      <c r="A137" s="1" t="s">
        <v>251</v>
      </c>
      <c r="C137" s="2" t="str">
        <f>HYPERLINK("http://foursquare.com/v/4cf9b82f34c1a09322053c0e","ร.พ.สัตว์ เจริญสุข ")</f>
        <v>ร.พ.สัตว์ เจริญสุข </v>
      </c>
    </row>
    <row r="138">
      <c r="A138" s="1" t="s">
        <v>252</v>
      </c>
      <c r="C138" s="2" t="str">
        <f>HYPERLINK("http://foursquare.com/v/4b0d43fff964a520684523e3","โรงพยาบาลสมิติเวช สุขุมวิท (Samitivej Sukhumvit Hospital) ")</f>
        <v>โรงพยาบาลสมิติเวช สุขุมวิท (Samitivej Sukhumvit Hospital) </v>
      </c>
    </row>
    <row r="139">
      <c r="A139" s="1" t="s">
        <v>253</v>
      </c>
      <c r="C139" s="2" t="str">
        <f>HYPERLINK("http://foursquare.com/v/4e046b301f6e97fbec325646","BREW Beers &amp; Ciders ")</f>
        <v>BREW Beers &amp; Ciders </v>
      </c>
    </row>
    <row r="140">
      <c r="A140" s="1" t="s">
        <v>254</v>
      </c>
      <c r="C140" s="2" t="str">
        <f>HYPERLINK("http://foursquare.com/v/4c1dc2adb9f876b040337e46","Au Bon Pain (โอ บอง แปง) ")</f>
        <v>Au Bon Pain (โอ บอง แปง) </v>
      </c>
    </row>
    <row r="141">
      <c r="A141" s="1" t="s">
        <v>255</v>
      </c>
      <c r="C141" s="2" t="str">
        <f>HYPERLINK("http://foursquare.com/v/4b0587fdf964a52034ab22e3","Siam Paragon (สยามพารากอน) ")</f>
        <v>Siam Paragon (สยามพารากอน) </v>
      </c>
    </row>
    <row r="142">
      <c r="A142" s="1" t="s">
        <v>256</v>
      </c>
      <c r="C142" s="2" t="str">
        <f>HYPERLINK("http://foursquare.com/v/4c1dc2adb9f876b040337e46","Au Bon Pain (โอ บอง แปง) ")</f>
        <v>Au Bon Pain (โอ บอง แปง) </v>
      </c>
    </row>
    <row r="143">
      <c r="A143" s="1" t="s">
        <v>257</v>
      </c>
      <c r="C143" s="2" t="str">
        <f>HYPERLINK("http://foursquare.com/v/4b0587f7f964a5206fa922e3","Bourbon St. ")</f>
        <v>Bourbon St. </v>
      </c>
    </row>
    <row r="144">
      <c r="A144" s="1" t="s">
        <v>258</v>
      </c>
      <c r="C144" s="2" t="str">
        <f>HYPERLINK("http://foursquare.com/v/4b654c1bf964a52050ec2ae3","GPF Building ")</f>
        <v>GPF Building </v>
      </c>
    </row>
    <row r="145">
      <c r="A145" s="1" t="s">
        <v>259</v>
      </c>
      <c r="C145" s="2" t="str">
        <f>HYPERLINK("http://foursquare.com/v/4e96dcd86c2553e4af763b24","Moom-Muum Park ")</f>
        <v>Moom-Muum Park </v>
      </c>
    </row>
    <row r="146">
      <c r="A146" s="1" t="s">
        <v>260</v>
      </c>
      <c r="C146" s="2" t="str">
        <f>HYPERLINK("http://foursquare.com/v/4cbc54ec7a5d9eb0ea5b31e9","The Westin Grande Sukhumvit, Bangkok ")</f>
        <v>The Westin Grande Sukhumvit, Bangkok </v>
      </c>
    </row>
    <row r="147">
      <c r="A147" s="1" t="s">
        <v>261</v>
      </c>
      <c r="C147" s="2" t="str">
        <f>HYPERLINK("http://foursquare.com/v/4bdd3897645e0f47da206b19","Sizzler (ซิซซ์เลอร์) ")</f>
        <v>Sizzler (ซิซซ์เลอร์) </v>
      </c>
    </row>
    <row r="148">
      <c r="A148" s="1" t="s">
        <v>262</v>
      </c>
      <c r="C148" s="2" t="str">
        <f>HYPERLINK("http://foursquare.com/v/4b4ddbc3f964a52090d926e3","Plaza Lagoon ")</f>
        <v>Plaza Lagoon </v>
      </c>
    </row>
    <row r="149">
      <c r="A149" s="1" t="s">
        <v>263</v>
      </c>
      <c r="C149" s="2" t="str">
        <f>HYPERLINK("http://foursquare.com/v/50cb32f1183f0fe460cd6547","Praewa Hair Love U ")</f>
        <v>Praewa Hair Love U </v>
      </c>
    </row>
    <row r="150">
      <c r="A150" s="1" t="s">
        <v>264</v>
      </c>
      <c r="C150" s="2" t="str">
        <f>HYPERLINK("http://foursquare.com/v/4b602938f964a520f1d729e3","TrueCoffee (ทรูคอฟฟี่) ")</f>
        <v>TrueCoffee (ทรูคอฟฟี่) </v>
      </c>
    </row>
    <row r="151">
      <c r="A151" s="1" t="s">
        <v>265</v>
      </c>
      <c r="C151" s="2" t="str">
        <f t="shared" ref="C151:C152" si="6">HYPERLINK("http://foursquare.com/v/4b0587f7f964a5206fa922e3","Bourbon St. ")</f>
        <v>Bourbon St. </v>
      </c>
    </row>
    <row r="152">
      <c r="A152" s="1" t="s">
        <v>266</v>
      </c>
      <c r="C152" s="2" t="str">
        <f t="shared" si="6"/>
        <v>Bourbon St. </v>
      </c>
    </row>
    <row r="153">
      <c r="A153" s="1" t="s">
        <v>267</v>
      </c>
      <c r="C153" s="2" t="str">
        <f>HYPERLINK("http://foursquare.com/v/5018c33ce4b05a786eee674f","The Coffee Club ")</f>
        <v>The Coffee Club </v>
      </c>
    </row>
    <row r="154">
      <c r="A154" s="1" t="s">
        <v>268</v>
      </c>
      <c r="C154" s="2" t="str">
        <f>HYPERLINK("http://foursquare.com/v/5142f01fe4b0455b2c40afa6","Superbdog ")</f>
        <v>Superbdog </v>
      </c>
    </row>
    <row r="155">
      <c r="A155" s="1" t="s">
        <v>269</v>
      </c>
      <c r="C155" s="2" t="str">
        <f>HYPERLINK("http://foursquare.com/v/511cc006e4b0962fa665d155","Gossip Thonglor ")</f>
        <v>Gossip Thonglor </v>
      </c>
    </row>
    <row r="156">
      <c r="A156" s="1" t="s">
        <v>270</v>
      </c>
      <c r="C156" s="2" t="str">
        <f>HYPERLINK("http://foursquare.com/v/4b0587f7f964a52052a922e3","The Dubliner Irish Pub ")</f>
        <v>The Dubliner Irish Pub </v>
      </c>
    </row>
    <row r="157">
      <c r="A157" s="1" t="s">
        <v>271</v>
      </c>
      <c r="C157" s="2" t="str">
        <f>HYPERLINK("http://foursquare.com/v/4c04da72f423a5935418d216","Pro Wash Carcare ")</f>
        <v>Pro Wash Carcare </v>
      </c>
    </row>
    <row r="158">
      <c r="A158" s="1" t="s">
        <v>272</v>
      </c>
      <c r="C158" s="2" t="str">
        <f>HYPERLINK("http://foursquare.com/v/4b0587fcf964a52002ab22e3","CentralWorld (เซ็นทรัลเวิลด์) ")</f>
        <v>CentralWorld (เซ็นทรัลเวิลด์) </v>
      </c>
    </row>
    <row r="159">
      <c r="A159" s="1" t="s">
        <v>273</v>
      </c>
      <c r="C159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160">
      <c r="A160" s="1" t="s">
        <v>274</v>
      </c>
      <c r="C160" s="2" t="str">
        <f>HYPERLINK("http://foursquare.com/v/4bee9a61e8c3c928f0d89892","Scoozi Pizza (สกูซี่ พิซซ่า) ")</f>
        <v>Scoozi Pizza (สกูซี่ พิซซ่า) </v>
      </c>
    </row>
    <row r="161">
      <c r="A161" s="1" t="s">
        <v>275</v>
      </c>
      <c r="C161" s="2" t="str">
        <f>HYPERLINK("http://foursquare.com/v/4b435244f964a5205ede25e3","The Crystal (เดอะ คริสตัล) ")</f>
        <v>The Crystal (เดอะ คริสตัล) </v>
      </c>
    </row>
    <row r="162">
      <c r="A162" s="1" t="s">
        <v>276</v>
      </c>
      <c r="C162" s="2" t="str">
        <f>HYPERLINK("http://foursquare.com/v/4e06c54cd1640223a4991334","Cha Cha Cha ")</f>
        <v>Cha Cha Cha </v>
      </c>
    </row>
    <row r="163">
      <c r="A163" s="1" t="s">
        <v>277</v>
      </c>
      <c r="C163" s="2" t="str">
        <f>HYPERLINK("http://foursquare.com/v/4bc3f0582a89ef3b0fc9f588","Mother Care ")</f>
        <v>Mother Care </v>
      </c>
    </row>
    <row r="164">
      <c r="A164" s="1" t="s">
        <v>278</v>
      </c>
      <c r="C164" s="2" t="str">
        <f>HYPERLINK("http://foursquare.com/v/4c11f350d55995212b5818b9","Tesco Lotus (เทสโก้ โลตัส) ")</f>
        <v>Tesco Lotus (เทสโก้ โลตัส) </v>
      </c>
    </row>
    <row r="165">
      <c r="A165" s="1" t="s">
        <v>279</v>
      </c>
      <c r="C165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166">
      <c r="A166" s="1" t="s">
        <v>280</v>
      </c>
      <c r="C166" s="2" t="str">
        <f>HYPERLINK("http://foursquare.com/v/5017c8d8e4b033fdaf9937b6","Flow House Bangkok ")</f>
        <v>Flow House Bangkok </v>
      </c>
    </row>
    <row r="167">
      <c r="A167" s="1" t="s">
        <v>281</v>
      </c>
      <c r="C167" s="2" t="str">
        <f>HYPERLINK("http://foursquare.com/v/4cd3a0c753665481594c28ed","V8 Diner ")</f>
        <v>V8 Diner </v>
      </c>
    </row>
    <row r="168">
      <c r="A168" s="1" t="s">
        <v>282</v>
      </c>
      <c r="C168" s="2" t="str">
        <f>HYPERLINK("http://foursquare.com/v/4cbfe4f4985aa35df9bf4912","Pantaree Restaurant ")</f>
        <v>Pantaree Restaurant </v>
      </c>
    </row>
    <row r="169">
      <c r="A169" s="1" t="s">
        <v>283</v>
      </c>
      <c r="C169" s="2" t="str">
        <f>HYPERLINK("http://foursquare.com/v/4cc402da38aaa093b8871062","CheeseCake House &amp; Restaurant ")</f>
        <v>CheeseCake House &amp; Restaurant </v>
      </c>
    </row>
    <row r="170">
      <c r="A170" s="1" t="s">
        <v>284</v>
      </c>
      <c r="C170" s="2" t="str">
        <f>HYPERLINK("http://foursquare.com/v/4d02396918ff8cfa027dc357","บ้านใร่ใบกระเพรา (Banrie Bai Ka Prao) ")</f>
        <v>บ้านใร่ใบกระเพรา (Banrie Bai Ka Prao) </v>
      </c>
    </row>
    <row r="171">
      <c r="A171" s="1" t="s">
        <v>285</v>
      </c>
      <c r="C171" s="2" t="str">
        <f>HYPERLINK("http://foursquare.com/v/4bb5795f6edc76b0afd22f1c","เจียง ลูกชิ้นปลา (Jiang Fish Ball) ")</f>
        <v>เจียง ลูกชิ้นปลา (Jiang Fish Ball) </v>
      </c>
    </row>
    <row r="172">
      <c r="A172" s="1" t="s">
        <v>286</v>
      </c>
      <c r="C172" s="2" t="str">
        <f>HYPERLINK("http://foursquare.com/v/4af833a6f964a5205a0b22e3","Suvarnabhumi Airport (BKK) ท่าอากาศยานสุวรรณภูมิ ")</f>
        <v>Suvarnabhumi Airport (BKK) ท่าอากาศยานสุวรรณภูมิ </v>
      </c>
    </row>
    <row r="173">
      <c r="A173" s="1" t="s">
        <v>287</v>
      </c>
      <c r="C173" s="2" t="str">
        <f>HYPERLINK("http://foursquare.com/v/4d02396918ff8cfa027dc357","บ้านใร่ใบกระเพรา (Banrie Bai Ka Prao) ")</f>
        <v>บ้านใร่ใบกระเพรา (Banrie Bai Ka Prao) </v>
      </c>
    </row>
    <row r="174">
      <c r="A174" s="1" t="s">
        <v>288</v>
      </c>
      <c r="C174" s="2" t="str">
        <f>HYPERLINK("http://foursquare.com/v/4b0587f7f964a5206fa922e3","Bourbon St. ")</f>
        <v>Bourbon St. </v>
      </c>
    </row>
    <row r="175">
      <c r="A175" s="1" t="s">
        <v>289</v>
      </c>
      <c r="C175" s="2" t="str">
        <f>HYPERLINK("http://foursquare.com/v/4bce929468f976b0e0566683","The Imperial Queen's Park Hotel ")</f>
        <v>The Imperial Queen's Park Hotel </v>
      </c>
    </row>
    <row r="176">
      <c r="A176" s="1" t="s">
        <v>290</v>
      </c>
      <c r="C176" s="2" t="str">
        <f>HYPERLINK("http://foursquare.com/v/4b6cc613f964a52071532ce3","อุทยานเบญจสิริ (Benchasiri Park) ")</f>
        <v>อุทยานเบญจสิริ (Benchasiri Park) </v>
      </c>
    </row>
    <row r="177">
      <c r="A177" s="1" t="s">
        <v>291</v>
      </c>
      <c r="C177" s="2" t="str">
        <f>HYPERLINK("http://foursquare.com/v/4dcbbc4852b17cba4faddb99","Saban-Nga Restaurant :: Maeklong Riverside ")</f>
        <v>Saban-Nga Restaurant :: Maeklong Riverside </v>
      </c>
    </row>
    <row r="178">
      <c r="A178" s="1" t="s">
        <v>292</v>
      </c>
      <c r="C178" s="2" t="str">
        <f>HYPERLINK("http://foursquare.com/v/4d60a151ef378cfa9eb380a6","ศูนย์อนุรักษ์แมวไทยโบราณ ")</f>
        <v>ศูนย์อนุรักษ์แมวไทยโบราณ </v>
      </c>
    </row>
    <row r="179">
      <c r="A179" s="1" t="s">
        <v>293</v>
      </c>
      <c r="C179" s="2" t="str">
        <f>HYPERLINK("http://foursquare.com/v/4b511ab8f964a520b04227e3","ตลาดน้ำอัมพวา (Amphawa Floating Market) ")</f>
        <v>ตลาดน้ำอัมพวา (Amphawa Floating Market) </v>
      </c>
    </row>
    <row r="180">
      <c r="A180" s="1" t="s">
        <v>294</v>
      </c>
      <c r="C180" s="2" t="str">
        <f>HYPERLINK("http://foursquare.com/v/4bc537e4ccbcef3b0056e6d2","ตลาดน้ำท่าคา (Tha Kha Floating Market) ")</f>
        <v>ตลาดน้ำท่าคา (Tha Kha Floating Market) </v>
      </c>
    </row>
    <row r="181">
      <c r="A181" s="1" t="s">
        <v>295</v>
      </c>
      <c r="C181" s="2" t="str">
        <f>HYPERLINK("http://foursquare.com/v/4b2df07cf964a5201bdc24e3","Don Mueang International Airport (DMK) ท่าอากาศยานดอนเมือง ")</f>
        <v>Don Mueang International Airport (DMK) ท่าอากาศยานดอนเมือง </v>
      </c>
    </row>
    <row r="182">
      <c r="A182" s="1" t="s">
        <v>296</v>
      </c>
      <c r="C182" s="2" t="str">
        <f>HYPERLINK("http://foursquare.com/v/4b8e687ff964a520422133e3","Chiang Mai International Airport (CNX) ท่าอากาศยานเชียงใหม่ ")</f>
        <v>Chiang Mai International Airport (CNX) ท่าอากาศยานเชียงใหม่ </v>
      </c>
    </row>
    <row r="183">
      <c r="A183" s="1" t="s">
        <v>297</v>
      </c>
      <c r="C183" s="2" t="str">
        <f>HYPERLINK("http://foursquare.com/v/50475eafe4b0d15eda5c580f","De Naga Chiang Mai ")</f>
        <v>De Naga Chiang Mai </v>
      </c>
    </row>
    <row r="184">
      <c r="A184" s="1" t="s">
        <v>298</v>
      </c>
      <c r="C184" s="2" t="str">
        <f>HYPERLINK("http://foursquare.com/v/4d300891789a8cfa95fd2ac6","Chiang Mai Night Safari (เชียงใหม่ไนท์ซาฟารี) ")</f>
        <v>Chiang Mai Night Safari (เชียงใหม่ไนท์ซาฟารี) </v>
      </c>
    </row>
    <row r="185">
      <c r="A185" s="1" t="s">
        <v>299</v>
      </c>
      <c r="C185" s="2" t="str">
        <f t="shared" ref="C185:C186" si="7">HYPERLINK("http://foursquare.com/v/4b89157af964a520dc1b32e3","John's Place ")</f>
        <v>John's Place </v>
      </c>
    </row>
    <row r="186">
      <c r="A186" s="1" t="s">
        <v>300</v>
      </c>
      <c r="C186" s="2" t="str">
        <f t="shared" si="7"/>
        <v>John's Place </v>
      </c>
    </row>
    <row r="187">
      <c r="A187" s="1" t="s">
        <v>301</v>
      </c>
      <c r="C187" s="2" t="str">
        <f>HYPERLINK("http://foursquare.com/v/506fbedbe4b0bda407098a0e","Queen Sirikit Botanic Garden ")</f>
        <v>Queen Sirikit Botanic Garden </v>
      </c>
    </row>
    <row r="188">
      <c r="A188" s="1" t="s">
        <v>302</v>
      </c>
      <c r="C188" s="2" t="str">
        <f>HYPERLINK("http://foursquare.com/v/4d5a21407e223704948bb973","Monkey Centre ")</f>
        <v>Monkey Centre </v>
      </c>
    </row>
    <row r="189">
      <c r="A189" s="1" t="s">
        <v>303</v>
      </c>
      <c r="C189" s="2" t="str">
        <f>HYPERLINK("http://foursquare.com/v/4e86cba5f5b9f37844a5ff90","Mickey Cafe ")</f>
        <v>Mickey Cafe </v>
      </c>
    </row>
    <row r="190">
      <c r="A190" s="1" t="s">
        <v>304</v>
      </c>
      <c r="C190" s="2" t="str">
        <f>HYPERLINK("http://foursquare.com/v/4cef9cff7b9437046fcd3353","คุณเชิญ (Khun Churn) ")</f>
        <v>คุณเชิญ (Khun Churn) </v>
      </c>
    </row>
    <row r="191">
      <c r="A191" s="1" t="s">
        <v>305</v>
      </c>
      <c r="C191" s="2" t="str">
        <f>HYPERLINK("http://foursquare.com/v/4eca24b661af9e1432d2ce78","Terrace Bar And Cuisine at Parasol Inn ")</f>
        <v>Terrace Bar And Cuisine at Parasol Inn </v>
      </c>
    </row>
    <row r="192">
      <c r="A192" s="1" t="s">
        <v>306</v>
      </c>
      <c r="C192" s="2" t="str">
        <f>HYPERLINK("http://foursquare.com/v/50475eafe4b0d15eda5c580f","De Naga Chiang Mai ")</f>
        <v>De Naga Chiang Mai </v>
      </c>
    </row>
    <row r="193">
      <c r="A193" s="1" t="s">
        <v>307</v>
      </c>
      <c r="C193" s="2" t="str">
        <f>HYPERLINK("http://foursquare.com/v/4bd0f81f20cd996038972e9e","Fondcome Village Resort Chiang Mai ")</f>
        <v>Fondcome Village Resort Chiang Mai </v>
      </c>
    </row>
    <row r="194">
      <c r="A194" s="1" t="s">
        <v>308</v>
      </c>
      <c r="C194" s="2" t="str">
        <f>HYPERLINK("http://foursquare.com/v/4d0df3d395c1a1cdf42105ff","Mae Rim Lagoon ")</f>
        <v>Mae Rim Lagoon </v>
      </c>
    </row>
    <row r="195">
      <c r="A195" s="1" t="s">
        <v>309</v>
      </c>
      <c r="C195" s="2" t="str">
        <f>HYPERLINK("http://foursquare.com/v/4dbe36984b222080d3bbb1c9","Sala Café (ศาลากาแฟ) ")</f>
        <v>Sala Café (ศาลากาแฟ) </v>
      </c>
    </row>
    <row r="196">
      <c r="A196" s="1" t="s">
        <v>310</v>
      </c>
      <c r="C196" s="2" t="str">
        <f>HYPERLINK("http://foursquare.com/v/4ed72a4b0e6145a3908486f9","ดอยสุเทพ (Doi Suthep) ")</f>
        <v>ดอยสุเทพ (Doi Suthep) </v>
      </c>
    </row>
    <row r="197">
      <c r="A197" s="1" t="s">
        <v>311</v>
      </c>
      <c r="C197" s="2" t="str">
        <f>HYPERLINK("http://foursquare.com/v/4b5803f9f964a520a84828e3","CentralPlaza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198">
      <c r="A198" s="1" t="s">
        <v>312</v>
      </c>
      <c r="C198" s="2" t="str">
        <f>HYPERLINK("http://foursquare.com/v/4cb15155ef1b370489c74200","Fuji (ฟูจิ) ")</f>
        <v>Fuji (ฟูจิ) </v>
      </c>
    </row>
    <row r="199">
      <c r="A199" s="1" t="s">
        <v>313</v>
      </c>
      <c r="C199" s="2" t="str">
        <f>HYPERLINK("http://foursquare.com/v/4e1d6ff3d1640dd25205b95a","Smiling Albino ")</f>
        <v>Smiling Albino </v>
      </c>
    </row>
    <row r="200">
      <c r="A200" s="1" t="s">
        <v>314</v>
      </c>
      <c r="C200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201">
      <c r="A201" s="1" t="s">
        <v>315</v>
      </c>
      <c r="C201" s="2" t="str">
        <f>HYPERLINK("http://foursquare.com/v/4d8b5bb84757721e3911ca69","Roast (โรสท์) ")</f>
        <v>Roast (โรสท์) </v>
      </c>
    </row>
    <row r="202">
      <c r="A202" s="1" t="s">
        <v>316</v>
      </c>
      <c r="C202" s="2" t="str">
        <f>HYPERLINK("http://foursquare.com/v/4c2ad1448abca593b450ff1f","Terminal 21 (เทอร์มินอล ทเวนตี้วัน) ")</f>
        <v>Terminal 21 (เทอร์มินอล ทเวนตี้วัน) </v>
      </c>
    </row>
    <row r="203">
      <c r="A203" s="1" t="s">
        <v>317</v>
      </c>
      <c r="C203" s="2" t="str">
        <f>HYPERLINK("http://foursquare.com/v/4e96dcd86c2553e4af763b24","Moom-Muum Park ")</f>
        <v>Moom-Muum Park </v>
      </c>
    </row>
    <row r="204">
      <c r="A204" s="1" t="s">
        <v>318</v>
      </c>
      <c r="C204" s="2" t="str">
        <f>HYPERLINK("http://foursquare.com/v/4edae064775bcc53fb308e3d","ตลาดนัดสวนรถไฟ (Rot Fai Park Flea Market) ")</f>
        <v>ตลาดนัดสวนรถไฟ (Rot Fai Park Flea Market) </v>
      </c>
    </row>
    <row r="205">
      <c r="A205" s="1" t="s">
        <v>319</v>
      </c>
      <c r="C205" s="2" t="str">
        <f>HYPERLINK("http://foursquare.com/v/50c2faaee4b0e77d298a568c","Hello Mango 2012 ")</f>
        <v>Hello Mango 2012 </v>
      </c>
    </row>
    <row r="206">
      <c r="A206" s="1" t="s">
        <v>320</v>
      </c>
      <c r="C206" s="2" t="str">
        <f>HYPERLINK("http://foursquare.com/v/4d02396918ff8cfa027dc357","บ้านใร่ใบกระเพรา (Banrie Bai Ka Prao) ")</f>
        <v>บ้านใร่ใบกระเพรา (Banrie Bai Ka Prao) </v>
      </c>
    </row>
    <row r="207">
      <c r="A207" s="1" t="s">
        <v>321</v>
      </c>
      <c r="C207" s="2" t="str">
        <f>HYPERLINK("http://foursquare.com/v/50ea773ae4b06559dfd608a4","DoubleTree by Hilton Sukhumvit ")</f>
        <v>DoubleTree by Hilton Sukhumvit </v>
      </c>
    </row>
    <row r="208">
      <c r="A208" s="1" t="s">
        <v>322</v>
      </c>
      <c r="C208" s="2" t="str">
        <f>HYPERLINK("http://foursquare.com/v/4bdd3897645e0f47da206b19","Sizzler (ซิซซ์เลอร์) ")</f>
        <v>Sizzler (ซิซซ์เลอร์) </v>
      </c>
    </row>
    <row r="209">
      <c r="A209" s="1" t="s">
        <v>323</v>
      </c>
      <c r="C209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210">
      <c r="A210" s="1" t="s">
        <v>324</v>
      </c>
      <c r="C210" s="2" t="str">
        <f>HYPERLINK("http://foursquare.com/v/4b5c325bf964a520162729e3","Sizzler (ซิซซ์เลอร์) ")</f>
        <v>Sizzler (ซิซซ์เลอร์) </v>
      </c>
    </row>
    <row r="211">
      <c r="A211" s="1" t="s">
        <v>325</v>
      </c>
      <c r="C211" s="2" t="str">
        <f>HYPERLINK("http://foursquare.com/v/4c10c06ff1b6a593a7517c27","Doi Chaang Coffe ")</f>
        <v>Doi Chaang Coffe </v>
      </c>
    </row>
    <row r="212">
      <c r="A212" s="1" t="s">
        <v>326</v>
      </c>
      <c r="C212" s="2" t="str">
        <f>HYPERLINK("http://foursquare.com/v/4d2cdd271bdd8eecb9a2081a","Kuppadeli ")</f>
        <v>Kuppadeli </v>
      </c>
    </row>
    <row r="213">
      <c r="A213" s="1" t="s">
        <v>327</v>
      </c>
      <c r="C213" s="2" t="str">
        <f>HYPERLINK("http://foursquare.com/v/508d08dae4b09f7bb9e4bcfe","Kidzoona ")</f>
        <v>Kidzoona </v>
      </c>
    </row>
    <row r="214">
      <c r="A214" s="1" t="s">
        <v>328</v>
      </c>
      <c r="C214" s="2" t="str">
        <f>HYPERLINK("http://foursquare.com/v/50740544e4b009deef45a3b4","Kobashi (香ばしい) ")</f>
        <v>Kobashi (香ばしい) </v>
      </c>
    </row>
    <row r="215">
      <c r="A215" s="1" t="s">
        <v>329</v>
      </c>
      <c r="C215" s="2" t="str">
        <f>HYPERLINK("http://foursquare.com/v/4b0587f7f964a5206fa922e3","Bourbon St. ")</f>
        <v>Bourbon St. </v>
      </c>
    </row>
    <row r="216">
      <c r="A216" s="1" t="s">
        <v>330</v>
      </c>
      <c r="C216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217">
      <c r="A217" s="1" t="s">
        <v>331</v>
      </c>
      <c r="C217" s="2" t="str">
        <f>HYPERLINK("http://foursquare.com/v/4d7f59a4b25d6dcbdbf2ca42","Tenderloins Sports Bar &amp; Steak house ")</f>
        <v>Tenderloins Sports Bar &amp; Steak house </v>
      </c>
    </row>
    <row r="218">
      <c r="A218" s="1" t="s">
        <v>332</v>
      </c>
      <c r="C218" s="2" t="str">
        <f>HYPERLINK("http://foursquare.com/v/4c3823bb3849c928450fbfb1","Fun-arium ")</f>
        <v>Fun-arium </v>
      </c>
    </row>
    <row r="219">
      <c r="A219" s="1" t="s">
        <v>333</v>
      </c>
      <c r="C219" s="2" t="str">
        <f>HYPERLINK("http://foursquare.com/v/4be41036910020a1ce29d114","OOTOYA (โอโตยะ) ")</f>
        <v>OOTOYA (โอโตยะ) </v>
      </c>
    </row>
    <row r="220">
      <c r="A220" s="1" t="s">
        <v>334</v>
      </c>
      <c r="C220" s="2" t="str">
        <f>HYPERLINK("http://foursquare.com/v/4c56ae42d12a20a1f6e464bd","Durty Nelly's Irish Pub ")</f>
        <v>Durty Nelly's Irish Pub </v>
      </c>
    </row>
    <row r="221">
      <c r="A221" s="1" t="s">
        <v>335</v>
      </c>
      <c r="C221" s="2" t="str">
        <f>HYPERLINK("http://foursquare.com/v/4cef8a57b80da0933fd82c00","S&amp;P (เอสแอนด์พี) ")</f>
        <v>S&amp;P (เอสแอนด์พี) </v>
      </c>
    </row>
    <row r="222">
      <c r="A222" s="1" t="s">
        <v>336</v>
      </c>
      <c r="C222" s="2" t="str">
        <f>HYPERLINK("http://foursquare.com/v/4cc402da38aaa093b8871062","CheeseCake House &amp; Restaurant ")</f>
        <v>CheeseCake House &amp; Restaurant </v>
      </c>
    </row>
    <row r="223">
      <c r="A223" s="1" t="s">
        <v>337</v>
      </c>
      <c r="C223" s="2" t="str">
        <f>HYPERLINK("http://foursquare.com/v/4b0587f9f964a520e6a922e3","The Robin Hood ")</f>
        <v>The Robin Hood </v>
      </c>
    </row>
    <row r="224">
      <c r="A224" s="1" t="s">
        <v>338</v>
      </c>
      <c r="C224" s="2" t="str">
        <f>HYPERLINK("http://foursquare.com/v/4dbd26b3815439392fab4d97","ตี๋หยก กาแฟ-ขนมปังปิ้ง@คลองถม ")</f>
        <v>ตี๋หยก กาแฟ-ขนมปังปิ้ง@คลองถม </v>
      </c>
    </row>
    <row r="225">
      <c r="A225" s="1" t="s">
        <v>339</v>
      </c>
      <c r="C225" s="2" t="str">
        <f>HYPERLINK("http://foursquare.com/v/518a3f23498e5e929210a3de","Flann O'brien's ")</f>
        <v>Flann O'brien's </v>
      </c>
    </row>
    <row r="226">
      <c r="A226" s="1" t="s">
        <v>340</v>
      </c>
      <c r="C226" s="2" t="str">
        <f>HYPERLINK("http://foursquare.com/v/4c849047d92ea093599a5e72","Playtime ")</f>
        <v>Playtime </v>
      </c>
    </row>
    <row r="227">
      <c r="A227" s="1" t="s">
        <v>341</v>
      </c>
      <c r="C227" s="2" t="str">
        <f>HYPERLINK("http://foursquare.com/v/4b0587fcf964a52002ab22e3","CentralWorld (เซ็นทรัลเวิลด์) ")</f>
        <v>CentralWorld (เซ็นทรัลเวิลด์) </v>
      </c>
    </row>
    <row r="228">
      <c r="A228" s="1" t="s">
        <v>342</v>
      </c>
      <c r="C228" s="2" t="str">
        <f>HYPERLINK("http://foursquare.com/v/4b972f4bf964a52064fb34e3","FoodLoft (ฟู้ดลอฟท์) ")</f>
        <v>FoodLoft (ฟู้ดลอฟท์) </v>
      </c>
    </row>
    <row r="229">
      <c r="A229" s="1" t="s">
        <v>343</v>
      </c>
      <c r="C229" s="2" t="str">
        <f>HYPERLINK("http://foursquare.com/v/4fb601c7e4b0a804111ec5e7","HUBBA - Coworking Space ")</f>
        <v>HUBBA - Coworking Space </v>
      </c>
    </row>
    <row r="230">
      <c r="A230" s="1" t="s">
        <v>344</v>
      </c>
      <c r="C230" s="2" t="str">
        <f>HYPERLINK("http://foursquare.com/v/4c56ae42d12a20a1f6e464bd","Durty Nelly's Irish Pub ")</f>
        <v>Durty Nelly's Irish Pub </v>
      </c>
    </row>
    <row r="231">
      <c r="A231" s="1" t="s">
        <v>345</v>
      </c>
      <c r="C231" s="2" t="str">
        <f>HYPERLINK("http://foursquare.com/v/4c2ad1448abca593b450ff1f","Terminal 21 (เทอร์มินอล ทเวนตี้วัน) ")</f>
        <v>Terminal 21 (เทอร์มินอล ทเวนตี้วัน) </v>
      </c>
    </row>
    <row r="232">
      <c r="A232" s="1" t="s">
        <v>346</v>
      </c>
      <c r="C232" s="2" t="str">
        <f>HYPERLINK("http://foursquare.com/v/4b85d922f964a520267631e3","Sheraton Grande Sukhumvit, Bangkok ")</f>
        <v>Sheraton Grande Sukhumvit, Bangkok </v>
      </c>
    </row>
    <row r="233">
      <c r="A233" s="1" t="s">
        <v>347</v>
      </c>
      <c r="C233" s="2" t="str">
        <f>HYPERLINK("http://foursquare.com/v/4d7787cf396f37043377a938","Oskar ")</f>
        <v>Oskar </v>
      </c>
    </row>
    <row r="234">
      <c r="A234" s="1" t="s">
        <v>348</v>
      </c>
      <c r="C234" s="2" t="str">
        <f>HYPERLINK("http://foursquare.com/v/4d8daff7d4ec8cfa82ba5f89","BELLE GRAND Phra Ram 9 ")</f>
        <v>BELLE GRAND Phra Ram 9 </v>
      </c>
    </row>
    <row r="235">
      <c r="A235" s="1" t="s">
        <v>349</v>
      </c>
      <c r="C235" s="2" t="str">
        <f t="shared" ref="C235:C236" si="8">HYPERLINK("http://foursquare.com/v/4bd79276f645c9b68559a6e0","Bangkok University International College (BUIC) ")</f>
        <v>Bangkok University International College (BUIC) </v>
      </c>
    </row>
    <row r="236">
      <c r="A236" s="1" t="s">
        <v>350</v>
      </c>
      <c r="C236" s="2" t="str">
        <f t="shared" si="8"/>
        <v>Bangkok University International College (BUIC) </v>
      </c>
    </row>
    <row r="237">
      <c r="A237" s="1" t="s">
        <v>351</v>
      </c>
      <c r="C237" s="2" t="str">
        <f>HYPERLINK("http://foursquare.com/v/4c73a3c47121a1cd589265d1","Food Bazaar (ฟู้ด บาร์ซาร์) ")</f>
        <v>Food Bazaar (ฟู้ด บาร์ซาร์) </v>
      </c>
    </row>
    <row r="238">
      <c r="A238" s="1" t="s">
        <v>352</v>
      </c>
      <c r="C238" s="2" t="str">
        <f>HYPERLINK("http://foursquare.com/v/4b0587f7f964a5206fa922e3","Bourbon St. ")</f>
        <v>Bourbon St. </v>
      </c>
    </row>
    <row r="239">
      <c r="A239" s="1" t="s">
        <v>353</v>
      </c>
      <c r="C239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240">
      <c r="A240" s="1" t="s">
        <v>354</v>
      </c>
      <c r="C240" s="2" t="str">
        <f>HYPERLINK("http://foursquare.com/v/4ec246ab0cd6d2a16f977d63","Rain Hill (เรนฮิลล์) ")</f>
        <v>Rain Hill (เรนฮิลล์) </v>
      </c>
    </row>
    <row r="241">
      <c r="A241" s="1" t="s">
        <v>355</v>
      </c>
      <c r="C241" s="2" t="str">
        <f>HYPERLINK("http://foursquare.com/v/515a739de4b008c4df2b51b1","The Studio ")</f>
        <v>The Studio </v>
      </c>
    </row>
    <row r="242">
      <c r="A242" s="1" t="s">
        <v>356</v>
      </c>
      <c r="C242" s="2" t="str">
        <f>HYPERLINK("http://foursquare.com/v/4f03eca8d3e35fb2b715f469","Au Bon Pain (โอ บอง แปง) ")</f>
        <v>Au Bon Pain (โอ บอง แปง) </v>
      </c>
    </row>
    <row r="243">
      <c r="A243" s="1" t="s">
        <v>357</v>
      </c>
      <c r="C243" s="2" t="str">
        <f>HYPERLINK("http://foursquare.com/v/4f7da39be4b0d0d3d05fd9e7","SMITH ")</f>
        <v>SMITH </v>
      </c>
    </row>
    <row r="244">
      <c r="A244" s="1" t="s">
        <v>358</v>
      </c>
      <c r="C244" s="2" t="str">
        <f>HYPERLINK("http://foursquare.com/v/4bdd3897645e0f47da206b19","Sizzler (ซิซซ์เลอร์) ")</f>
        <v>Sizzler (ซิซซ์เลอร์) </v>
      </c>
    </row>
    <row r="245">
      <c r="A245" s="1" t="s">
        <v>359</v>
      </c>
      <c r="C245" s="2" t="str">
        <f>HYPERLINK("http://foursquare.com/v/4c38cc9d0a71c9b6ec5941c9","State Tower (สเตททาวเวอร์ กรุงเทพ) ")</f>
        <v>State Tower (สเตททาวเวอร์ กรุงเทพ) </v>
      </c>
    </row>
    <row r="246">
      <c r="A246" s="1" t="s">
        <v>360</v>
      </c>
      <c r="C246" s="2" t="str">
        <f>HYPERLINK("http://foursquare.com/v/4b50566af964a520d22027e3","BTS ราชดำริ (Ratchadamri) S1 ")</f>
        <v>BTS ราชดำริ (Ratchadamri) S1 </v>
      </c>
    </row>
    <row r="247">
      <c r="A247" s="1" t="s">
        <v>361</v>
      </c>
      <c r="C247" s="2" t="str">
        <f>HYPERLINK("http://foursquare.com/v/5142f01fe4b0455b2c40afa6","Superbdog ")</f>
        <v>Superbdog </v>
      </c>
    </row>
    <row r="248">
      <c r="A248" s="1" t="s">
        <v>362</v>
      </c>
      <c r="C248" s="2" t="str">
        <f>HYPERLINK("http://foursquare.com/v/4db1a5444b22ba776d874993","Opposite ")</f>
        <v>Opposite </v>
      </c>
    </row>
    <row r="249">
      <c r="A249" s="1" t="s">
        <v>363</v>
      </c>
      <c r="C249" s="2" t="str">
        <f>HYPERLINK("http://foursquare.com/v/4e22969652b1f82ffbaab382","El Diablo's Burritos ")</f>
        <v>El Diablo's Burritos </v>
      </c>
    </row>
    <row r="250">
      <c r="A250" s="1" t="s">
        <v>364</v>
      </c>
      <c r="C250" s="2" t="str">
        <f>HYPERLINK("http://foursquare.com/v/4be27a90f07b0f47c692f543","Park Lane (ปาร์คเลน) ")</f>
        <v>Park Lane (ปาร์คเลน) </v>
      </c>
    </row>
    <row r="251">
      <c r="A251" s="1" t="s">
        <v>365</v>
      </c>
      <c r="C251" s="2" t="str">
        <f>HYPERLINK("http://foursquare.com/v/4d285315915fa0939abcfb09","Omu (โอมุ) おむ ")</f>
        <v>Omu (โอมุ) おむ </v>
      </c>
    </row>
    <row r="252">
      <c r="A252" s="1" t="s">
        <v>366</v>
      </c>
      <c r="C252" s="2" t="str">
        <f>HYPERLINK("http://foursquare.com/v/50ea773ae4b06559dfd608a4","DoubleTree by Hilton Sukhumvit Bangkok ")</f>
        <v>DoubleTree by Hilton Sukhumvit Bangkok </v>
      </c>
    </row>
    <row r="253">
      <c r="A253" s="1" t="s">
        <v>367</v>
      </c>
      <c r="C253" s="2" t="str">
        <f>HYPERLINK("http://foursquare.com/v/4d8daff7d4ec8cfa82ba5f89","BELLE GRAND Phra Ram 9 ")</f>
        <v>BELLE GRAND Phra Ram 9 </v>
      </c>
    </row>
    <row r="254">
      <c r="A254" s="1" t="s">
        <v>368</v>
      </c>
      <c r="C254" s="2" t="str">
        <f>HYPERLINK("http://foursquare.com/v/4cd50bb194848cfaa7e1e3b1","SB Design Square (เอสบี ดีไซน์สแควร์) ")</f>
        <v>SB Design Square (เอสบี ดีไซน์สแควร์) </v>
      </c>
    </row>
    <row r="255">
      <c r="A255" s="1" t="s">
        <v>369</v>
      </c>
      <c r="C255" s="2" t="str">
        <f>HYPERLINK("http://foursquare.com/v/4c56ae42d12a20a1f6e464bd","Durty Nelly's Irish Pub ")</f>
        <v>Durty Nelly's Irish Pub </v>
      </c>
    </row>
    <row r="256">
      <c r="A256" s="1" t="s">
        <v>370</v>
      </c>
      <c r="C256" s="2" t="str">
        <f>HYPERLINK("http://foursquare.com/v/4d7787cf396f37043377a938","Oskar ")</f>
        <v>Oskar </v>
      </c>
    </row>
    <row r="257">
      <c r="A257" s="1" t="s">
        <v>371</v>
      </c>
      <c r="C257" s="2" t="str">
        <f>HYPERLINK("http://foursquare.com/v/4b0587fdf964a52057ab22e3","The British Club Bangkok ")</f>
        <v>The British Club Bangkok </v>
      </c>
    </row>
    <row r="258">
      <c r="A258" s="1" t="s">
        <v>372</v>
      </c>
      <c r="C258" s="2" t="str">
        <f>HYPERLINK("http://foursquare.com/v/4b0587f9f964a520e3a922e3","Ricky's Coffee Shop ")</f>
        <v>Ricky's Coffee Shop </v>
      </c>
    </row>
    <row r="259">
      <c r="A259" s="1" t="s">
        <v>373</v>
      </c>
      <c r="C259" s="2" t="str">
        <f>HYPERLINK("http://foursquare.com/v/507cfd3be4b06535f6651c00","Kidzooona ")</f>
        <v>Kidzooona </v>
      </c>
    </row>
    <row r="260">
      <c r="A260" s="1" t="s">
        <v>374</v>
      </c>
      <c r="C260" s="2" t="str">
        <f>HYPERLINK("http://foursquare.com/v/4b0587f7f964a5206fa922e3","Bourbon St. ")</f>
        <v>Bourbon St. </v>
      </c>
    </row>
    <row r="261">
      <c r="A261" s="1" t="s">
        <v>375</v>
      </c>
      <c r="C261" s="2" t="str">
        <f>HYPERLINK("http://foursquare.com/v/4c458b8edd1f2d7fbe4e81f9","Bangjak Gas Station ")</f>
        <v>Bangjak Gas Station </v>
      </c>
    </row>
    <row r="262">
      <c r="A262" s="1" t="s">
        <v>376</v>
      </c>
      <c r="C262" s="2" t="str">
        <f>HYPERLINK("http://foursquare.com/v/4ee7faf000397d4697a9bf8b","Robinson (โรบินสัน) ")</f>
        <v>Robinson (โรบินสัน) </v>
      </c>
    </row>
    <row r="263">
      <c r="A263" s="1" t="s">
        <v>377</v>
      </c>
      <c r="C263" s="2" t="str">
        <f>HYPERLINK("http://foursquare.com/v/5139b2dee4b0257b5f4cbcd7","OCTAVE Rooftop Lounge &amp; Bar ")</f>
        <v>OCTAVE Rooftop Lounge &amp; Bar </v>
      </c>
    </row>
    <row r="264">
      <c r="A264" s="1" t="s">
        <v>378</v>
      </c>
      <c r="C264" s="2" t="str">
        <f>HYPERLINK("http://foursquare.com/v/4cdc0fb4fc97370451f0d205","Centurion park condo ")</f>
        <v>Centurion park condo </v>
      </c>
    </row>
    <row r="265">
      <c r="A265" s="1" t="s">
        <v>379</v>
      </c>
      <c r="C265" s="2" t="str">
        <f>HYPERLINK("http://foursquare.com/v/4d87419ed5fab60c5faf1a9c","PTT Gas Station(Bang Phai) | สถานีน้ำมัน ปตท. สาขาบางไผ่ ")</f>
        <v>PTT Gas Station(Bang Phai) | สถานีน้ำมัน ปตท. สาขาบางไผ่ </v>
      </c>
    </row>
    <row r="266">
      <c r="A266" s="1" t="s">
        <v>380</v>
      </c>
      <c r="C266" s="2" t="str">
        <f>HYPERLINK("http://foursquare.com/v/4efd567c30f899232fe52ae7","PTT Station @ ทับลาน ")</f>
        <v>PTT Station @ ทับลาน </v>
      </c>
    </row>
    <row r="267">
      <c r="A267" s="1" t="s">
        <v>381</v>
      </c>
      <c r="C267" s="2" t="str">
        <f>HYPERLINK("http://foursquare.com/v/4e4506abb61cac6fc75c4ff7","ครัวอิ่มสุข @ วังน้ำเขียว ")</f>
        <v>ครัวอิ่มสุข @ วังน้ำเขียว </v>
      </c>
    </row>
    <row r="268">
      <c r="A268" s="1" t="s">
        <v>382</v>
      </c>
      <c r="C268" s="2" t="str">
        <f>HYPERLINK("http://foursquare.com/v/4d96ada5b188721e5481fd36","Bonanza  International Speedway ")</f>
        <v>Bonanza  International Speedway </v>
      </c>
    </row>
    <row r="269">
      <c r="A269" s="1" t="s">
        <v>383</v>
      </c>
      <c r="C269" s="2" t="str">
        <f>HYPERLINK("http://foursquare.com/v/51329c35e4b02e87093bde7b","อุทยานแห่งชาติเขาใหญ่ ")</f>
        <v>อุทยานแห่งชาติเขาใหญ่ </v>
      </c>
    </row>
    <row r="270">
      <c r="A270" s="1" t="s">
        <v>384</v>
      </c>
      <c r="C270" s="2" t="str">
        <f>HYPERLINK("http://foursquare.com/v/4ed06c216c2510ace100d08e","ปตท.แยกนเรศวร ")</f>
        <v>ปตท.แยกนเรศวร </v>
      </c>
    </row>
    <row r="271">
      <c r="A271" s="1" t="s">
        <v>385</v>
      </c>
      <c r="C271" s="2" t="str">
        <f>HYPERLINK("http://foursquare.com/v/4ea7ef8761af33313d00d4d0","7 Eleven ปตท.บางน้ำเปรี้ยว ")</f>
        <v>7 Eleven ปตท.บางน้ำเปรี้ยว </v>
      </c>
    </row>
    <row r="272">
      <c r="A272" s="1" t="s">
        <v>386</v>
      </c>
      <c r="C272" s="2" t="str">
        <f t="shared" ref="C272:C273" si="9">HYPERLINK("http://foursquare.com/v/4c56ae42d12a20a1f6e464bd","Durty Nelly's Irish Pub ")</f>
        <v>Durty Nelly's Irish Pub </v>
      </c>
    </row>
    <row r="273">
      <c r="A273" s="1" t="s">
        <v>387</v>
      </c>
      <c r="C273" s="2" t="str">
        <f t="shared" si="9"/>
        <v>Durty Nelly's Irish Pub </v>
      </c>
    </row>
    <row r="274">
      <c r="A274" s="1" t="s">
        <v>388</v>
      </c>
      <c r="C274" s="2" t="str">
        <f>HYPERLINK("http://foursquare.com/v/4b6d4f3ff964a5206b702ce3","KIS International School (โรงเรียนนานาชาติคิซ) ")</f>
        <v>KIS International School (โรงเรียนนานาชาติคิซ) </v>
      </c>
    </row>
    <row r="275">
      <c r="A275" s="1" t="s">
        <v>389</v>
      </c>
      <c r="C275" s="2" t="str">
        <f>HYPERLINK("http://foursquare.com/v/4d8daff7d4ec8cfa82ba5f89","BELLE GRAND Phra Ram 9 ")</f>
        <v>BELLE GRAND Phra Ram 9 </v>
      </c>
    </row>
    <row r="276">
      <c r="A276" s="1" t="s">
        <v>390</v>
      </c>
      <c r="C276" s="2" t="str">
        <f t="shared" ref="C276:C277" si="10">HYPERLINK("http://foursquare.com/v/4bc31a07920eb71301f01c2c","Night Food Stall Street ศูนย์อาหาร สุขุมวิท38 ")</f>
        <v>Night Food Stall Street ศูนย์อาหาร สุขุมวิท38 </v>
      </c>
    </row>
    <row r="277">
      <c r="A277" s="1" t="s">
        <v>391</v>
      </c>
      <c r="C277" s="2" t="str">
        <f t="shared" si="10"/>
        <v>Night Food Stall Street ศูนย์อาหาร สุขุมวิท38 </v>
      </c>
    </row>
    <row r="278">
      <c r="A278" s="1" t="s">
        <v>392</v>
      </c>
      <c r="C278" s="2" t="str">
        <f>HYPERLINK("http://foursquare.com/v/4d8608ba9324236a05b0da0e","Beer Vault ")</f>
        <v>Beer Vault </v>
      </c>
    </row>
    <row r="279">
      <c r="A279" s="1" t="s">
        <v>393</v>
      </c>
      <c r="C279" s="2" t="str">
        <f>HYPERLINK("http://foursquare.com/v/4f5d6398e4b0a4baa44f3f2e","Bangkok Marriott Hotel Sukhumvit ")</f>
        <v>Bangkok Marriott Hotel Sukhumvit </v>
      </c>
    </row>
    <row r="280">
      <c r="A280" s="1" t="s">
        <v>394</v>
      </c>
      <c r="C280" s="2" t="str">
        <f>HYPERLINK("http://foursquare.com/v/4b0587f7f964a5205aa922e3","Q Bar (คิวบาร์) ")</f>
        <v>Q Bar (คิวบาร์) </v>
      </c>
    </row>
    <row r="281">
      <c r="A281" s="1" t="s">
        <v>395</v>
      </c>
      <c r="C281" s="2" t="str">
        <f>HYPERLINK("http://foursquare.com/v/50057e87164846c9b5a9cee3","Gateway Ekamai (เกตเวย์ เอกมัย) ゲートウェイ・エカマイ ")</f>
        <v>Gateway Ekamai (เกตเวย์ เอกมัย) ゲートウェイ・エカマイ </v>
      </c>
    </row>
    <row r="282">
      <c r="A282" s="1" t="s">
        <v>396</v>
      </c>
      <c r="C282" s="2" t="str">
        <f>HYPERLINK("http://foursquare.com/v/4b0587f7f964a5206fa922e3","Bourbon St. ")</f>
        <v>Bourbon St. </v>
      </c>
    </row>
    <row r="283">
      <c r="A283" s="1" t="s">
        <v>397</v>
      </c>
      <c r="C283" s="2" t="str">
        <f>HYPERLINK("http://foursquare.com/v/4b63f2f4f964a5205e982ae3","ท้องฟ้าจำลอง (Bangkok Planetarium) ")</f>
        <v>ท้องฟ้าจำลอง (Bangkok Planetarium) </v>
      </c>
    </row>
    <row r="284">
      <c r="A284" s="1" t="s">
        <v>398</v>
      </c>
      <c r="C284" s="2" t="str">
        <f>HYPERLINK("http://foursquare.com/v/4b0587f7f964a5206fa922e3","Bourbon St. ")</f>
        <v>Bourbon St. </v>
      </c>
    </row>
    <row r="285">
      <c r="A285" s="1" t="s">
        <v>399</v>
      </c>
      <c r="C285" s="2" t="str">
        <f>HYPERLINK("http://foursquare.com/v/4b506953f964a520832227e3","MBK Center (เอ็ม บี เค เซ็นเตอร์) ")</f>
        <v>MBK Center (เอ็ม บี เค เซ็นเตอร์) </v>
      </c>
    </row>
    <row r="286">
      <c r="A286" s="1" t="s">
        <v>400</v>
      </c>
      <c r="C286" s="2" t="str">
        <f>HYPERLINK("http://foursquare.com/v/4ba7fafdf964a520dcc339e3","Embassy of the United States (สถานเอกอัครราชทูตสหรัฐอเมริกา) ")</f>
        <v>Embassy of the United States (สถานเอกอัครราชทูตสหรัฐอเมริกา) </v>
      </c>
    </row>
    <row r="287">
      <c r="A287" s="1" t="s">
        <v>401</v>
      </c>
      <c r="C287" s="2" t="str">
        <f>HYPERLINK("http://foursquare.com/v/50b0ea70e4b0a0a30269c546","The Continent Hotel ")</f>
        <v>The Continent Hotel </v>
      </c>
    </row>
    <row r="288">
      <c r="A288" s="1" t="s">
        <v>402</v>
      </c>
      <c r="C288" s="2" t="str">
        <f>HYPERLINK("http://foursquare.com/v/4c71d0c64bc4236a47e6c97a","Superstar Academy (โรงเรียนดนตรีและศิลปะการแสดง ซูเปอร์สตาร์) ")</f>
        <v>Superstar Academy (โรงเรียนดนตรีและศิลปะการแสดง ซูเปอร์สตาร์) </v>
      </c>
    </row>
    <row r="289">
      <c r="A289" s="1" t="s">
        <v>403</v>
      </c>
      <c r="C289" s="2" t="str">
        <f>HYPERLINK("http://foursquare.com/v/4e04899c1fc71937b4cd323c","Ambassador's Court ")</f>
        <v>Ambassador's Court </v>
      </c>
    </row>
    <row r="290">
      <c r="A290" s="1" t="s">
        <v>404</v>
      </c>
      <c r="C290" s="2" t="str">
        <f>HYPERLINK("http://foursquare.com/v/4b852591f964a520184e31e3","ครัวในบ้าน (Khrua Nai Baan) ")</f>
        <v>ครัวในบ้าน (Khrua Nai Baan) </v>
      </c>
    </row>
    <row r="291">
      <c r="A291" s="1" t="s">
        <v>405</v>
      </c>
      <c r="C291" s="2" t="str">
        <f>HYPERLINK("http://foursquare.com/v/4c2ad1448abca593b450ff1f","Terminal 21 (เทอร์มินอล ทเวนตี้วัน) ")</f>
        <v>Terminal 21 (เทอร์มินอล ทเวนตี้วัน) </v>
      </c>
    </row>
    <row r="292">
      <c r="A292" s="1" t="s">
        <v>406</v>
      </c>
      <c r="C292" s="2" t="str">
        <f>HYPERLINK("http://foursquare.com/v/4ebb9f42f5b9f8d19b36e476","Olivié Café (โอลิวิเย่ คาเฟ่) ")</f>
        <v>Olivié Café (โอลิวิเย่ คาเฟ่) </v>
      </c>
    </row>
    <row r="293">
      <c r="A293" s="1" t="s">
        <v>407</v>
      </c>
      <c r="C293" s="2" t="str">
        <f>HYPERLINK("http://foursquare.com/v/5018c33ce4b05a786eee674f","The Coffee Club ")</f>
        <v>The Coffee Club </v>
      </c>
    </row>
    <row r="294">
      <c r="A294" s="1" t="s">
        <v>408</v>
      </c>
      <c r="C294" s="2" t="str">
        <f>HYPERLINK("http://foursquare.com/v/4bb5deeb1344b713fcab9c04","Myeong Ga (เมียงคา) ")</f>
        <v>Myeong Ga (เมียงคา) </v>
      </c>
    </row>
    <row r="295">
      <c r="A295" s="1" t="s">
        <v>409</v>
      </c>
      <c r="C295" s="2" t="str">
        <f>HYPERLINK("http://foursquare.com/v/4b2ee515f964a520f8e724e3","โรงพยาบาลพญาไท 2 (Phyathai 2 Hospital) ")</f>
        <v>โรงพยาบาลพญาไท 2 (Phyathai 2 Hospital) </v>
      </c>
    </row>
    <row r="296">
      <c r="A296" s="1" t="s">
        <v>410</v>
      </c>
      <c r="C296" s="2" t="str">
        <f>HYPERLINK("http://foursquare.com/v/4ee7f10200397d4697a87834","CentralPlaza Grand Rama 9 (เซ็นทรัลพลาซา แกรนด์ พระราม 9) ")</f>
        <v>CentralPlaza Grand Rama 9 (เซ็นทรัลพลาซา แกรนด์ พระราม 9) </v>
      </c>
    </row>
    <row r="297">
      <c r="A297" s="1" t="s">
        <v>411</v>
      </c>
      <c r="C297" s="2" t="str">
        <f>HYPERLINK("http://foursquare.com/v/5018c33ce4b05a786eee674f","The Coffee Club ")</f>
        <v>The Coffee Club </v>
      </c>
    </row>
    <row r="298">
      <c r="A298" s="1" t="s">
        <v>412</v>
      </c>
      <c r="C298" s="2" t="str">
        <f>HYPERLINK("http://foursquare.com/v/4da8dec3561462f27d8760a6","BTS ตลาดพลู (Talat Phlu) S10 ")</f>
        <v>BTS ตลาดพลู (Talat Phlu) S10 </v>
      </c>
    </row>
    <row r="299">
      <c r="A299" s="1" t="s">
        <v>413</v>
      </c>
      <c r="C299" s="2" t="str">
        <f>HYPERLINK("http://foursquare.com/v/4b4fcf6bf964a5203a1627e3","BTS วงเวียนใหญ่ (Wongwian Yai) S8 ")</f>
        <v>BTS วงเวียนใหญ่ (Wongwian Yai) S8 </v>
      </c>
    </row>
    <row r="300">
      <c r="A300" s="1" t="s">
        <v>414</v>
      </c>
      <c r="C300" s="2" t="str">
        <f>HYPERLINK("http://foursquare.com/v/4bdd3897645e0f47da206b19","Sizzler (ซิซซ์เลอร์) ")</f>
        <v>Sizzler (ซิซซ์เลอร์) </v>
      </c>
    </row>
    <row r="301">
      <c r="A301" s="1" t="s">
        <v>415</v>
      </c>
      <c r="C301" s="2" t="str">
        <f>HYPERLINK("http://foursquare.com/v/4b345b0cf964a520282725e3","Big C (บิ๊กซี) ")</f>
        <v>Big C (บิ๊กซี) </v>
      </c>
    </row>
    <row r="302">
      <c r="A302" s="1" t="s">
        <v>416</v>
      </c>
      <c r="C302" s="2" t="str">
        <f>HYPERLINK("http://foursquare.com/v/4d24692453e4a093e70b8777","สบายใจเก็บตะวัน (Sabaijai Kebtawan) ")</f>
        <v>สบายใจเก็บตะวัน (Sabaijai Kebtawan) </v>
      </c>
    </row>
    <row r="303">
      <c r="A303" s="1" t="s">
        <v>417</v>
      </c>
      <c r="C303" s="2" t="str">
        <f>HYPERLINK("http://foursquare.com/v/4b59b9a2f964a520c59428e3","J Avenue (เจ อเวนิว) ")</f>
        <v>J Avenue (เจ อเวนิว) </v>
      </c>
    </row>
    <row r="304">
      <c r="A304" s="1" t="s">
        <v>417</v>
      </c>
      <c r="C304" s="2" t="str">
        <f>HYPERLINK("http://foursquare.com/v/4b40375bf964a520ebb625e3","Greyhound Café (เกรฮาวด์ คาเฟ่) ")</f>
        <v>Greyhound Café (เกรฮาวด์ คาเฟ่) </v>
      </c>
    </row>
    <row r="305">
      <c r="A305" s="1" t="s">
        <v>418</v>
      </c>
      <c r="C305" s="2" t="str">
        <f>HYPERLINK("http://foursquare.com/v/5018c33ce4b05a786eee674f","The Coffee Club ")</f>
        <v>The Coffee Club </v>
      </c>
    </row>
    <row r="306">
      <c r="A306" s="1" t="s">
        <v>419</v>
      </c>
      <c r="C306" s="2" t="str">
        <f>HYPERLINK("http://foursquare.com/v/4d4765359ba959411d144875","ธนาคารกสิกรไทย (KASIKORNBANK) ")</f>
        <v>ธนาคารกสิกรไทย (KASIKORNBANK) </v>
      </c>
    </row>
    <row r="307">
      <c r="A307" s="1" t="s">
        <v>420</v>
      </c>
      <c r="C307" s="2" t="str">
        <f>HYPERLINK("http://foursquare.com/v/4b0587f7f964a5206fa922e3","Bourbon St. ")</f>
        <v>Bourbon St. </v>
      </c>
    </row>
    <row r="308">
      <c r="A308" s="1" t="s">
        <v>421</v>
      </c>
      <c r="C308" s="2" t="str">
        <f>HYPERLINK("http://foursquare.com/v/4edae064775bcc53fb308e3d","ตลาดนัดสวนรถไฟ (Rot Fai Park Flea Market) ")</f>
        <v>ตลาดนัดสวนรถไฟ (Rot Fai Park Flea Market) </v>
      </c>
    </row>
    <row r="309">
      <c r="A309" s="1" t="s">
        <v>422</v>
      </c>
      <c r="C309" s="2" t="str">
        <f>HYPERLINK("http://foursquare.com/v/4b75ed44f964a520722f2ee3","สวนวชิรเบญจทัศ (สวนรถไฟ) Vachirabenjatas Park (Rot Fai Park) ")</f>
        <v>สวนวชิรเบญจทัศ (สวนรถไฟ) Vachirabenjatas Park (Rot Fai Park) </v>
      </c>
    </row>
    <row r="310">
      <c r="A310" s="1" t="s">
        <v>423</v>
      </c>
      <c r="C310" s="2" t="str">
        <f>HYPERLINK("http://foursquare.com/v/4b59c3bbf964a520cf9628e3","Bluedoor (ประตูสีฟ้า) ")</f>
        <v>Bluedoor (ประตูสีฟ้า) </v>
      </c>
    </row>
    <row r="311">
      <c r="A311" s="1" t="s">
        <v>424</v>
      </c>
      <c r="C311" s="2" t="str">
        <f>HYPERLINK("http://foursquare.com/v/4cb11d7c1463a143761da3a9","Montien Riverside Hotel (โรงแรมมณเฑียร ริเวอร์ไซด์) ")</f>
        <v>Montien Riverside Hotel (โรงแรมมณเฑียร ริเวอร์ไซด์) </v>
      </c>
    </row>
    <row r="312">
      <c r="A312" s="1" t="s">
        <v>425</v>
      </c>
      <c r="C312" s="2" t="str">
        <f>HYPERLINK("http://foursquare.com/v/4c71d0c64bc4236a47e6c97a","Superstar Academy (โรงเรียนดนตรีและศิลปะการแสดง ซูเปอร์สตาร์) ")</f>
        <v>Superstar Academy (โรงเรียนดนตรีและศิลปะการแสดง ซูเปอร์สตาร์) </v>
      </c>
    </row>
    <row r="313">
      <c r="A313" s="1" t="s">
        <v>426</v>
      </c>
      <c r="C313" s="2" t="str">
        <f>HYPERLINK("http://foursquare.com/v/4d8daff7d4ec8cfa82ba5f89","BELLE GRAND Phra Ram 9 ")</f>
        <v>BELLE GRAND Phra Ram 9 </v>
      </c>
    </row>
    <row r="314">
      <c r="A314" s="1" t="s">
        <v>427</v>
      </c>
      <c r="C314" s="2" t="str">
        <f>HYPERLINK("http://foursquare.com/v/4b45c777f964a5203a1026e3","Union Mall (ยูเนี่ยน มอลล์) ")</f>
        <v>Union Mall (ยูเนี่ยน มอลล์) </v>
      </c>
    </row>
    <row r="315">
      <c r="A315" s="1" t="s">
        <v>428</v>
      </c>
      <c r="C315" s="2" t="str">
        <f>HYPERLINK("http://foursquare.com/v/502cf3b9e4b0c5661bae9325","Bombay blues ")</f>
        <v>Bombay blues </v>
      </c>
    </row>
    <row r="316">
      <c r="A316" s="1" t="s">
        <v>429</v>
      </c>
      <c r="C316" s="2" t="str">
        <f>HYPERLINK("http://foursquare.com/v/4b53e66cf964a52041ae27e3","กรมการกงสุล (Department of Consular Affairs) ")</f>
        <v>กรมการกงสุล (Department of Consular Affairs) </v>
      </c>
    </row>
    <row r="317">
      <c r="A317" s="1" t="s">
        <v>430</v>
      </c>
      <c r="C317" s="2" t="str">
        <f>HYPERLINK("http://foursquare.com/v/514e72b4e4b0f713b254822a","KidZania Bangkok (คิดส์ซาเนีย กรุงเทพ) ")</f>
        <v>KidZania Bangkok (คิดส์ซาเนีย กรุงเทพ) </v>
      </c>
    </row>
    <row r="318">
      <c r="A318" s="1" t="s">
        <v>431</v>
      </c>
      <c r="C318" s="2" t="str">
        <f>HYPERLINK("http://foursquare.com/v/4c79d97276ce9c7400cbac0c","Cheesecake House (ชีสเค้กเฮ้าส์) ")</f>
        <v>Cheesecake House (ชีสเค้กเฮ้าส์) </v>
      </c>
    </row>
    <row r="319">
      <c r="A319" s="1" t="s">
        <v>432</v>
      </c>
      <c r="C319" s="2" t="str">
        <f>HYPERLINK("http://foursquare.com/v/4b0587f7f964a5206fa922e3","Bourbon St. ")</f>
        <v>Bourbon St. </v>
      </c>
    </row>
    <row r="320">
      <c r="A320" s="1" t="s">
        <v>433</v>
      </c>
      <c r="B320" s="1" t="s">
        <v>434</v>
      </c>
      <c r="C320" s="2" t="str">
        <f>HYPERLINK("http://foursquare.com/v/51c43ab2498e7b8d3ad9fe2c","てっぺん ")</f>
        <v>てっぺん </v>
      </c>
    </row>
    <row r="321">
      <c r="A321" s="1" t="s">
        <v>435</v>
      </c>
      <c r="C321" s="2" t="str">
        <f>HYPERLINK("http://foursquare.com/v/50cb32f1183f0fe460cd6547","Praewa Hair Love U ")</f>
        <v>Praewa Hair Love U </v>
      </c>
    </row>
    <row r="322">
      <c r="A322" s="1" t="s">
        <v>436</v>
      </c>
      <c r="C322" s="2" t="str">
        <f>HYPERLINK("http://foursquare.com/v/4b4ddbc3f964a52090d926e3","Plaza Lagoon ")</f>
        <v>Plaza Lagoon </v>
      </c>
    </row>
    <row r="323">
      <c r="A323" s="1" t="s">
        <v>437</v>
      </c>
      <c r="C323" s="2" t="str">
        <f>HYPERLINK("http://foursquare.com/v/4b0587faf964a52075aa22e3","The Old Dutch ")</f>
        <v>The Old Dutch </v>
      </c>
    </row>
    <row r="324">
      <c r="A324" s="1" t="s">
        <v>438</v>
      </c>
      <c r="C324" s="2" t="str">
        <f>HYPERLINK("http://foursquare.com/v/4cd6460ea5b34688e3349350","Bangjak oil station | udomsuk ")</f>
        <v>Bangjak oil station | udomsuk </v>
      </c>
    </row>
    <row r="325">
      <c r="A325" s="1" t="s">
        <v>439</v>
      </c>
      <c r="C325" s="2" t="str">
        <f>HYPERLINK("http://foursquare.com/v/4c5511faa724e21e92a170f7","หอจดหมายเหตุพุทธทาส อินทปัญโญ (BIA) สวนโมกข์ กรุงเทพ ")</f>
        <v>หอจดหมายเหตุพุทธทาส อินทปัญโญ (BIA) สวนโมกข์ กรุงเทพ </v>
      </c>
    </row>
    <row r="326">
      <c r="A326" s="1" t="s">
        <v>440</v>
      </c>
      <c r="C326" s="2" t="str">
        <f>HYPERLINK("http://foursquare.com/v/4c79d97276ce9c7400cbac0c","Cheesecake House (ชีสเค้กเฮ้าส์) ")</f>
        <v>Cheesecake House (ชีสเค้กเฮ้าส์) </v>
      </c>
    </row>
    <row r="327">
      <c r="A327" s="1" t="s">
        <v>441</v>
      </c>
      <c r="C327" s="2" t="str">
        <f>HYPERLINK("http://foursquare.com/v/5018c33ce4b05a786eee674f","The Coffee Club ")</f>
        <v>The Coffee Club </v>
      </c>
    </row>
    <row r="328">
      <c r="A328" s="1" t="s">
        <v>442</v>
      </c>
      <c r="C328" s="2" t="str">
        <f>HYPERLINK("http://foursquare.com/v/4fbdbde6e4b00375eeecb85e","Mega Plaza (เมกา พลาซ่า) ")</f>
        <v>Mega Plaza (เมกา พลาซ่า) </v>
      </c>
    </row>
    <row r="329">
      <c r="A329" s="1" t="s">
        <v>443</v>
      </c>
      <c r="C329" s="2" t="str">
        <f>HYPERLINK("http://foursquare.com/v/4e842b9629c20ebbb729f163","IKEA Bangna (อิเกีย บางนา) ")</f>
        <v>IKEA Bangna (อิเกีย บางนา) </v>
      </c>
    </row>
    <row r="330">
      <c r="A330" s="1" t="s">
        <v>444</v>
      </c>
      <c r="C330" s="2" t="str">
        <f>HYPERLINK("http://foursquare.com/v/4d8daff7d4ec8cfa82ba5f89","BELLE GRAND Phra Ram 9 ")</f>
        <v>BELLE GRAND Phra Ram 9 </v>
      </c>
    </row>
    <row r="331">
      <c r="A331" s="1" t="s">
        <v>445</v>
      </c>
      <c r="C331" s="2" t="str">
        <f>HYPERLINK("http://foursquare.com/v/5018c33ce4b05a786eee674f","The Coffee Club ")</f>
        <v>The Coffee Club </v>
      </c>
    </row>
    <row r="332">
      <c r="A332" s="1" t="s">
        <v>446</v>
      </c>
      <c r="C332" s="2" t="str">
        <f>HYPERLINK("http://foursquare.com/v/4b0587f7f964a5206fa922e3","Bourbon Street Bar &amp; Restaurant ")</f>
        <v>Bourbon Street Bar &amp; Restaurant </v>
      </c>
    </row>
    <row r="333">
      <c r="A333" s="1" t="s">
        <v>447</v>
      </c>
      <c r="C333" s="2" t="str">
        <f>HYPERLINK("http://foursquare.com/v/4fe86563e4b0b484a5550c1d","ข้าวมันไก่ สูตรไหหลำ ")</f>
        <v>ข้าวมันไก่ สูตรไหหลำ </v>
      </c>
    </row>
    <row r="334">
      <c r="A334" s="1" t="s">
        <v>448</v>
      </c>
      <c r="C334" s="2" t="str">
        <f>HYPERLINK("http://foursquare.com/v/5018c33ce4b05a786eee674f","The Coffee Club ")</f>
        <v>The Coffee Club </v>
      </c>
    </row>
    <row r="335">
      <c r="A335" s="1" t="s">
        <v>449</v>
      </c>
      <c r="C335" s="2" t="str">
        <f>HYPERLINK("http://foursquare.com/v/4b0587f6f964a52022a922e3","Royal Orchid Sheraton Hotel &amp; Towers ")</f>
        <v>Royal Orchid Sheraton Hotel &amp; Towers </v>
      </c>
    </row>
    <row r="336">
      <c r="A336" s="1" t="s">
        <v>450</v>
      </c>
      <c r="C336" s="2" t="str">
        <f>HYPERLINK("http://foursquare.com/v/4ba348b7f964a5203d3338e3","Digital Gateway (ดิจิตอล เกตเวย์) ")</f>
        <v>Digital Gateway (ดิจิตอล เกตเวย์) </v>
      </c>
    </row>
    <row r="337">
      <c r="A337" s="1" t="s">
        <v>451</v>
      </c>
      <c r="C337" s="2" t="str">
        <f>HYPERLINK("http://foursquare.com/v/4b812ca4f964a520529930e3","HomePro Plus (โฮมโปร พลัส) ")</f>
        <v>HomePro Plus (โฮมโปร พลัส) </v>
      </c>
    </row>
    <row r="338">
      <c r="A338" s="1" t="s">
        <v>452</v>
      </c>
      <c r="C338" s="2" t="str">
        <f>HYPERLINK("http://foursquare.com/v/4b41d1b4f964a52029c925e3","unlimit:mac ")</f>
        <v>unlimit:mac </v>
      </c>
    </row>
    <row r="339">
      <c r="A339" s="1" t="s">
        <v>453</v>
      </c>
      <c r="C339" s="2" t="str">
        <f>HYPERLINK("http://foursquare.com/v/4bde4f0b6316d13ad7aaa011","Pronto Marketing World Headquarters ")</f>
        <v>Pronto Marketing World Headquarters </v>
      </c>
    </row>
    <row r="340">
      <c r="A340" s="1" t="s">
        <v>454</v>
      </c>
      <c r="C340" s="2" t="str">
        <f>HYPERLINK("http://foursquare.com/v/4b373e5ef964a520194025e3","จัตุรัสจามจุรี (Chamchuri Square) ")</f>
        <v>จัตุรัสจามจุรี (Chamchuri Square) </v>
      </c>
    </row>
    <row r="341">
      <c r="A341" s="1" t="s">
        <v>455</v>
      </c>
      <c r="C341" s="2" t="str">
        <f>HYPERLINK("http://foursquare.com/v/4fb601c7e4b0a804111ec5e7","HUBBA - Coworking Space ")</f>
        <v>HUBBA - Coworking Space </v>
      </c>
    </row>
    <row r="342">
      <c r="A342" s="1" t="s">
        <v>456</v>
      </c>
      <c r="C342" s="2" t="str">
        <f>HYPERLINK("http://foursquare.com/v/5018c33ce4b05a786eee674f","The Coffee Club ")</f>
        <v>The Coffee Club </v>
      </c>
    </row>
    <row r="343">
      <c r="A343" s="1" t="s">
        <v>457</v>
      </c>
      <c r="C343" s="2" t="str">
        <f>HYPERLINK("http://foursquare.com/v/4cc3c12406c25481d6db9247","Zaab อีลี่ ")</f>
        <v>Zaab อีลี่ </v>
      </c>
    </row>
    <row r="344">
      <c r="A344" s="1" t="s">
        <v>458</v>
      </c>
      <c r="C344" s="2" t="str">
        <f>HYPERLINK("http://foursquare.com/v/4bd98c220115c9b67da47780","The Iron Fairies &amp; Co ")</f>
        <v>The Iron Fairies &amp; Co </v>
      </c>
    </row>
    <row r="345">
      <c r="A345" s="1" t="s">
        <v>459</v>
      </c>
      <c r="C345" s="2" t="str">
        <f>HYPERLINK("http://foursquare.com/v/4b40375bf964a520ebb625e3","Greyhound Café (เกรฮาวด์ คาเฟ่) ")</f>
        <v>Greyhound Café (เกรฮาวด์ คาเฟ่) </v>
      </c>
    </row>
    <row r="346">
      <c r="A346" s="1" t="s">
        <v>460</v>
      </c>
      <c r="C346" s="2" t="str">
        <f>HYPERLINK("http://foursquare.com/v/5249487411d280a4d4f26cc1","Mobile Monday Bangkok #7 - MoMoBKK ")</f>
        <v>Mobile Monday Bangkok #7 - MoMoBKK </v>
      </c>
    </row>
    <row r="347">
      <c r="A347" s="1" t="s">
        <v>461</v>
      </c>
      <c r="C347" s="2" t="str">
        <f>HYPERLINK("http://foursquare.com/v/4bfccc40f7c82d7f484d8d04","สระว่ายน้ำ บ้านกล้วย ")</f>
        <v>สระว่ายน้ำ บ้านกล้วย </v>
      </c>
    </row>
    <row r="348">
      <c r="A348" s="1" t="s">
        <v>462</v>
      </c>
      <c r="C348" s="2" t="str">
        <f>HYPERLINK("http://foursquare.com/v/4b41d1b4f964a52029c925e3","unlimit:mac ")</f>
        <v>unlimit:mac </v>
      </c>
    </row>
    <row r="349">
      <c r="A349" s="1" t="s">
        <v>463</v>
      </c>
      <c r="C349" s="2" t="str">
        <f>HYPERLINK("http://foursquare.com/v/4c00c088379020a12c09477f","Samsung Service Center ")</f>
        <v>Samsung Service Center </v>
      </c>
    </row>
    <row r="350">
      <c r="A350" s="1" t="s">
        <v>464</v>
      </c>
      <c r="C350" s="2" t="str">
        <f>HYPERLINK("http://foursquare.com/v/4ba1dfbbf964a520fecf37e3","Queen Sirikit National Convention Center (ศูนย์การประชุมแห่งชาติสิริกิติ์) ")</f>
        <v>Queen Sirikit National Convention Center (ศูนย์การประชุมแห่งชาติสิริกิติ์) </v>
      </c>
    </row>
    <row r="351">
      <c r="A351" s="1" t="s">
        <v>465</v>
      </c>
      <c r="C351" s="2" t="str">
        <f>HYPERLINK("http://foursquare.com/v/4c849047d92ea093599a5e72","Playtime ")</f>
        <v>Playtime </v>
      </c>
    </row>
    <row r="352">
      <c r="A352" s="1" t="s">
        <v>466</v>
      </c>
      <c r="C352" s="2" t="str">
        <f>HYPERLINK("http://foursquare.com/v/4b0587f7f964a5206fa922e3","Bourbon Street Bar &amp; Restaurant ")</f>
        <v>Bourbon Street Bar &amp; Restaurant </v>
      </c>
    </row>
    <row r="353">
      <c r="A353" s="1" t="s">
        <v>467</v>
      </c>
      <c r="C353" s="2" t="str">
        <f>HYPERLINK("http://foursquare.com/v/4c5b88a3d25320a12406c17a","Sukumvit Hospital (โรงพยาบาลสุขุมวิท) ")</f>
        <v>Sukumvit Hospital (โรงพยาบาลสุขุมวิท) </v>
      </c>
    </row>
    <row r="354">
      <c r="A354" s="1" t="s">
        <v>468</v>
      </c>
      <c r="C354" s="2" t="str">
        <f>HYPERLINK("http://foursquare.com/v/5018c33ce4b05a786eee674f","The Coffee Club ")</f>
        <v>The Coffee Club </v>
      </c>
    </row>
    <row r="355">
      <c r="A355" s="1" t="s">
        <v>469</v>
      </c>
      <c r="C355" s="2" t="str">
        <f>HYPERLINK("http://foursquare.com/v/51433207e4b07932575c930b","Brotzeit ")</f>
        <v>Brotzeit </v>
      </c>
    </row>
    <row r="356">
      <c r="A356" s="1" t="s">
        <v>470</v>
      </c>
      <c r="C356" s="2" t="str">
        <f>HYPERLINK("http://foursquare.com/v/4e5489b622710ebb5a8be99b","Bangkok Burger Company ")</f>
        <v>Bangkok Burger Company </v>
      </c>
    </row>
    <row r="357">
      <c r="A357" s="1" t="s">
        <v>471</v>
      </c>
      <c r="C357" s="2" t="str">
        <f>HYPERLINK("http://foursquare.com/v/4dc1bded45dd6601d5cbc6e9","Supapong Condominium ")</f>
        <v>Supapong Condominium </v>
      </c>
    </row>
    <row r="358">
      <c r="A358" s="1" t="s">
        <v>472</v>
      </c>
      <c r="C358" s="2" t="str">
        <f>HYPERLINK("http://foursquare.com/v/4c20b5bd8082d13a8e09f82a","สนามกีฬาหัวหมาก (Hua Mak Sports Complex) ")</f>
        <v>สนามกีฬาหัวหมาก (Hua Mak Sports Complex) </v>
      </c>
    </row>
    <row r="359">
      <c r="A359" s="1" t="s">
        <v>473</v>
      </c>
      <c r="C359" s="2" t="str">
        <f>HYPERLINK("http://foursquare.com/v/4c71d0c64bc4236a47e6c97a","Superstar Academy (โรงเรียนดนตรีและศิลปะการแสดง ซูเปอร์สตาร์) ")</f>
        <v>Superstar Academy (โรงเรียนดนตรีและศิลปะการแสดง ซูเปอร์สตาร์) </v>
      </c>
    </row>
    <row r="360">
      <c r="A360" s="1" t="s">
        <v>474</v>
      </c>
      <c r="C360" s="2" t="str">
        <f>HYPERLINK("http://foursquare.com/v/4b40375bf964a520ebb625e3","Greyhound Café (เกรฮาวด์ คาเฟ่) ")</f>
        <v>Greyhound Café (เกรฮาวด์ คาเฟ่) </v>
      </c>
    </row>
    <row r="361">
      <c r="A361" s="1" t="s">
        <v>475</v>
      </c>
      <c r="C361" s="2" t="str">
        <f>HYPERLINK("http://foursquare.com/v/513a026fe4b01171b7467106","Maidreamin (เมดห์ดรีมมิน) めいどりーみん ")</f>
        <v>Maidreamin (เมดห์ดรีมมิน) めいどりーみん </v>
      </c>
    </row>
    <row r="362">
      <c r="A362" s="1" t="s">
        <v>476</v>
      </c>
      <c r="C362" s="2" t="str">
        <f>HYPERLINK("http://foursquare.com/v/4d1de8056e8c37047308e19f","Sip Wine Bar &amp; Tasting ")</f>
        <v>Sip Wine Bar &amp; Tasting </v>
      </c>
    </row>
    <row r="363">
      <c r="A363" s="1" t="s">
        <v>477</v>
      </c>
      <c r="C363" s="2" t="str">
        <f>HYPERLINK("http://foursquare.com/v/4b735951f964a52007aa2de3","Rakluke Group Co., Ltd. (บริษัท รักลูกกรุ๊ป จำกัด) ")</f>
        <v>Rakluke Group Co., Ltd. (บริษัท รักลูกกรุ๊ป จำกัด) </v>
      </c>
    </row>
    <row r="364">
      <c r="A364" s="1" t="s">
        <v>478</v>
      </c>
      <c r="C364" s="2" t="str">
        <f>HYPERLINK("http://foursquare.com/v/4b0587fdf964a52034ab22e3","Siam Paragon (สยามพารากอน) ")</f>
        <v>Siam Paragon (สยามพารากอน) </v>
      </c>
    </row>
    <row r="365">
      <c r="A365" s="1" t="s">
        <v>479</v>
      </c>
      <c r="C365" s="2" t="str">
        <f>HYPERLINK("http://foursquare.com/v/4ba8a50df964a52059e439e3","TrueCoffee (ทรูคอฟฟี่) ")</f>
        <v>TrueCoffee (ทรูคอฟฟี่) </v>
      </c>
    </row>
    <row r="366">
      <c r="A366" s="1" t="s">
        <v>480</v>
      </c>
      <c r="C366" s="2" t="str">
        <f>HYPERLINK("http://foursquare.com/v/4bd0533afb2cce723ee03bd2","The Dynasty Hotel Bangkok (โรงแรม ไดนาสตี้ บางกอก) ")</f>
        <v>The Dynasty Hotel Bangkok (โรงแรม ไดนาสตี้ บางกอก) </v>
      </c>
    </row>
    <row r="367">
      <c r="A367" s="1" t="s">
        <v>481</v>
      </c>
      <c r="C367" s="2" t="str">
        <f>HYPERLINK("http://foursquare.com/v/515e21dee4b08ba1e75a5f59","The Coffee Club ")</f>
        <v>The Coffee Club </v>
      </c>
    </row>
    <row r="368">
      <c r="A368" s="1" t="s">
        <v>482</v>
      </c>
      <c r="C368" s="2" t="str">
        <f>HYPERLINK("http://foursquare.com/v/4d1de8056e8c37047308e19f","Sip Wine Bar &amp; Tasting ")</f>
        <v>Sip Wine Bar &amp; Tasting </v>
      </c>
    </row>
    <row r="369">
      <c r="A369" s="1" t="s">
        <v>483</v>
      </c>
      <c r="C369" s="2" t="str">
        <f>HYPERLINK("http://foursquare.com/v/52633e5311d22d57fc0a1d0e","Xinghua School ")</f>
        <v>Xinghua School </v>
      </c>
    </row>
    <row r="370">
      <c r="A370" s="1" t="s">
        <v>484</v>
      </c>
      <c r="C370" s="2" t="str">
        <f>HYPERLINK("http://foursquare.com/v/4d27e9abc406721ee9b16cb6","S&amp;P (เอสแอนด์พี) ")</f>
        <v>S&amp;P (เอสแอนด์พี) </v>
      </c>
    </row>
    <row r="371">
      <c r="A371" s="1" t="s">
        <v>485</v>
      </c>
      <c r="C371" s="2" t="str">
        <f>HYPERLINK("http://foursquare.com/v/4bda65392a3a0f47fd10abb6","Asavanant Dental Clinic ")</f>
        <v>Asavanant Dental Clinic </v>
      </c>
    </row>
    <row r="372">
      <c r="A372" s="1" t="s">
        <v>486</v>
      </c>
      <c r="C372" s="2" t="str">
        <f>HYPERLINK("http://foursquare.com/v/4ca8359314c337040205d23b","Denta Joy ")</f>
        <v>Denta Joy </v>
      </c>
    </row>
    <row r="373">
      <c r="A373" s="1" t="s">
        <v>487</v>
      </c>
      <c r="C373" s="2" t="str">
        <f>HYPERLINK("http://foursquare.com/v/4d24692453e4a093e70b8777","สบายใจเก็บตะวัน (Sabaijai Kebtawan) ")</f>
        <v>สบายใจเก็บตะวัน (Sabaijai Kebtawan) </v>
      </c>
    </row>
    <row r="374">
      <c r="A374" s="1" t="s">
        <v>488</v>
      </c>
      <c r="C374" s="2" t="str">
        <f>HYPERLINK("http://foursquare.com/v/4c7d17d6a141b1f7e0e26c79","7-eleven ตลาดสุวินทวงศ์ ")</f>
        <v>7-eleven ตลาดสุวินทวงศ์ </v>
      </c>
    </row>
    <row r="375">
      <c r="A375" s="1" t="s">
        <v>489</v>
      </c>
      <c r="C375" s="2" t="str">
        <f>HYPERLINK("http://foursquare.com/v/4c677c249cb82d7f3d0e94d2","ก๋วยเตี๋ยวเป็ดตุ๋น ก๋วยจั๊บ ")</f>
        <v>ก๋วยเตี๋ยวเป็ดตุ๋น ก๋วยจั๊บ </v>
      </c>
    </row>
    <row r="376">
      <c r="A376" s="1" t="s">
        <v>490</v>
      </c>
      <c r="C376" s="2" t="str">
        <f>HYPERLINK("http://foursquare.com/v/4b62b201f964a520504f2ae3","Agalico (อะกาลิโก) ")</f>
        <v>Agalico (อะกาลิโก) </v>
      </c>
    </row>
    <row r="377">
      <c r="A377" s="1" t="s">
        <v>491</v>
      </c>
      <c r="C377" s="2" t="str">
        <f>HYPERLINK("http://foursquare.com/v/5018c33ce4b05a786eee674f","The Coffee Club ")</f>
        <v>The Coffee Club </v>
      </c>
    </row>
    <row r="378">
      <c r="A378" s="1" t="s">
        <v>492</v>
      </c>
      <c r="C378" s="2" t="str">
        <f>HYPERLINK("http://foursquare.com/v/4d24692453e4a093e70b8777","สบายใจเก็บตะวัน (Sabaijai Kebtawan) ")</f>
        <v>สบายใจเก็บตะวัน (Sabaijai Kebtawan) </v>
      </c>
    </row>
    <row r="379">
      <c r="A379" s="1" t="s">
        <v>493</v>
      </c>
      <c r="C379" s="2" t="str">
        <f>HYPERLINK("http://foursquare.com/v/4c8c9eba5e38b1f73b2533f9","ศูนย์วิทยาศาสตร์เพื่อการศึกษา (Science Center for Education) ")</f>
        <v>ศูนย์วิทยาศาสตร์เพื่อการศึกษา (Science Center for Education) </v>
      </c>
    </row>
    <row r="380">
      <c r="A380" s="1" t="s">
        <v>494</v>
      </c>
      <c r="C380" s="2" t="str">
        <f>HYPERLINK("http://foursquare.com/v/5018c33ce4b05a786eee674f","The Coffee Club ")</f>
        <v>The Coffee Club </v>
      </c>
    </row>
    <row r="381">
      <c r="A381" s="1" t="s">
        <v>495</v>
      </c>
      <c r="C381" s="2" t="str">
        <f>HYPERLINK("http://foursquare.com/v/4ca87e7cd971b1f7b9df14e1","My Corner Bar &amp; Bistro ")</f>
        <v>My Corner Bar &amp; Bistro </v>
      </c>
    </row>
    <row r="382">
      <c r="A382" s="1" t="s">
        <v>496</v>
      </c>
      <c r="C382" s="2" t="str">
        <f>HYPERLINK("http://foursquare.com/v/4d1de8056e8c37047308e19f","Sip Wine Bar &amp; Tasting ")</f>
        <v>Sip Wine Bar &amp; Tasting </v>
      </c>
    </row>
    <row r="383">
      <c r="A383" s="1" t="s">
        <v>497</v>
      </c>
      <c r="C383" s="2" t="str">
        <f>HYPERLINK("http://foursquare.com/v/4b55dfcbf964a52011f427e3","The Sports Corner ")</f>
        <v>The Sports Corner </v>
      </c>
    </row>
    <row r="384">
      <c r="A384" s="1" t="s">
        <v>498</v>
      </c>
      <c r="C384" s="2" t="str">
        <f>HYPERLINK("http://foursquare.com/v/4bbd52074e069c74e3b49ee3","Rembrandt Hotel ")</f>
        <v>Rembrandt Hotel </v>
      </c>
    </row>
    <row r="385">
      <c r="A385" s="1" t="s">
        <v>499</v>
      </c>
      <c r="C385" s="2" t="str">
        <f>HYPERLINK("http://foursquare.com/v/4bdfb3d0ffdec9282bf8eca1","Thailand Post (ไปรษณีย์ไทย) ")</f>
        <v>Thailand Post (ไปรษณีย์ไทย) </v>
      </c>
    </row>
    <row r="386">
      <c r="A386" s="1" t="s">
        <v>500</v>
      </c>
      <c r="C386" s="2" t="str">
        <f>HYPERLINK("http://foursquare.com/v/4f76e9cbe4b0e91fa6623296","Sole Mio ")</f>
        <v>Sole Mio </v>
      </c>
    </row>
    <row r="387">
      <c r="A387" s="1" t="s">
        <v>501</v>
      </c>
      <c r="C387" s="2" t="str">
        <f>HYPERLINK("http://foursquare.com/v/4e5489b622710ebb5a8be99b","Bangkok Burger Company ")</f>
        <v>Bangkok Burger Company </v>
      </c>
    </row>
    <row r="388">
      <c r="A388" s="1" t="s">
        <v>502</v>
      </c>
      <c r="C388" s="2" t="str">
        <f>HYPERLINK("http://foursquare.com/v/4b0587f7f964a5206fa922e3","Bourbon Street Bar &amp; Restaurant ")</f>
        <v>Bourbon Street Bar &amp; Restaurant </v>
      </c>
    </row>
    <row r="389">
      <c r="A389" s="1" t="s">
        <v>503</v>
      </c>
      <c r="C389" s="2" t="str">
        <f>HYPERLINK("http://foursquare.com/v/5129b066e4b016a0e0e6fe8a","เขาใหญ่ตำแหลก ")</f>
        <v>เขาใหญ่ตำแหลก </v>
      </c>
    </row>
    <row r="390">
      <c r="A390" s="1" t="s">
        <v>504</v>
      </c>
      <c r="C390" s="2" t="str">
        <f>HYPERLINK("http://foursquare.com/v/4e83ab468b81799e94753eca","MuthiMaya Forest Pool Villa Khao Yai ")</f>
        <v>MuthiMaya Forest Pool Villa Khao Yai </v>
      </c>
    </row>
    <row r="391">
      <c r="A391" s="1" t="s">
        <v>505</v>
      </c>
      <c r="C391" s="2" t="str">
        <f>HYPERLINK("http://foursquare.com/v/4da67f7e43a1a8b3179dbc60","สวนอาหารครัวหญ้าคา ")</f>
        <v>สวนอาหารครัวหญ้าคา </v>
      </c>
    </row>
    <row r="392">
      <c r="A392" s="1" t="s">
        <v>506</v>
      </c>
      <c r="C392" s="2" t="str">
        <f>HYPERLINK("http://foursquare.com/v/4c4ab49c5609c9b62cfe1290","ศูนย์บริการนักท่องเที่ยว (Visitor Center) ")</f>
        <v>ศูนย์บริการนักท่องเที่ยว (Visitor Center) </v>
      </c>
    </row>
    <row r="393">
      <c r="A393" s="1" t="s">
        <v>507</v>
      </c>
      <c r="C393" s="2" t="str">
        <f>HYPERLINK("http://foursquare.com/v/4f6af0ace4b0e30e0a5b5d3b","PT Station ")</f>
        <v>PT Station </v>
      </c>
    </row>
    <row r="394">
      <c r="A394" s="1" t="s">
        <v>508</v>
      </c>
      <c r="C394" s="2" t="str">
        <f>HYPERLINK("http://foursquare.com/v/4e1005a518a84f0f0306dd5a","วัดสระบัว @ รังสิต คลอง11 ")</f>
        <v>วัดสระบัว @ รังสิต คลอง11 </v>
      </c>
    </row>
    <row r="395">
      <c r="A395" s="1" t="s">
        <v>509</v>
      </c>
      <c r="C395" s="2" t="str">
        <f>HYPERLINK("http://foursquare.com/v/5273948b498e2e0346a06777","Street Food near 7/11 Klong 6 ")</f>
        <v>Street Food near 7/11 Klong 6 </v>
      </c>
    </row>
    <row r="396">
      <c r="A396" s="1" t="s">
        <v>510</v>
      </c>
      <c r="C396" s="2" t="str">
        <f>HYPERLINK("http://foursquare.com/v/4c56397a6418a593cbd17c0e","Regent House (รีเจ้นท์เฮาส์) ")</f>
        <v>Regent House (รีเจ้นท์เฮาส์) </v>
      </c>
    </row>
    <row r="397">
      <c r="A397" s="1" t="s">
        <v>511</v>
      </c>
      <c r="C397" s="2" t="str">
        <f>HYPERLINK("http://foursquare.com/v/4b55dfcbf964a52011f427e3","The Sports Corner ")</f>
        <v>The Sports Corner </v>
      </c>
    </row>
    <row r="398">
      <c r="A398" s="1" t="s">
        <v>512</v>
      </c>
      <c r="C398" s="2" t="str">
        <f>HYPERLINK("http://foursquare.com/v/5113504345b00159deeed204","Hilton Sukhumvit Bangkok ")</f>
        <v>Hilton Sukhumvit Bangkok </v>
      </c>
    </row>
    <row r="399">
      <c r="A399" s="1" t="s">
        <v>513</v>
      </c>
      <c r="C399" s="2" t="str">
        <f>HYPERLINK("http://foursquare.com/v/4bb849717421a59350b5c140","SHAMBAALA ตำตำ ")</f>
        <v>SHAMBAALA ตำตำ </v>
      </c>
    </row>
    <row r="400">
      <c r="A400" s="1" t="s">
        <v>514</v>
      </c>
      <c r="C400" s="2" t="str">
        <f>HYPERLINK("http://foursquare.com/v/4bdd3897645e0f47da206b19","Sizzler (ซิซซ์เลอร์) ")</f>
        <v>Sizzler (ซิซซ์เลอร์) </v>
      </c>
    </row>
    <row r="401">
      <c r="A401" s="1" t="s">
        <v>515</v>
      </c>
      <c r="C401" s="2" t="str">
        <f>HYPERLINK("http://foursquare.com/v/4f6441dbe4b09fcf6225f08b","Tokiya (โทกิยะ) ")</f>
        <v>Tokiya (โทกิยะ) </v>
      </c>
    </row>
    <row r="402">
      <c r="A402" s="1" t="s">
        <v>516</v>
      </c>
      <c r="C402" s="2" t="str">
        <f>HYPERLINK("http://foursquare.com/v/51c99f41498e5015b4b9c01f","TanTan Izakaya Buffet ")</f>
        <v>TanTan Izakaya Buffet </v>
      </c>
    </row>
    <row r="403">
      <c r="A403" s="1" t="s">
        <v>517</v>
      </c>
      <c r="C403" s="2" t="str">
        <f>HYPERLINK("http://foursquare.com/v/4d764d81ec646dcb1641f910","BTS บางนา (Bang Na) E13 ")</f>
        <v>BTS บางนา (Bang Na) E13 </v>
      </c>
    </row>
    <row r="404">
      <c r="A404" s="1" t="s">
        <v>518</v>
      </c>
      <c r="C404" s="2" t="str">
        <f>HYPERLINK("http://foursquare.com/v/4c7f2c4dfb74236af789f9b9","Bangkok Patana School (โรงเรียนบางกอกพัฒนา) ")</f>
        <v>Bangkok Patana School (โรงเรียนบางกอกพัฒนา) </v>
      </c>
    </row>
    <row r="405">
      <c r="A405" s="1" t="s">
        <v>519</v>
      </c>
      <c r="C405" s="2" t="str">
        <f>HYPERLINK("http://foursquare.com/v/4b0587f6f964a52002a922e3","The Sukosol (โรงแรม เดอะ สุโกศล) ")</f>
        <v>The Sukosol (โรงแรม เดอะ สุโกศล) </v>
      </c>
    </row>
    <row r="406">
      <c r="A406" s="1" t="s">
        <v>520</v>
      </c>
      <c r="C406" s="2" t="str">
        <f>HYPERLINK("http://foursquare.com/v/5018c33ce4b05a786eee674f","The Coffee Club ")</f>
        <v>The Coffee Club </v>
      </c>
    </row>
    <row r="407">
      <c r="A407" s="1" t="s">
        <v>521</v>
      </c>
      <c r="C407" s="2" t="str">
        <f>HYPERLINK("http://foursquare.com/v/4f910bc1e4b0fa7ccf56ca74","iberry Café (ไอเบอร์รี่ คาเฟ่) ")</f>
        <v>iberry Café (ไอเบอร์รี่ คาเฟ่) </v>
      </c>
    </row>
    <row r="408">
      <c r="A408" s="1" t="s">
        <v>522</v>
      </c>
      <c r="C408" s="2" t="str">
        <f>HYPERLINK("http://foursquare.com/v/4da3f9240f578cfa0ca5c418","ปตท. (PTT) ")</f>
        <v>ปตท. (PTT) </v>
      </c>
    </row>
    <row r="409">
      <c r="A409" s="1" t="s">
        <v>523</v>
      </c>
      <c r="C409" s="2" t="str">
        <f>HYPERLINK("http://foursquare.com/v/4f573d77e4b0377eeeb567c6","PTT Station Talad Kae ")</f>
        <v>PTT Station Talad Kae </v>
      </c>
    </row>
    <row r="410">
      <c r="A410" s="1" t="s">
        <v>524</v>
      </c>
      <c r="C410" s="2" t="str">
        <f>HYPERLINK("http://foursquare.com/v/502e1863e4b0b5d01c7db08c","La Villa Hotel ")</f>
        <v>La Villa Hotel </v>
      </c>
    </row>
    <row r="411">
      <c r="A411" s="1" t="s">
        <v>525</v>
      </c>
      <c r="C411" s="2" t="str">
        <f>HYPERLINK("http://foursquare.com/v/4cee8f38517859418edcbc8f","my Bar near Pullman ")</f>
        <v>my Bar near Pullman </v>
      </c>
    </row>
    <row r="412">
      <c r="A412" s="1" t="s">
        <v>526</v>
      </c>
      <c r="C412" s="2" t="str">
        <f>HYPERLINK("http://foursquare.com/v/4bad9970f964a5201f5e3be3","Khon Kaen Airport (KKC) ท่าอากาศยานขอนแก่น ")</f>
        <v>Khon Kaen Airport (KKC) ท่าอากาศยานขอนแก่น </v>
      </c>
    </row>
    <row r="413">
      <c r="A413" s="1" t="s">
        <v>527</v>
      </c>
      <c r="C413" s="2" t="str">
        <f>HYPERLINK("http://foursquare.com/v/4d71a1e7f7c38cfa31f8983d","Ubol Ratana Dam (เขื่อนอุบลรัตน์) ")</f>
        <v>Ubol Ratana Dam (เขื่อนอุบลรัตน์) </v>
      </c>
    </row>
    <row r="414">
      <c r="A414" s="1" t="s">
        <v>528</v>
      </c>
      <c r="C414" s="2" t="str">
        <f>HYPERLINK("http://foursquare.com/v/4de44437ae60e7f3ac1b617e","Cafe'Amazon Ubonrat ")</f>
        <v>Cafe'Amazon Ubonrat </v>
      </c>
    </row>
    <row r="415">
      <c r="A415" s="1" t="s">
        <v>529</v>
      </c>
      <c r="C415" s="2" t="str">
        <f>HYPERLINK("http://foursquare.com/v/4fb2493ce4b03df318b70e4a","แววดาวลาบก้อย ")</f>
        <v>แววดาวลาบก้อย </v>
      </c>
    </row>
    <row r="416">
      <c r="A416" s="1" t="s">
        <v>530</v>
      </c>
      <c r="C416" s="2" t="str">
        <f>HYPERLINK("http://foursquare.com/v/4bc8b665c1c6eee144dbfd92","Loei Palace Hotel ")</f>
        <v>Loei Palace Hotel </v>
      </c>
    </row>
    <row r="417">
      <c r="A417" s="1" t="s">
        <v>531</v>
      </c>
      <c r="C417" s="2" t="str">
        <f>HYPERLINK("http://foursquare.com/v/4d3837f6159937043af5b691","บ้านร่มไม้ ")</f>
        <v>บ้านร่มไม้ </v>
      </c>
    </row>
    <row r="418">
      <c r="A418" s="1" t="s">
        <v>532</v>
      </c>
      <c r="C418" s="2" t="str">
        <f>HYPERLINK("http://foursquare.com/v/52a14f2811d27e68ad54db5a","Convenience Store ")</f>
        <v>Convenience Store </v>
      </c>
    </row>
    <row r="419">
      <c r="A419" s="1" t="s">
        <v>533</v>
      </c>
      <c r="C419" s="2" t="str">
        <f>HYPERLINK("http://foursquare.com/v/4f510a5ee4b0c5e188c1a5b1","PTT อุตรดิตถ์ ")</f>
        <v>PTT อุตรดิตถ์ </v>
      </c>
    </row>
    <row r="420">
      <c r="A420" s="1" t="s">
        <v>534</v>
      </c>
      <c r="C420" s="2" t="str">
        <f>HYPERLINK("http://foursquare.com/v/4bd5b8b99649ce729292511d","Seeharaj Hotel Uttaradit ")</f>
        <v>Seeharaj Hotel Uttaradit </v>
      </c>
    </row>
    <row r="421">
      <c r="A421" s="1" t="s">
        <v>535</v>
      </c>
      <c r="C421" s="2" t="str">
        <f>HYPERLINK("http://foursquare.com/v/52a1d014498eb05b2c91fa16","Cha Ba ")</f>
        <v>Cha Ba </v>
      </c>
    </row>
    <row r="422">
      <c r="A422" s="1" t="s">
        <v>536</v>
      </c>
      <c r="C422" s="2" t="str">
        <f>HYPERLINK("http://foursquare.com/v/4d1c07f0f8ca236a9d23f330","เขื่อนสิริกิติ์@อุตรดิตถ์ ")</f>
        <v>เขื่อนสิริกิติ์@อุตรดิตถ์ </v>
      </c>
    </row>
    <row r="423">
      <c r="A423" s="1" t="s">
        <v>537</v>
      </c>
      <c r="C423" s="2" t="str">
        <f>HYPERLINK("http://foursquare.com/v/4d5757d3d1a08cfa6eb401ba","PTT@ Nakornthai ")</f>
        <v>PTT@ Nakornthai </v>
      </c>
    </row>
    <row r="424">
      <c r="A424" s="1" t="s">
        <v>538</v>
      </c>
      <c r="C424" s="2" t="str">
        <f>HYPERLINK("http://foursquare.com/v/4f671526e4b075c71582978c","เพลินดาว ::Plearndao ")</f>
        <v>เพลินดาว ::Plearndao </v>
      </c>
    </row>
    <row r="425">
      <c r="A425" s="1" t="s">
        <v>539</v>
      </c>
      <c r="C425" s="2" t="str">
        <f>HYPERLINK("http://foursquare.com/v/4d008cb54f56b60cfa86a237","อุทยาน ภูทับเบิก ")</f>
        <v>อุทยาน ภูทับเบิก </v>
      </c>
    </row>
    <row r="426">
      <c r="A426" s="1" t="s">
        <v>540</v>
      </c>
      <c r="C426" s="2" t="str">
        <f>HYPERLINK("http://foursquare.com/v/52a3fb4b11d2934265d44b46","Caltex ")</f>
        <v>Caltex </v>
      </c>
    </row>
    <row r="427">
      <c r="A427" s="1" t="s">
        <v>541</v>
      </c>
      <c r="C427" s="2" t="str">
        <f>HYPERLINK("http://foursquare.com/v/50665013e4b03ce13a6f7139","ยายบนอาหารตามสั่ง (หน้า สภ.น้ำหนาว ) ")</f>
        <v>ยายบนอาหารตามสั่ง (หน้า สภ.น้ำหนาว ) </v>
      </c>
    </row>
    <row r="428">
      <c r="A428" s="1" t="s">
        <v>542</v>
      </c>
      <c r="C428" s="2" t="str">
        <f>HYPERLINK("http://foursquare.com/v/501a6977e4b0a724be49364e","Steak Khao Kho ")</f>
        <v>Steak Khao Kho </v>
      </c>
    </row>
    <row r="429">
      <c r="A429" s="1" t="s">
        <v>543</v>
      </c>
      <c r="C429" s="2" t="str">
        <f>HYPERLINK("http://foursquare.com/v/4cc2a790c844721e66e7dd01","วัดพระธาตุผาซ่อนแก้ว (Wat Phra Dhat Phasornkaew) ")</f>
        <v>วัดพระธาตุผาซ่อนแก้ว (Wat Phra Dhat Phasornkaew) </v>
      </c>
    </row>
    <row r="430">
      <c r="A430" s="1" t="s">
        <v>544</v>
      </c>
      <c r="C430" s="2" t="str">
        <f>HYPERLINK("http://foursquare.com/v/4e5c8804e4cd6fcf27f19d40","Big Coffee :: Khao-Khor ")</f>
        <v>Big Coffee :: Khao-Khor </v>
      </c>
    </row>
    <row r="431">
      <c r="A431" s="1" t="s">
        <v>545</v>
      </c>
      <c r="C431" s="2" t="str">
        <f>HYPERLINK("http://foursquare.com/v/4d182d3abb488cfaf9eeb2d4","Esso Gas station ")</f>
        <v>Esso Gas station </v>
      </c>
    </row>
    <row r="432">
      <c r="A432" s="1" t="s">
        <v>546</v>
      </c>
      <c r="C432" s="2" t="str">
        <f>HYPERLINK("http://foursquare.com/v/4d7de4a4f635236a9aa75d16","โรงแรมดีพร้อม จังหวัดชัยภูมิ ")</f>
        <v>โรงแรมดีพร้อม จังหวัดชัยภูมิ </v>
      </c>
    </row>
    <row r="433">
      <c r="A433" s="1" t="s">
        <v>547</v>
      </c>
      <c r="C433" s="2" t="str">
        <f>HYPERLINK("http://foursquare.com/v/4d07539edc45a093de1ff8c6","ถนนคนเดิน Night Bazaar ")</f>
        <v>ถนนคนเดิน Night Bazaar </v>
      </c>
    </row>
    <row r="434">
      <c r="A434" s="1" t="s">
        <v>548</v>
      </c>
      <c r="C434" s="2" t="str">
        <f>HYPERLINK("http://foursquare.com/v/4e131958d1647a0fff8f327e","Koh-Ber ")</f>
        <v>Koh-Ber </v>
      </c>
    </row>
    <row r="435">
      <c r="A435" s="1" t="s">
        <v>549</v>
      </c>
      <c r="C435" s="2" t="str">
        <f>HYPERLINK("http://foursquare.com/v/4e29c929483bb05f058c3a27","เดือนเคียงดาว ")</f>
        <v>เดือนเคียงดาว </v>
      </c>
    </row>
    <row r="436">
      <c r="A436" s="1" t="s">
        <v>550</v>
      </c>
      <c r="C436" s="2" t="str">
        <f>HYPERLINK("http://foursquare.com/v/4da1c00eb1c937043dfad4a1","Dee Prom Hotel ")</f>
        <v>Dee Prom Hotel </v>
      </c>
    </row>
    <row r="437">
      <c r="A437" s="1" t="s">
        <v>551</v>
      </c>
      <c r="C437" s="2" t="str">
        <f>HYPERLINK("http://foursquare.com/v/5178ee0ae4b0046ecf3606d2","Leelawadee Resort ")</f>
        <v>Leelawadee Resort </v>
      </c>
    </row>
    <row r="438">
      <c r="A438" s="1" t="s">
        <v>552</v>
      </c>
      <c r="C438" s="2" t="str">
        <f>HYPERLINK("http://foursquare.com/v/4d1ecbc22eb1f04df288e3c1","เขื่อนลำปะทาว ")</f>
        <v>เขื่อนลำปะทาว </v>
      </c>
    </row>
    <row r="439">
      <c r="A439" s="1" t="s">
        <v>553</v>
      </c>
      <c r="C439" s="2" t="str">
        <f>HYPERLINK("http://foursquare.com/v/4d36d01cdb5ba35d93c73dc7","7-11 PTT แยกทางเลี่ยงบ้านเป็ด ")</f>
        <v>7-11 PTT แยกทางเลี่ยงบ้านเป็ด </v>
      </c>
    </row>
    <row r="440">
      <c r="A440" s="1" t="s">
        <v>554</v>
      </c>
      <c r="C440" s="2" t="str">
        <f>HYPERLINK("http://foursquare.com/v/4bc0366d920eb713b1b1182c","Glacier Hotel ")</f>
        <v>Glacier Hotel </v>
      </c>
    </row>
    <row r="441">
      <c r="A441" s="1" t="s">
        <v>555</v>
      </c>
      <c r="C441" s="2" t="str">
        <f>HYPERLINK("http://foursquare.com/v/4be3faf3b02ec9b6a7b050c0","Pomodoro ")</f>
        <v>Pomodoro </v>
      </c>
    </row>
    <row r="442">
      <c r="A442" s="1" t="s">
        <v>556</v>
      </c>
      <c r="C442" s="2" t="str">
        <f>HYPERLINK("http://4sq.com/bVefGM","Glacier Hotel ")</f>
        <v>Glacier Hotel </v>
      </c>
    </row>
    <row r="443">
      <c r="A443" s="1" t="s">
        <v>557</v>
      </c>
      <c r="C443" s="2" t="str">
        <f>HYPERLINK("http://4sq.com/v7DIO6","Amazon Cafe PTT ")</f>
        <v>Amazon Cafe PTT </v>
      </c>
    </row>
    <row r="444">
      <c r="A444" s="1" t="s">
        <v>558</v>
      </c>
      <c r="C444" s="2" t="str">
        <f>HYPERLINK("http://4sq.com/c37Xyz","บ้านสบายดี ")</f>
        <v>บ้านสบายดี </v>
      </c>
    </row>
    <row r="445">
      <c r="A445" s="1" t="s">
        <v>559</v>
      </c>
      <c r="C445" s="2" t="str">
        <f>HYPERLINK("http://4sq.com/982T1S","Pro Wash Carcare ")</f>
        <v>Pro Wash Carcare </v>
      </c>
    </row>
    <row r="446">
      <c r="A446" s="1" t="s">
        <v>560</v>
      </c>
      <c r="C446" s="2" t="str">
        <f>HYPERLINK("http://4sq.com/cB0spg","Sizzler (ซิซซ์เลอร์) ")</f>
        <v>Sizzler (ซิซซ์เลอร์) </v>
      </c>
    </row>
    <row r="447">
      <c r="A447" s="1" t="s">
        <v>561</v>
      </c>
      <c r="C447" s="2" t="str">
        <f>HYPERLINK("http://4sq.com/9PzEVB","Soul Food Mahanakorn ")</f>
        <v>Soul Food Mahanakorn </v>
      </c>
    </row>
    <row r="448">
      <c r="A448" s="1" t="s">
        <v>562</v>
      </c>
      <c r="C448" s="2" t="str">
        <f>HYPERLINK("http://4sq.com/9gd6Dc","The Iron Fairies &amp; Co ")</f>
        <v>The Iron Fairies &amp; Co </v>
      </c>
    </row>
    <row r="449">
      <c r="A449" s="1" t="s">
        <v>563</v>
      </c>
      <c r="C449" s="2" t="str">
        <f>HYPERLINK("http://4sq.com/b5xsAG","โรงพยาบาลพญาไท 1 (Phyathai 1 Hospital) ")</f>
        <v>โรงพยาบาลพญาไท 1 (Phyathai 1 Hospital) </v>
      </c>
    </row>
    <row r="450">
      <c r="A450" s="1" t="s">
        <v>564</v>
      </c>
      <c r="C450" s="2" t="str">
        <f>HYPERLINK("http://4sq.com/9re5J6","Night Food Stall Street ศูนย์อาหาร สุขุมวิท38 ")</f>
        <v>Night Food Stall Street ศูนย์อาหาร สุขุมวิท38 </v>
      </c>
    </row>
    <row r="451">
      <c r="A451" s="1" t="s">
        <v>565</v>
      </c>
      <c r="C451" s="2" t="str">
        <f>HYPERLINK("http://4sq.com/1egrGGW","SWAY ")</f>
        <v>SWAY </v>
      </c>
    </row>
    <row r="452">
      <c r="A452" s="1" t="s">
        <v>566</v>
      </c>
      <c r="C452" s="2" t="str">
        <f>HYPERLINK("http://4sq.com/982T1S","Pro Wash Carcare ")</f>
        <v>Pro Wash Carcare </v>
      </c>
    </row>
    <row r="453">
      <c r="A453" s="1" t="s">
        <v>567</v>
      </c>
      <c r="C453" s="2" t="str">
        <f>HYPERLINK("http://4sq.com/5TNFC5","Bourbon Street Bar &amp; Restaurant ")</f>
        <v>Bourbon Street Bar &amp; Restaurant </v>
      </c>
    </row>
    <row r="454">
      <c r="A454" s="1" t="s">
        <v>568</v>
      </c>
      <c r="C454" s="2" t="str">
        <f>HYPERLINK("http://4sq.com/18QA8rD","Krungsri Exclusive ")</f>
        <v>Krungsri Exclusive </v>
      </c>
    </row>
    <row r="455">
      <c r="A455" s="1" t="s">
        <v>569</v>
      </c>
      <c r="C455" s="2" t="str">
        <f>HYPERLINK("http://4sq.com/1cCv6AO","coutung sheep corner ")</f>
        <v>coutung sheep corner </v>
      </c>
    </row>
    <row r="456">
      <c r="A456" s="1" t="s">
        <v>570</v>
      </c>
      <c r="C456" s="2" t="str">
        <f>HYPERLINK("http://4sq.com/1cCv6AO","Counting Sheep Corner ")</f>
        <v>Counting Sheep Corner </v>
      </c>
    </row>
    <row r="457">
      <c r="A457" s="1" t="s">
        <v>571</v>
      </c>
      <c r="C457" s="2" t="str">
        <f>HYPERLINK("http://4sq.com/bULtt5","Pint Beer Park ")</f>
        <v>Pint Beer Park </v>
      </c>
    </row>
    <row r="458">
      <c r="A458" s="1" t="s">
        <v>572</v>
      </c>
      <c r="C458" s="2" t="str">
        <f>HYPERLINK("http://4sq.com/aVUyRr","Fortune Town (ฟอร์จูนทาวน์) ")</f>
        <v>Fortune Town (ฟอร์จูนทาวน์) </v>
      </c>
    </row>
    <row r="459">
      <c r="A459" s="1" t="s">
        <v>573</v>
      </c>
      <c r="C459" s="2" t="str">
        <f>HYPERLINK("http://4sq.com/9re5J6","Night Food Stall Street ศูนย์อาหาร สุขุมวิท38 ")</f>
        <v>Night Food Stall Street ศูนย์อาหาร สุขุมวิท38 </v>
      </c>
    </row>
    <row r="460">
      <c r="A460" s="1" t="s">
        <v>574</v>
      </c>
      <c r="C460" s="2" t="str">
        <f>HYPERLINK("http://4sq.com/IN16pe","Megabangna (เมกาบางนา) ")</f>
        <v>Megabangna (เมกาบางนา) 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" t="s">
        <v>575</v>
      </c>
      <c r="C1" s="2" t="str">
        <f>HYPERLINK("http://4sq.com/JtOEww","Levels Club &amp; Lounge ")</f>
        <v>Levels Club &amp; Lounge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" t="s">
        <v>576</v>
      </c>
      <c r="C2" s="2" t="str">
        <f>HYPERLINK("http://4sq.com/rYd38v","Rain Hill (เรนฮิลล์) ")</f>
        <v>Rain Hill (เรนฮิลล์) </v>
      </c>
      <c r="F2" s="8" t="str">
        <f t="shared" ref="F2:H2" si="1">INDEX(A:C, RANDBETWEEN(1, ROWS(2:117)), RANDBETWEEN(1, COLUMNS(C:C)))</f>
        <v>February 24, 2014 at 07:17PM</v>
      </c>
      <c r="G2" s="8" t="str">
        <f t="shared" si="1"/>
        <v/>
      </c>
      <c r="H2" s="10" t="str">
        <f t="shared" si="1"/>
        <v>Montien Riverside Hotel (โรงแรมมณเฑียร ริเวอร์ไซด์) </v>
      </c>
      <c r="I2" s="11" t="str">
        <f t="array" ref="I2">INDEX(C:C, RANDBETWEEN(1, ROWS(1:116)), RANDBETWEEN(1, COLUMNS(C:C)))</f>
        <v>Suvarnabhumi Airport (BKK) ท่าอากาศยานสุวรรณภูมิ </v>
      </c>
      <c r="J2" s="8" t="str">
        <f>CONCATENATE(F2," ",H2)</f>
        <v>February 24, 2014 at 07:17PM Montien Riverside Hotel (โรงแรมมณเฑียร ริเวอร์ไซด์) </v>
      </c>
    </row>
    <row r="3">
      <c r="A3" s="1" t="s">
        <v>577</v>
      </c>
      <c r="C3" s="2" t="str">
        <f>HYPERLINK("http://4sq.com/xbqVT0","Wine Connection Tapas Bar &amp; Bistro ")</f>
        <v>Wine Connection Tapas Bar &amp; Bistro </v>
      </c>
    </row>
    <row r="4">
      <c r="A4" s="1" t="s">
        <v>578</v>
      </c>
      <c r="C4" s="2" t="str">
        <f>HYPERLINK("http://4sq.com/cB0spg","Sizzler (ซิซซ์เลอร์) ")</f>
        <v>Sizzler (ซิซซ์เลอร์) </v>
      </c>
    </row>
    <row r="5">
      <c r="A5" s="1" t="s">
        <v>579</v>
      </c>
      <c r="C5" s="2" t="str">
        <f>HYPERLINK("http://4sq.com/cU7tIJ","Terminal 21 (เทอร์มินอล ทเวนตี้วัน) ")</f>
        <v>Terminal 21 (เทอร์มินอล ทเวนตี้วัน) </v>
      </c>
    </row>
    <row r="6">
      <c r="A6" s="1" t="s">
        <v>580</v>
      </c>
      <c r="C6" s="2" t="str">
        <f>HYPERLINK("http://4sq.com/e1dncS","สบายใจเก็บตะวัน (Sabaijai Kebtawan) ")</f>
        <v>สบายใจเก็บตะวัน (Sabaijai Kebtawan) </v>
      </c>
    </row>
    <row r="7">
      <c r="A7" s="1" t="s">
        <v>581</v>
      </c>
      <c r="C7" s="2" t="str">
        <f>HYPERLINK("http://4sq.com/blKpUs","GIFT CAR WASH ")</f>
        <v>GIFT CAR WASH </v>
      </c>
    </row>
    <row r="8">
      <c r="A8" s="1" t="s">
        <v>582</v>
      </c>
      <c r="C8" s="2" t="str">
        <f>HYPERLINK("http://4sq.com/9peMqH","TST Tower (ทีเอสที ทาวเวอร์) ")</f>
        <v>TST Tower (ทีเอสที ทาวเวอร์) </v>
      </c>
    </row>
    <row r="9">
      <c r="A9" s="1" t="s">
        <v>583</v>
      </c>
      <c r="C9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10">
      <c r="A10" s="1" t="s">
        <v>584</v>
      </c>
      <c r="C10" s="2" t="str">
        <f>HYPERLINK("http://4sq.com/5TNFC5","Bourbon Street Bar &amp; Restaurant ")</f>
        <v>Bourbon Street Bar &amp; Restaurant </v>
      </c>
    </row>
    <row r="11">
      <c r="A11" s="1" t="s">
        <v>585</v>
      </c>
      <c r="C11" s="2" t="str">
        <f>HYPERLINK("http://4sq.com/a6WZZ6","กองพลทหารม้าที่ 2 รักษาพระองค์ (King's Guard, 2nd Cavalry Division) ")</f>
        <v>กองพลทหารม้าที่ 2 รักษาพระองค์ (King's Guard, 2nd Cavalry Division) </v>
      </c>
    </row>
    <row r="12">
      <c r="A12" s="1" t="s">
        <v>586</v>
      </c>
      <c r="C12" s="2" t="str">
        <f>HYPERLINK("http://4sq.com/bxPO37","White Cafe ")</f>
        <v>White Cafe </v>
      </c>
    </row>
    <row r="13">
      <c r="A13" s="1" t="s">
        <v>587</v>
      </c>
      <c r="C13" s="2" t="str">
        <f>HYPERLINK("http://4sq.com/4SKUa9","Emporium (เอ็มโพเรียม) ")</f>
        <v>Emporium (เอ็มโพเรียม) </v>
      </c>
    </row>
    <row r="14">
      <c r="A14" s="1" t="s">
        <v>588</v>
      </c>
      <c r="C14" s="2" t="str">
        <f>HYPERLINK("http://4sq.com/dCUdzC","Roof ")</f>
        <v>Roof </v>
      </c>
    </row>
    <row r="15">
      <c r="A15" s="1" t="s">
        <v>589</v>
      </c>
      <c r="C15" s="2" t="str">
        <f>HYPERLINK("http://4sq.com/XNoqwI","Superbdog ")</f>
        <v>Superbdog </v>
      </c>
    </row>
    <row r="16">
      <c r="A16" s="1" t="s">
        <v>590</v>
      </c>
      <c r="C16" s="2" t="str">
        <f>HYPERLINK("http://4sq.com/6l7Wbj","Cheap Charlie's ")</f>
        <v>Cheap Charlie's </v>
      </c>
    </row>
    <row r="17">
      <c r="A17" s="1" t="s">
        <v>591</v>
      </c>
      <c r="C17" s="2" t="str">
        <f>HYPERLINK("http://4sq.com/vZ8hSD","Coffee Model (คอฟฟี่ โมเดล) ")</f>
        <v>Coffee Model (คอฟฟี่ โมเดล) </v>
      </c>
    </row>
    <row r="18">
      <c r="A18" s="1" t="s">
        <v>592</v>
      </c>
      <c r="C18" s="2" t="str">
        <f>HYPERLINK("http://4sq.com/c6xmZI","Garden Cliff Resort and Spa ")</f>
        <v>Garden Cliff Resort and Spa </v>
      </c>
    </row>
    <row r="19">
      <c r="A19" s="1" t="s">
        <v>593</v>
      </c>
      <c r="C19" s="2" t="str">
        <f>HYPERLINK("http://4sq.com/9d5dId","Underwater World Pattaya (อันเดอร์ วอเตอร์ เวิล์ด พัทยา) ")</f>
        <v>Underwater World Pattaya (อันเดอร์ วอเตอร์ เวิล์ด พัทยา) </v>
      </c>
    </row>
    <row r="20">
      <c r="A20" s="1" t="s">
        <v>594</v>
      </c>
      <c r="C20" s="2" t="str">
        <f>HYPERLINK("http://4sq.com/fCa2On","Sketch Book Art Cafe ")</f>
        <v>Sketch Book Art Cafe </v>
      </c>
    </row>
    <row r="21">
      <c r="A21" s="1" t="s">
        <v>595</v>
      </c>
      <c r="C21" s="2" t="str">
        <f>HYPERLINK("http://4sq.com/MifImD","The Coffee Club ")</f>
        <v>The Coffee Club </v>
      </c>
    </row>
    <row r="22">
      <c r="A22" s="1" t="s">
        <v>596</v>
      </c>
      <c r="C22" s="2" t="str">
        <f>HYPERLINK("http://4sq.com/6MtzKx","Bacco ")</f>
        <v>Bacco </v>
      </c>
    </row>
    <row r="23">
      <c r="A23" s="1" t="s">
        <v>597</v>
      </c>
      <c r="C23" s="2" t="str">
        <f>HYPERLINK("http://4sq.com/15KnGOX","Something Elf ")</f>
        <v>Something Elf </v>
      </c>
    </row>
    <row r="24">
      <c r="A24" s="1" t="s">
        <v>598</v>
      </c>
      <c r="C24" s="2" t="str">
        <f>HYPERLINK("http://4sq.com/MifImD","The Coffee Club ")</f>
        <v>The Coffee Club </v>
      </c>
    </row>
    <row r="25">
      <c r="A25" s="1" t="s">
        <v>599</v>
      </c>
      <c r="C25" s="2" t="str">
        <f>HYPERLINK("http://4sq.com/6faMgT","Siam Paragon (สยามพารากอน) ")</f>
        <v>Siam Paragon (สยามพารากอน) </v>
      </c>
    </row>
    <row r="26">
      <c r="A26" s="1" t="s">
        <v>600</v>
      </c>
      <c r="C26" s="2" t="str">
        <f>HYPERLINK("http://4sq.com/cJzB4r","Montien Riverside Hotel (โรงแรมมณเฑียร ริเวอร์ไซด์) ")</f>
        <v>Montien Riverside Hotel (โรงแรมมณเฑียร ริเวอร์ไซด์) </v>
      </c>
    </row>
    <row r="27">
      <c r="A27" s="1" t="s">
        <v>601</v>
      </c>
      <c r="C27" s="2" t="str">
        <f>HYPERLINK("http://4sq.com/e1dncS","สบายใจเก็บตะวัน (Sabaijai Kebtawan) ")</f>
        <v>สบายใจเก็บตะวัน (Sabaijai Kebtawan) </v>
      </c>
    </row>
    <row r="28">
      <c r="A28" s="1" t="s">
        <v>602</v>
      </c>
      <c r="C28" s="2" t="str">
        <f>HYPERLINK("http://4sq.com/1boez3y","Mikkeller Bangkok ")</f>
        <v>Mikkeller Bangkok </v>
      </c>
    </row>
    <row r="29">
      <c r="A29" s="1" t="s">
        <v>603</v>
      </c>
      <c r="C29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</row>
    <row r="30">
      <c r="A30" s="1" t="s">
        <v>603</v>
      </c>
      <c r="C30" s="2" t="str">
        <f>HYPERLINK("http://4sq.com/TzpFJ3","Molly Fantasy ")</f>
        <v>Molly Fantasy </v>
      </c>
    </row>
    <row r="31">
      <c r="A31" s="1" t="s">
        <v>604</v>
      </c>
      <c r="C31" s="2" t="str">
        <f>HYPERLINK("http://4sq.com/NmSJqQ","Tomato Noodle (มะเขือเทศราเมน) ")</f>
        <v>Tomato Noodle (มะเขือเทศราเมน) </v>
      </c>
    </row>
    <row r="32">
      <c r="A32" s="1" t="s">
        <v>605</v>
      </c>
      <c r="C32" s="2" t="str">
        <f>HYPERLINK("http://4sq.com/5TNFC5","Bourbon Street Bar &amp; Restaurant ")</f>
        <v>Bourbon Street Bar &amp; Restaurant </v>
      </c>
    </row>
    <row r="33">
      <c r="A33" s="1" t="s">
        <v>606</v>
      </c>
      <c r="C33" s="2" t="str">
        <f>HYPERLINK("http://4sq.com/1aI39ef","63 Bangkok ")</f>
        <v>63 Bangkok </v>
      </c>
    </row>
    <row r="34">
      <c r="A34" s="1" t="s">
        <v>607</v>
      </c>
      <c r="C34" s="2" t="str">
        <f>HYPERLINK("http://4sq.com/17SIMtX","StEREO))) 2nd Fl @Horizon Ekkamai ")</f>
        <v>StEREO))) 2nd Fl @Horizon Ekkamai </v>
      </c>
    </row>
    <row r="35">
      <c r="A35" s="1" t="s">
        <v>608</v>
      </c>
      <c r="C35" s="2" t="str">
        <f>HYPERLINK("http://4sq.com/1boez3y","Mikkeller Bangkok ")</f>
        <v>Mikkeller Bangkok </v>
      </c>
    </row>
    <row r="36">
      <c r="A36" s="1" t="s">
        <v>609</v>
      </c>
      <c r="C36" s="2" t="str">
        <f>HYPERLINK("http://4sq.com/fYCstZ","ธนาคารกสิกรไทย (KASIKORNBANK) ")</f>
        <v>ธนาคารกสิกรไทย (KASIKORNBANK) </v>
      </c>
    </row>
    <row r="37">
      <c r="A37" s="1" t="s">
        <v>610</v>
      </c>
      <c r="C37" s="2" t="str">
        <f>HYPERLINK("http://4sq.com/14dF2zk","Immigration Division ")</f>
        <v>Immigration Division </v>
      </c>
    </row>
    <row r="38">
      <c r="A38" s="1" t="s">
        <v>611</v>
      </c>
      <c r="C38" s="2" t="str">
        <f>HYPERLINK("http://4sq.com/18vbM7n","Jasmine Grande ")</f>
        <v>Jasmine Grande </v>
      </c>
    </row>
    <row r="39">
      <c r="A39" s="1" t="s">
        <v>612</v>
      </c>
      <c r="C39" s="2" t="str">
        <f>HYPERLINK("http://4sq.com/88NMQc","Four Seasons Hotel Bangkok ")</f>
        <v>Four Seasons Hotel Bangkok </v>
      </c>
    </row>
    <row r="40">
      <c r="A40" s="1" t="s">
        <v>613</v>
      </c>
      <c r="C40" s="2" t="str">
        <f>HYPERLINK("http://4sq.com/e3gDzA","Omu (โอมุ) おむ ")</f>
        <v>Omu (โอมุ) おむ </v>
      </c>
    </row>
    <row r="41">
      <c r="A41" s="1" t="s">
        <v>614</v>
      </c>
      <c r="C41" s="2" t="str">
        <f>HYPERLINK("http://4sq.com/d1hjQn","Thamrongin Hotel ")</f>
        <v>Thamrongin Hotel </v>
      </c>
    </row>
    <row r="42">
      <c r="A42" s="1" t="s">
        <v>615</v>
      </c>
      <c r="C42" s="2" t="str">
        <f>HYPERLINK("http://4sq.com/O9nwYh","PTT Station @ Chainat ")</f>
        <v>PTT Station @ Chainat </v>
      </c>
    </row>
    <row r="43">
      <c r="A43" s="1" t="s">
        <v>616</v>
      </c>
      <c r="C43" s="2" t="str">
        <f>HYPERLINK("http://4sq.com/t5aLIf","ปตท. (PTT) ")</f>
        <v>ปตท. (PTT) </v>
      </c>
    </row>
    <row r="44">
      <c r="A44" s="1" t="s">
        <v>617</v>
      </c>
      <c r="C44" s="2" t="str">
        <f>HYPERLINK("http://4sq.com/10sLu5k","The Artel Nimman ")</f>
        <v>The Artel Nimman </v>
      </c>
    </row>
    <row r="45">
      <c r="A45" s="1" t="s">
        <v>618</v>
      </c>
      <c r="C45" s="2" t="str">
        <f>HYPERLINK("http://4sq.com/jpRWcI","Pankled Coffee Corner ")</f>
        <v>Pankled Coffee Corner </v>
      </c>
    </row>
    <row r="46">
      <c r="A46" s="1" t="s">
        <v>619</v>
      </c>
      <c r="C46" s="2" t="str">
        <f>HYPERLINK("http://4sq.com/eVxuH1","ธนาคารกสิกรไทย (KASIKORNBANK) ")</f>
        <v>ธนาคารกสิกรไทย (KASIKORNBANK) </v>
      </c>
    </row>
    <row r="47">
      <c r="A47" s="1" t="s">
        <v>620</v>
      </c>
      <c r="C47" s="2" t="str">
        <f>HYPERLINK("http://4sq.com/12weN37","คาเฟ่ ดินดิน Cafe DinDin ")</f>
        <v>คาเฟ่ ดินดิน Cafe DinDin </v>
      </c>
    </row>
    <row r="48">
      <c r="A48" s="1" t="s">
        <v>621</v>
      </c>
      <c r="C48" s="2" t="str">
        <f>HYPERLINK("http://4sq.com/13Gnueg","Nimman Boutique Resort ")</f>
        <v>Nimman Boutique Resort </v>
      </c>
    </row>
    <row r="49">
      <c r="A49" s="1" t="s">
        <v>622</v>
      </c>
      <c r="C49" s="2" t="str">
        <f>HYPERLINK("http://4sq.com/9dAeh7","Boat (โบ๊ต) ")</f>
        <v>Boat (โบ๊ต) </v>
      </c>
    </row>
    <row r="50">
      <c r="A50" s="1" t="s">
        <v>623</v>
      </c>
      <c r="C50" s="2" t="str">
        <f>HYPERLINK("http://4sq.com/oSpleP","สำนักงานที่ดินจังหวัดเชียงใหม่สาขาแม่ริม ")</f>
        <v>สำนักงานที่ดินจังหวัดเชียงใหม่สาขาแม่ริม </v>
      </c>
    </row>
    <row r="51">
      <c r="A51" s="1" t="s">
        <v>624</v>
      </c>
      <c r="C51" s="2" t="str">
        <f>HYPERLINK("http://4sq.com/8YhtW5","Inthanon Eco Hut ")</f>
        <v>Inthanon Eco Hut </v>
      </c>
    </row>
    <row r="52">
      <c r="A52" s="1" t="s">
        <v>625</v>
      </c>
      <c r="C52" s="2" t="str">
        <f>HYPERLINK("http://4sq.com/g0hZeg","ร้านอาหารอินทนนท์ (Inthanon Restaurant) ")</f>
        <v>ร้านอาหารอินทนนท์ (Inthanon Restaurant) </v>
      </c>
    </row>
    <row r="53">
      <c r="A53" s="1" t="s">
        <v>626</v>
      </c>
      <c r="C53" s="2" t="str">
        <f>HYPERLINK("http://4sq.com/1hrY1NA","Black Ant Coffee Resort ")</f>
        <v>Black Ant Coffee Resort </v>
      </c>
    </row>
    <row r="54">
      <c r="A54" s="1" t="s">
        <v>627</v>
      </c>
      <c r="C54" s="2" t="str">
        <f>HYPERLINK("http://4sq.com/sKOvNG","ครัวกันเอง | Krua Kan Aegg ")</f>
        <v>ครัวกันเอง | Krua Kan Aegg </v>
      </c>
    </row>
    <row r="55">
      <c r="A55" s="1" t="s">
        <v>628</v>
      </c>
      <c r="C55" s="2" t="str">
        <f>HYPERLINK("http://4sq.com/o73EMj","Maesariangbar ")</f>
        <v>Maesariangbar </v>
      </c>
    </row>
    <row r="56">
      <c r="A56" s="1" t="s">
        <v>629</v>
      </c>
      <c r="C56" s="2" t="str">
        <f>HYPERLINK("http://4sq.com/1dN9W3f","Coffee and kao man gai ")</f>
        <v>Coffee and kao man gai </v>
      </c>
    </row>
    <row r="57">
      <c r="A57" s="1" t="s">
        <v>630</v>
      </c>
      <c r="C57" s="2" t="str">
        <f>HYPERLINK("http://4sq.com/qIzglt","Khaomao-khaofang Restaurant @ Mae Sod ")</f>
        <v>Khaomao-khaofang Restaurant @ Mae Sod </v>
      </c>
    </row>
    <row r="58">
      <c r="A58" s="1" t="s">
        <v>631</v>
      </c>
      <c r="C58" s="2" t="str">
        <f>HYPERLINK("http://4sq.com/eYPQxG","หลวงไก่ข้าวต้มโต้รุ่ง ")</f>
        <v>หลวงไก่ข้าวต้มโต้รุ่ง </v>
      </c>
    </row>
    <row r="59">
      <c r="A59" s="1" t="s">
        <v>632</v>
      </c>
      <c r="C59" s="2" t="str">
        <f>HYPERLINK("http://4sq.com/1jW4rWG","MEGAHOME ")</f>
        <v>MEGAHOME </v>
      </c>
    </row>
    <row r="60">
      <c r="A60" s="1" t="s">
        <v>633</v>
      </c>
      <c r="C60" s="2" t="str">
        <f>HYPERLINK("http://4sq.com/9NUhp1","Krua Canadian ")</f>
        <v>Krua Canadian </v>
      </c>
    </row>
    <row r="61">
      <c r="A61" s="1" t="s">
        <v>634</v>
      </c>
      <c r="C61" s="2" t="str">
        <f>HYPERLINK("http://4sq.com/fRmKjH","ตลาดดอยมูเซอ Doi Muser market ")</f>
        <v>ตลาดดอยมูเซอ Doi Muser market </v>
      </c>
    </row>
    <row r="62">
      <c r="A62" s="1" t="s">
        <v>635</v>
      </c>
      <c r="C62" s="2" t="str">
        <f>HYPERLINK("http://4sq.com/kqzwob","Oasis Bar&amp;Restauntrent ")</f>
        <v>Oasis Bar&amp;Restauntrent </v>
      </c>
    </row>
    <row r="63">
      <c r="A63" s="1" t="s">
        <v>636</v>
      </c>
      <c r="C63" s="2" t="str">
        <f>HYPERLINK("http://4sq.com/e4nZTx","โมจิแม่กุหลาบ (Maekulhaap Nakhonsawan) ")</f>
        <v>โมจิแม่กุหลาบ (Maekulhaap Nakhonsawan) </v>
      </c>
    </row>
    <row r="64">
      <c r="A64" s="1" t="s">
        <v>637</v>
      </c>
      <c r="C64" s="2" t="str">
        <f>HYPERLINK("http://4sq.com/aMlwkx","Esso Station Thai-See Center ")</f>
        <v>Esso Station Thai-See Center </v>
      </c>
    </row>
    <row r="65">
      <c r="A65" s="1" t="s">
        <v>638</v>
      </c>
      <c r="C65" s="2" t="str">
        <f>HYPERLINK("http://4sq.com/chz4yR","Avion Village (เอเวียน วิลเลจ) ")</f>
        <v>Avion Village (เอเวียน วิลเลจ) </v>
      </c>
    </row>
    <row r="66">
      <c r="A66" s="1" t="s">
        <v>639</v>
      </c>
      <c r="C66" s="2" t="str">
        <f>HYPERLINK("http://4sq.com/5TNFC5","Bourbon Street Bar &amp; Restaurant ")</f>
        <v>Bourbon Street Bar &amp; Restaurant </v>
      </c>
    </row>
    <row r="67">
      <c r="A67" s="1" t="s">
        <v>640</v>
      </c>
      <c r="C67" s="2" t="str">
        <f>HYPERLINK("http://4sq.com/b73QMj","ศูนย์การประชุมแห่งชาติสิริกิติ์ (Queen Sirikit National Convention Center) ")</f>
        <v>ศูนย์การประชุมแห่งชาติสิริกิติ์ (Queen Sirikit National Convention Center) </v>
      </c>
    </row>
    <row r="68">
      <c r="A68" s="1" t="s">
        <v>641</v>
      </c>
      <c r="C68" s="2" t="str">
        <f>HYPERLINK("http://4sq.com/1bLmZrO","Superbdog Soi 53 ")</f>
        <v>Superbdog Soi 53 </v>
      </c>
    </row>
    <row r="69">
      <c r="A69" s="1" t="s">
        <v>642</v>
      </c>
      <c r="C69" s="2" t="str">
        <f>HYPERLINK("http://4sq.com/blKpUs","GIFT CAR WASH ")</f>
        <v>GIFT CAR WASH </v>
      </c>
    </row>
    <row r="70">
      <c r="A70" s="1" t="s">
        <v>643</v>
      </c>
      <c r="C70" s="2" t="str">
        <f>HYPERLINK("http://4sq.com/ynqN58","Burger Factory ")</f>
        <v>Burger Factory </v>
      </c>
    </row>
    <row r="71">
      <c r="A71" s="1" t="s">
        <v>644</v>
      </c>
      <c r="C71" s="2" t="str">
        <f>HYPERLINK("http://4sq.com/9oncfb","ส้มตำบางกอก (Somtum Bangkok) ")</f>
        <v>ส้มตำบางกอก (Somtum Bangkok) </v>
      </c>
    </row>
    <row r="72">
      <c r="A72" s="1" t="s">
        <v>645</v>
      </c>
      <c r="C72" s="2" t="str">
        <f>HYPERLINK("http://4sq.com/7TKech","โรงพยาบาลสมิติเวช สุขุมวิท (Samitivej Sukhumvit Hospital) ")</f>
        <v>โรงพยาบาลสมิติเวช สุขุมวิท (Samitivej Sukhumvit Hospital) </v>
      </c>
    </row>
    <row r="73">
      <c r="A73" s="1" t="s">
        <v>646</v>
      </c>
      <c r="C73" s="2" t="str">
        <f>HYPERLINK("http://4sq.com/J25W0l","HUBBA - Coworking Space ")</f>
        <v>HUBBA - Coworking Space </v>
      </c>
    </row>
    <row r="74">
      <c r="A74" s="1" t="s">
        <v>647</v>
      </c>
      <c r="C74" s="2" t="str">
        <f>HYPERLINK("http://4sq.com/1dPFprR","Flann O'Brien's Irish Pub ")</f>
        <v>Flann O'Brien's Irish Pub </v>
      </c>
    </row>
    <row r="75">
      <c r="A75" s="1" t="s">
        <v>648</v>
      </c>
      <c r="C75" s="2" t="str">
        <f>HYPERLINK("http://4sq.com/1bLmZrO","Superbdog Soi 53 ")</f>
        <v>Superbdog Soi 53 </v>
      </c>
    </row>
    <row r="76">
      <c r="A76" s="1" t="s">
        <v>649</v>
      </c>
      <c r="C76" s="2" t="str">
        <f>HYPERLINK("http://4sq.com/vbnctY","CentralPlaza Grand Rama 9 (เซ็นทรัลพลาซา แกรนด์ พระราม 9) ")</f>
        <v>CentralPlaza Grand Rama 9 (เซ็นทรัลพลาซา แกรนด์ พระราม 9) </v>
      </c>
    </row>
    <row r="77">
      <c r="A77" s="1" t="s">
        <v>650</v>
      </c>
      <c r="C77" s="2" t="str">
        <f>HYPERLINK("http://4sq.com/8y6ax4","Central Chidlom (เซ็นทรัล ชิดลม) ")</f>
        <v>Central Chidlom (เซ็นทรัล ชิดลม) </v>
      </c>
    </row>
    <row r="78">
      <c r="A78" s="1" t="s">
        <v>651</v>
      </c>
      <c r="C78" s="2" t="str">
        <f>HYPERLINK("http://4sq.com/cofzim","The Third Place ")</f>
        <v>The Third Place </v>
      </c>
    </row>
    <row r="79">
      <c r="A79" s="1" t="s">
        <v>652</v>
      </c>
      <c r="C79" s="2" t="str">
        <f>HYPERLINK("http://4sq.com/bYOtN1","Bangkok University International College (BUIC) ")</f>
        <v>Bangkok University International College (BUIC) </v>
      </c>
    </row>
    <row r="80">
      <c r="A80" s="1" t="s">
        <v>653</v>
      </c>
      <c r="C80" s="2" t="str">
        <f>HYPERLINK("http://4sq.com/1cSiO8v","S27 Echelon 2014 Satellite Thailand ")</f>
        <v>S27 Echelon 2014 Satellite Thailand </v>
      </c>
    </row>
    <row r="81">
      <c r="A81" s="1" t="s">
        <v>654</v>
      </c>
      <c r="C81" s="2" t="str">
        <f>HYPERLINK("http://4sq.com/blKpUs","GIFT CAR WASH ")</f>
        <v>GIFT CAR WASH </v>
      </c>
    </row>
    <row r="82">
      <c r="A82" s="1" t="s">
        <v>655</v>
      </c>
      <c r="C82" s="2" t="str">
        <f>HYPERLINK("http://4sq.com/9a7AET","Hua Seng Heng Goldsmith, Yaowarad ")</f>
        <v>Hua Seng Heng Goldsmith, Yaowarad </v>
      </c>
    </row>
    <row r="83">
      <c r="A83" s="1" t="s">
        <v>656</v>
      </c>
      <c r="C83" s="2" t="str">
        <f>HYPERLINK("http://4sq.com/xYnHOe","Liang Seng Heng Goldsmith, Yaowaraj ")</f>
        <v>Liang Seng Heng Goldsmith, Yaowaraj </v>
      </c>
    </row>
    <row r="84">
      <c r="A84" s="1" t="s">
        <v>657</v>
      </c>
      <c r="C84" s="2" t="str">
        <f>HYPERLINK("http://4sq.com/cMyHBJ","ก๋วยเตี๋ยวคั่วไก่แอน ")</f>
        <v>ก๋วยเตี๋ยวคั่วไก่แอน </v>
      </c>
    </row>
    <row r="85">
      <c r="A85" s="1" t="s">
        <v>658</v>
      </c>
      <c r="C85" s="2" t="str">
        <f>HYPERLINK("http://4sq.com/oqWD54","Asiatique The Riverfront (เอเชียทีค เดอะ ริเวอร์ฟร้อนท์) ")</f>
        <v>Asiatique The Riverfront (เอเชียทีค เดอะ ริเวอร์ฟร้อนท์) </v>
      </c>
    </row>
    <row r="86">
      <c r="A86" s="1" t="s">
        <v>659</v>
      </c>
      <c r="C86" s="2" t="str">
        <f>HYPERLINK("http://4sq.com/blbLwn","Cheesecake House (ชีสเค้กเฮ้าส์) ")</f>
        <v>Cheesecake House (ชีสเค้กเฮ้าส์) </v>
      </c>
    </row>
    <row r="87">
      <c r="A87" s="1" t="s">
        <v>660</v>
      </c>
      <c r="C87" s="2" t="str">
        <f>HYPERLINK("http://4sq.com/14dF2zk","Immigration Division ")</f>
        <v>Immigration Division </v>
      </c>
    </row>
    <row r="88">
      <c r="A88" s="1" t="s">
        <v>661</v>
      </c>
      <c r="C88" s="2" t="str">
        <f>HYPERLINK("http://4sq.com/9xcRFs","The Dubliner Irish Pub ")</f>
        <v>The Dubliner Irish Pub </v>
      </c>
    </row>
    <row r="89">
      <c r="A89" s="1" t="s">
        <v>662</v>
      </c>
      <c r="C89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90">
      <c r="A90" s="1" t="s">
        <v>663</v>
      </c>
      <c r="C90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91">
      <c r="A91" s="1" t="s">
        <v>664</v>
      </c>
      <c r="C91" s="2" t="str">
        <f>HYPERLINK("http://4sq.com/oSpleP","สำนักงานที่ดินจังหวัดเชียงใหม่สาขาแม่ริม ")</f>
        <v>สำนักงานที่ดินจังหวัดเชียงใหม่สาขาแม่ริม </v>
      </c>
    </row>
    <row r="92">
      <c r="A92" s="1" t="s">
        <v>665</v>
      </c>
      <c r="C92" s="2" t="str">
        <f>HYPERLINK("http://4sq.com/aCBIya","Toyota Showroom New Petchburi Rd ")</f>
        <v>Toyota Showroom New Petchburi Rd </v>
      </c>
    </row>
    <row r="93">
      <c r="A93" s="1" t="s">
        <v>666</v>
      </c>
      <c r="C93" s="2" t="str">
        <f>HYPERLINK("http://4sq.com/9lIrAL","Bluedoor (ประตูสีฟ้า) ")</f>
        <v>Bluedoor (ประตูสีฟ้า) </v>
      </c>
    </row>
    <row r="94">
      <c r="A94" s="1" t="s">
        <v>667</v>
      </c>
      <c r="C94" s="2" t="str">
        <f t="shared" ref="C94:C95" si="2">HYPERLINK("http://4sq.com/9re5J6","Night Food Stall Street (ศูนย์อาหาร สุขุมวิท38) ")</f>
        <v>Night Food Stall Street (ศูนย์อาหาร สุขุมวิท38) </v>
      </c>
    </row>
    <row r="95">
      <c r="A95" s="1" t="s">
        <v>668</v>
      </c>
      <c r="C95" s="2" t="str">
        <f t="shared" si="2"/>
        <v>Night Food Stall Street (ศูนย์อาหาร สุขุมวิท38) </v>
      </c>
    </row>
    <row r="96">
      <c r="A96" s="1" t="s">
        <v>669</v>
      </c>
      <c r="C96" s="2" t="str">
        <f>HYPERLINK("http://4sq.com/1dPFprR","Flann O'Brien's Irish Pub (ฟลาน โอเบรียนส์ ไอริชผับ) ")</f>
        <v>Flann O'Brien's Irish Pub (ฟลาน โอเบรียนส์ ไอริชผับ) </v>
      </c>
    </row>
    <row r="97">
      <c r="A97" s="1" t="s">
        <v>670</v>
      </c>
      <c r="C97" s="2" t="str">
        <f>HYPERLINK("http://4sq.com/gOVI8b","Kvik Bangkok ")</f>
        <v>Kvik Bangkok </v>
      </c>
    </row>
    <row r="98">
      <c r="A98" s="1" t="s">
        <v>671</v>
      </c>
      <c r="C98" s="2" t="str">
        <f>HYPERLINK("http://4sq.com/cKgjhA","SCG Experience (เอสซีจี เอ็กซ์พีเรียนซ์) ")</f>
        <v>SCG Experience (เอสซีจี เอ็กซ์พีเรียนซ์) </v>
      </c>
    </row>
    <row r="99">
      <c r="A99" s="1" t="s">
        <v>672</v>
      </c>
      <c r="C99" s="2" t="str">
        <f>HYPERLINK("http://4sq.com/MQIVEY","Tanatawey Places (ธนะทวี เพลซ) ")</f>
        <v>Tanatawey Places (ธนะทวี เพลซ) </v>
      </c>
    </row>
    <row r="100">
      <c r="A100" s="1" t="s">
        <v>673</v>
      </c>
      <c r="C100" s="2" t="str">
        <f>HYPERLINK("http://4sq.com/cEsTRz","บุญถาวร (Boonthavorn) ")</f>
        <v>บุญถาวร (Boonthavorn) </v>
      </c>
    </row>
    <row r="101">
      <c r="A101" s="1" t="s">
        <v>674</v>
      </c>
      <c r="C101" s="2" t="str">
        <f>HYPERLINK("http://4sq.com/MifImD","The Coffee Club ")</f>
        <v>The Coffee Club </v>
      </c>
    </row>
    <row r="102">
      <c r="A102" s="1" t="s">
        <v>675</v>
      </c>
      <c r="C102" s="2" t="str">
        <f>HYPERLINK("http://4sq.com/9lIrAL","Bluedoor (ประตูสีฟ้า) ")</f>
        <v>Bluedoor (ประตูสีฟ้า) </v>
      </c>
    </row>
    <row r="103">
      <c r="A103" s="1" t="s">
        <v>676</v>
      </c>
      <c r="C103" s="2" t="str">
        <f>HYPERLINK("http://4sq.com/708m9C","โรงพยาบาลบำรุงราษฎร์ อินเตอร์เนชั่นแนล (Bumrungrad International Hospital) ")</f>
        <v>โรงพยาบาลบำรุงราษฎร์ อินเตอร์เนชั่นแนล (Bumrungrad International Hospital) </v>
      </c>
    </row>
    <row r="104">
      <c r="A104" s="1" t="s">
        <v>677</v>
      </c>
      <c r="C104" s="2" t="str">
        <f>HYPERLINK("http://4sq.com/5TNFC5","Bourbon Street Bar &amp; Restaurant ")</f>
        <v>Bourbon Street Bar &amp; Restaurant </v>
      </c>
    </row>
    <row r="105">
      <c r="A105" s="1" t="s">
        <v>678</v>
      </c>
      <c r="C105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106">
      <c r="A106" s="1" t="s">
        <v>679</v>
      </c>
      <c r="C106" s="2" t="str">
        <f>HYPERLINK("http://4sq.com/71Y0ou","Guangzhou Baiyun Int'l Airport | CAN ")</f>
        <v>Guangzhou Baiyun Int'l Airport | CAN </v>
      </c>
    </row>
    <row r="107">
      <c r="A107" s="1" t="s">
        <v>680</v>
      </c>
      <c r="C107" s="2" t="str">
        <f>HYPERLINK("http://4sq.com/5x3OGd","County of Los Angeles Public Library - La Cañada Flintridge ")</f>
        <v>County of Los Angeles Public Library - La Cañada Flintridge </v>
      </c>
    </row>
    <row r="108">
      <c r="A108" s="1" t="s">
        <v>681</v>
      </c>
      <c r="C108" s="2" t="str">
        <f>HYPERLINK("http://4sq.com/eHUcpR","Thai Town ")</f>
        <v>Thai Town </v>
      </c>
    </row>
    <row r="109">
      <c r="A109" s="1" t="s">
        <v>682</v>
      </c>
      <c r="C109" s="2" t="str">
        <f>HYPERLINK("http://4sq.com/9UvPoo","Memorial Park ")</f>
        <v>Memorial Park </v>
      </c>
    </row>
    <row r="110">
      <c r="A110" s="1" t="s">
        <v>683</v>
      </c>
      <c r="C110" s="2" t="str">
        <f>HYPERLINK("http://4sq.com/5x3OGd","County of Los Angeles Public Library - La Cañada Flintridge ")</f>
        <v>County of Los Angeles Public Library - La Cañada Flintridge </v>
      </c>
    </row>
    <row r="111">
      <c r="A111" s="1" t="s">
        <v>684</v>
      </c>
      <c r="C111" s="2" t="str">
        <f>HYPERLINK("http://4sq.com/4ZM83p","Trader Joe's ")</f>
        <v>Trader Joe's </v>
      </c>
    </row>
    <row r="112">
      <c r="A112" s="1" t="s">
        <v>685</v>
      </c>
      <c r="C112" s="2" t="str">
        <f>HYPERLINK("http://4sq.com/bq15th","McDonald's ")</f>
        <v>McDonald's </v>
      </c>
    </row>
    <row r="113">
      <c r="A113" s="1" t="s">
        <v>686</v>
      </c>
      <c r="C113" s="2" t="str">
        <f>HYPERLINK("http://4sq.com/6eFqZe","Paradise Cove Beach Cafe ")</f>
        <v>Paradise Cove Beach Cafe </v>
      </c>
    </row>
    <row r="114">
      <c r="A114" s="1" t="s">
        <v>687</v>
      </c>
      <c r="C114" s="2" t="str">
        <f>HYPERLINK("http://4sq.com/aUuZs5","AT&amp;T ")</f>
        <v>AT&amp;T </v>
      </c>
    </row>
    <row r="115">
      <c r="A115" s="1" t="s">
        <v>688</v>
      </c>
      <c r="C115" s="2" t="str">
        <f>HYPERLINK("http://4sq.com/6RtiVZ","Old Town Pasadena ")</f>
        <v>Old Town Pasadena </v>
      </c>
    </row>
    <row r="116">
      <c r="A116" s="1" t="s">
        <v>689</v>
      </c>
      <c r="C116" s="2" t="str">
        <f t="shared" ref="C116:C117" si="3">HYPERLINK("http://4sq.com/duYaj1","Noodle World ")</f>
        <v>Noodle World </v>
      </c>
    </row>
    <row r="117">
      <c r="A117" s="1" t="s">
        <v>690</v>
      </c>
      <c r="C117" s="2" t="str">
        <f t="shared" si="3"/>
        <v>Noodle World </v>
      </c>
    </row>
    <row r="118">
      <c r="A118" s="1" t="s">
        <v>691</v>
      </c>
      <c r="C118" s="2" t="str">
        <f>HYPERLINK("http://4sq.com/aCa1Ge","Intelligentsia Coffee &amp; Tea ")</f>
        <v>Intelligentsia Coffee &amp; Tea </v>
      </c>
    </row>
    <row r="119">
      <c r="A119" s="1" t="s">
        <v>692</v>
      </c>
      <c r="C119" s="2" t="str">
        <f>HYPERLINK("http://4sq.com/6HweW0","Crate &amp; Barrel ")</f>
        <v>Crate &amp; Barrel </v>
      </c>
    </row>
    <row r="120">
      <c r="A120" s="1" t="s">
        <v>693</v>
      </c>
      <c r="C120" s="2" t="str">
        <f>HYPERLINK("http://4sq.com/4SjeAn","Starbucks ")</f>
        <v>Starbucks </v>
      </c>
    </row>
    <row r="121">
      <c r="A121" s="1" t="s">
        <v>694</v>
      </c>
      <c r="C121" s="2" t="str">
        <f>HYPERLINK("http://4sq.com/9UvPoo","Memorial Park ")</f>
        <v>Memorial Park </v>
      </c>
    </row>
    <row r="122">
      <c r="A122" s="1" t="s">
        <v>695</v>
      </c>
      <c r="C122" s="2" t="str">
        <f>HYPERLINK("http://4sq.com/a31n0L","Panera Bread ")</f>
        <v>Panera Bread </v>
      </c>
    </row>
    <row r="123">
      <c r="A123" s="1" t="s">
        <v>696</v>
      </c>
      <c r="C123" s="2" t="str">
        <f>HYPERLINK("http://4sq.com/cKurX6","Pasadena Public Library - Central ")</f>
        <v>Pasadena Public Library - Central </v>
      </c>
    </row>
    <row r="124">
      <c r="A124" s="1" t="s">
        <v>697</v>
      </c>
      <c r="C124" s="2" t="str">
        <f>HYPERLINK("http://4sq.com/9YKzI2","La Canada High School ")</f>
        <v>La Canada High School </v>
      </c>
    </row>
    <row r="125">
      <c r="A125" s="1" t="s">
        <v>698</v>
      </c>
      <c r="C125" s="2" t="str">
        <f>HYPERLINK("http://4sq.com/8MALXZ","Los Gringos Locos ")</f>
        <v>Los Gringos Locos </v>
      </c>
    </row>
    <row r="126">
      <c r="A126" s="1" t="s">
        <v>699</v>
      </c>
      <c r="C126" s="2" t="str">
        <f>HYPERLINK("http://4sq.com/1DbEVH","Rose Bowl Stadium ")</f>
        <v>Rose Bowl Stadium </v>
      </c>
    </row>
    <row r="127">
      <c r="A127" s="1" t="s">
        <v>700</v>
      </c>
      <c r="C127" s="2" t="str">
        <f>HYPERLINK("http://4sq.com/7YHePY","Glendale Galleria ")</f>
        <v>Glendale Galleria </v>
      </c>
    </row>
    <row r="128">
      <c r="A128" s="1" t="s">
        <v>701</v>
      </c>
      <c r="C128" s="2" t="str">
        <f>HYPERLINK("http://4sq.com/99KRJD","California Science Center ")</f>
        <v>California Science Center </v>
      </c>
    </row>
    <row r="129">
      <c r="A129" s="1" t="s">
        <v>702</v>
      </c>
      <c r="C129" s="2" t="str">
        <f>HYPERLINK("http://4sq.com/brZDTa","Shell ")</f>
        <v>Shell </v>
      </c>
    </row>
    <row r="130">
      <c r="A130" s="1" t="s">
        <v>703</v>
      </c>
      <c r="C130" s="2" t="str">
        <f>HYPERLINK("http://4sq.com/cKurX6","Pasadena Public Library - Central ")</f>
        <v>Pasadena Public Library - Central </v>
      </c>
    </row>
    <row r="131">
      <c r="A131" s="1" t="s">
        <v>704</v>
      </c>
      <c r="C131" s="2" t="str">
        <f>HYPERLINK("http://4sq.com/4ORRsU","Midway Car Rental ")</f>
        <v>Midway Car Rental </v>
      </c>
    </row>
    <row r="132">
      <c r="A132" s="1" t="s">
        <v>705</v>
      </c>
      <c r="C132" s="2" t="str">
        <f>HYPERLINK("http://4sq.com/a31n0L","Panera Bread ")</f>
        <v>Panera Bread </v>
      </c>
    </row>
    <row r="133">
      <c r="A133" s="1" t="s">
        <v>706</v>
      </c>
      <c r="C133" s="2" t="str">
        <f>HYPERLINK("http://4sq.com/9UvPoo","Memorial Park ")</f>
        <v>Memorial Park </v>
      </c>
    </row>
    <row r="134">
      <c r="A134" s="1" t="s">
        <v>707</v>
      </c>
      <c r="C134" s="2" t="str">
        <f>HYPERLINK("http://4sq.com/5nxBj4","Ralphs ")</f>
        <v>Ralphs </v>
      </c>
    </row>
    <row r="135">
      <c r="A135" s="1" t="s">
        <v>708</v>
      </c>
      <c r="C135" s="2" t="str">
        <f>HYPERLINK("http://4sq.com/a2gFHH","El Capitan State Beach ")</f>
        <v>El Capitan State Beach </v>
      </c>
    </row>
    <row r="136">
      <c r="A136" s="1" t="s">
        <v>709</v>
      </c>
      <c r="C136" s="2" t="str">
        <f>HYPERLINK("http://4sq.com/cBs8hb","Pismo State Beach ")</f>
        <v>Pismo State Beach </v>
      </c>
    </row>
    <row r="137">
      <c r="A137" s="1" t="s">
        <v>710</v>
      </c>
      <c r="C137" s="2" t="str">
        <f>HYPERLINK("http://4sq.com/b35Vu3","SUBWAY ")</f>
        <v>SUBWAY </v>
      </c>
    </row>
    <row r="138">
      <c r="A138" s="1" t="s">
        <v>711</v>
      </c>
      <c r="C138" s="2" t="str">
        <f>HYPERLINK("http://4sq.com/c3359T","Denny's ")</f>
        <v>Denny's </v>
      </c>
    </row>
    <row r="139">
      <c r="A139" s="1" t="s">
        <v>712</v>
      </c>
      <c r="C139" s="2" t="str">
        <f>HYPERLINK("http://4sq.com/dhbISe","Morro Strand State Beach ")</f>
        <v>Morro Strand State Beach </v>
      </c>
    </row>
    <row r="140">
      <c r="A140" s="1" t="s">
        <v>713</v>
      </c>
      <c r="C140" s="2" t="str">
        <f>HYPERLINK("http://4sq.com/ck7Erm","Shell ")</f>
        <v>Shell </v>
      </c>
    </row>
    <row r="141">
      <c r="A141" s="1" t="s">
        <v>714</v>
      </c>
      <c r="C141" s="2" t="str">
        <f>HYPERLINK("http://4sq.com/hALGb1","Moonstone Beach ")</f>
        <v>Moonstone Beach </v>
      </c>
    </row>
    <row r="142">
      <c r="A142" s="1" t="s">
        <v>715</v>
      </c>
      <c r="C142" s="2" t="str">
        <f>HYPERLINK("http://4sq.com/b6FrPC","Elephant Seal Vista Point ")</f>
        <v>Elephant Seal Vista Point </v>
      </c>
    </row>
    <row r="143">
      <c r="A143" s="1" t="s">
        <v>716</v>
      </c>
      <c r="C143" s="2" t="str">
        <f>HYPERLINK("http://4sq.com/bdVash","Olympia Motor Lodge ")</f>
        <v>Olympia Motor Lodge </v>
      </c>
    </row>
    <row r="144">
      <c r="A144" s="1" t="s">
        <v>717</v>
      </c>
      <c r="C144" s="2" t="str">
        <f>HYPERLINK("http://4sq.com/aGUnDw","John Denver Memorial ")</f>
        <v>John Denver Memorial </v>
      </c>
    </row>
    <row r="145">
      <c r="A145" s="1" t="s">
        <v>718</v>
      </c>
      <c r="C145" s="2" t="str">
        <f>HYPERLINK("http://4sq.com/ci8dVA","Walmart ")</f>
        <v>Walmart </v>
      </c>
    </row>
    <row r="146">
      <c r="A146" s="1" t="s">
        <v>719</v>
      </c>
      <c r="C146" s="2" t="str">
        <f>HYPERLINK("http://4sq.com/mGJldL","Carls Jr ")</f>
        <v>Carls Jr </v>
      </c>
    </row>
    <row r="147">
      <c r="A147" s="1" t="s">
        <v>720</v>
      </c>
      <c r="C147" s="2" t="str">
        <f>HYPERLINK("http://4sq.com/10Id3cO","EZ Mart ")</f>
        <v>EZ Mart </v>
      </c>
    </row>
    <row r="148">
      <c r="A148" s="1" t="s">
        <v>721</v>
      </c>
      <c r="C148" s="2" t="str">
        <f>HYPERLINK("http://4sq.com/1bage0T","Birdsong Creek Pony Retreat ")</f>
        <v>Birdsong Creek Pony Retreat </v>
      </c>
    </row>
    <row r="149">
      <c r="A149" s="1" t="s">
        <v>722</v>
      </c>
      <c r="C149" s="2" t="str">
        <f>HYPERLINK("http://4sq.com/cnCxlR","Taste of China ")</f>
        <v>Taste of China </v>
      </c>
    </row>
    <row r="150">
      <c r="A150" s="1" t="s">
        <v>723</v>
      </c>
      <c r="C150" s="2" t="str">
        <f>HYPERLINK("http://4sq.com/b8JzKm","Top Of Vernal Falls ")</f>
        <v>Top Of Vernal Falls </v>
      </c>
    </row>
    <row r="151">
      <c r="A151" s="1" t="s">
        <v>724</v>
      </c>
      <c r="C151" s="2" t="str">
        <f>HYPERLINK("http://4sq.com/kUGOFp","Big B's Travel Center ")</f>
        <v>Big B's Travel Center </v>
      </c>
    </row>
    <row r="152">
      <c r="A152" s="1" t="s">
        <v>725</v>
      </c>
      <c r="C152" s="2" t="str">
        <f>HYPERLINK("http://4sq.com/cIy7ui","Colonel Allensworth State Historical Park ")</f>
        <v>Colonel Allensworth State Historical Park </v>
      </c>
    </row>
    <row r="153">
      <c r="A153" s="1" t="s">
        <v>726</v>
      </c>
      <c r="C153" s="2" t="str">
        <f>HYPERLINK("http://4sq.com/dbuBcw","Perko's ")</f>
        <v>Perko's </v>
      </c>
    </row>
    <row r="154">
      <c r="A154" s="1" t="s">
        <v>727</v>
      </c>
      <c r="C154" s="2" t="str">
        <f>HYPERLINK("http://4sq.com/4Pgaig","Thai Boom ")</f>
        <v>Thai Boom </v>
      </c>
    </row>
    <row r="155">
      <c r="A155" s="1" t="s">
        <v>728</v>
      </c>
      <c r="C155" s="2" t="str">
        <f>HYPERLINK("http://4sq.com/4MVkkB","Trader Joe's ")</f>
        <v>Trader Joe's </v>
      </c>
    </row>
    <row r="156">
      <c r="A156" s="1" t="s">
        <v>729</v>
      </c>
      <c r="C156" s="2" t="str">
        <f>HYPERLINK("http://4sq.com/9G7unW","Pioneer Town ")</f>
        <v>Pioneer Town </v>
      </c>
    </row>
    <row r="157">
      <c r="A157" s="1" t="s">
        <v>730</v>
      </c>
      <c r="C157" s="2" t="str">
        <f>HYPERLINK("http://4sq.com/1iwxkI1","Gonzo Tacos ")</f>
        <v>Gonzo Tacos </v>
      </c>
    </row>
    <row r="158">
      <c r="A158" s="1" t="s">
        <v>731</v>
      </c>
      <c r="C158" s="2" t="str">
        <f>HYPERLINK("http://4sq.com/ennrGZ","Noah Purifoy Outdoor Desert Museum ")</f>
        <v>Noah Purifoy Outdoor Desert Museum </v>
      </c>
    </row>
    <row r="159">
      <c r="A159" s="1" t="s">
        <v>732</v>
      </c>
      <c r="C159" s="2" t="str">
        <f>HYPERLINK("http://4sq.com/8AwZAf","Joshua Tree National Park ")</f>
        <v>Joshua Tree National Park </v>
      </c>
    </row>
    <row r="160">
      <c r="A160" s="1" t="s">
        <v>733</v>
      </c>
      <c r="C160" s="2" t="str">
        <f>HYPERLINK("http://4sq.com/12X7otZ","Walmart Supercenter ")</f>
        <v>Walmart Supercenter </v>
      </c>
    </row>
    <row r="161">
      <c r="A161" s="1" t="s">
        <v>734</v>
      </c>
      <c r="C161" s="2" t="str">
        <f>HYPERLINK("http://4sq.com/ciW7UB","District Surf/Skate Shop ")</f>
        <v>District Surf/Skate Shop </v>
      </c>
    </row>
    <row r="162">
      <c r="A162" s="1" t="s">
        <v>735</v>
      </c>
      <c r="C162" s="2" t="str">
        <f>HYPERLINK("http://4sq.com/9sPD8j","Arbor ")</f>
        <v>Arbor </v>
      </c>
    </row>
    <row r="163">
      <c r="A163" s="1" t="s">
        <v>736</v>
      </c>
      <c r="C163" s="2" t="str">
        <f>HYPERLINK("http://4sq.com/4ORRsU","Midway Car Rental ")</f>
        <v>Midway Car Rental </v>
      </c>
    </row>
    <row r="164">
      <c r="A164" s="1" t="s">
        <v>737</v>
      </c>
      <c r="C164" s="2" t="str">
        <f>HYPERLINK("http://4sq.com/ahztwp","Tom Bradley International Terminal (TBIT) ")</f>
        <v>Tom Bradley International Terminal (TBIT) </v>
      </c>
    </row>
    <row r="165">
      <c r="A165" s="1" t="s">
        <v>738</v>
      </c>
      <c r="C165" s="2" t="str">
        <f>HYPERLINK("http://4sq.com/71Y0ou","Guangzhou Baiyun Int'l Airport | CAN ")</f>
        <v>Guangzhou Baiyun Int'l Airport | CAN </v>
      </c>
    </row>
    <row r="166">
      <c r="A166" s="1" t="s">
        <v>739</v>
      </c>
      <c r="C166" s="2" t="str">
        <f>HYPERLINK("http://4sq.com/gNh0Y9","ç¾æ¡åå¡ Blenz Coffee / Yeasun Coffee ")</f>
        <v>ç_x0099_¾æ_x0080_¡å_x0092__x0096_å_x0095_¡ Blenz Coffee / Yeasun Coffee </v>
      </c>
    </row>
    <row r="167">
      <c r="A167" s="1" t="s">
        <v>740</v>
      </c>
      <c r="C167" s="2" t="str">
        <f>HYPERLINK("http://4sq.com/r1GwwC","Bangkok Burger Company ")</f>
        <v>Bangkok Burger Company </v>
      </c>
    </row>
    <row r="168">
      <c r="A168" s="1" t="s">
        <v>741</v>
      </c>
      <c r="C168" s="2" t="str">
        <f>HYPERLINK("http://4sq.com/16zOpLa","Hint CafÃ© ")</f>
        <v>Hint CafÃ© </v>
      </c>
    </row>
    <row r="169">
      <c r="A169" s="1" t="s">
        <v>742</v>
      </c>
      <c r="C169" s="2" t="str">
        <f>HYPERLINK("http://4sq.com/7csql3","Suvarnabhumi Airport (BKK) à¸à¹à¸²à¸­à¸²à¸à¸²à¸¨à¸¢à¸²à¸à¸ªà¸¸à¸§à¸£à¸£à¸à¸ à¸¹à¸¡à¸´ ")</f>
        <v>Suvarnabhumi Airport (BKK) à¸_x0097_à¹_x0088_à¸²à¸­à¸²à¸_x0081_à¸²à¸¨à¸¢à¸²à¸_x0099_à¸ªà¸¸à¸§à¸£à¸£à¸_x0093_à¸ à¸¹à¸¡à¸´ </v>
      </c>
    </row>
    <row r="170">
      <c r="A170" s="1" t="s">
        <v>743</v>
      </c>
      <c r="C170" s="2" t="str">
        <f>HYPERLINK("http://4sq.com/dwbrHe","The Salad Concept ")</f>
        <v>The Salad Concept </v>
      </c>
    </row>
    <row r="171">
      <c r="A171" s="1" t="s">
        <v>744</v>
      </c>
      <c r="C171" s="2" t="str">
        <f>HYPERLINK("http://4sq.com/7csql3","Suvarnabhumi Airport (BKK) à¸à¹à¸²à¸­à¸²à¸à¸²à¸¨à¸¢à¸²à¸à¸ªà¸¸à¸§à¸£à¸£à¸à¸ à¸¹à¸¡à¸´ ")</f>
        <v>Suvarnabhumi Airport (BKK) à¸_x0097_à¹_x0088_à¸²à¸­à¸²à¸_x0081_à¸²à¸¨à¸¢à¸²à¸_x0099_à¸ªà¸¸à¸§à¸£à¸£à¸_x0093_à¸ à¸¹à¸¡à¸´ </v>
      </c>
    </row>
    <row r="172">
      <c r="A172" s="1" t="s">
        <v>745</v>
      </c>
      <c r="C172" s="2" t="str">
        <f>HYPERLINK("http://4sq.com/qlYCs2","The Royal Oak ")</f>
        <v>The Royal Oak </v>
      </c>
    </row>
    <row r="173">
      <c r="A173" s="1" t="s">
        <v>746</v>
      </c>
      <c r="C173" s="2" t="str">
        <f>HYPERLINK("http://4sq.com/1bLmZrO","Superbdog Soi 53 ")</f>
        <v>Superbdog Soi 53 </v>
      </c>
    </row>
    <row r="174">
      <c r="A174" s="1" t="s">
        <v>747</v>
      </c>
      <c r="C174" s="2" t="str">
        <f>HYPERLINK("http://4sq.com/9re5J6","Night Food Stall Street (à¸¨à¸¹à¸à¸¢à¹à¸­à¸²à¸«à¸²à¸£ à¸ªà¸¸à¸à¸¸à¸¡à¸§à¸´à¸38) ")</f>
        <v>Night Food Stall Street (à¸¨à¸¹à¸_x0099_à¸¢à¹_x008c_à¸­à¸²à¸«à¸²à¸£ à¸ªà¸¸à¸_x0082_à¸¸à¸¡à¸§à¸´à¸_x0097_38) </v>
      </c>
    </row>
    <row r="175">
      <c r="A175" s="1" t="s">
        <v>748</v>
      </c>
      <c r="B175" s="1" t="s">
        <v>749</v>
      </c>
      <c r="C175" s="2" t="str">
        <f>HYPERLINK("http://4sq.com/1cCv6AO","Counting Sheep Corner ")</f>
        <v>Counting Sheep Corner </v>
      </c>
    </row>
    <row r="176">
      <c r="A176" s="1" t="s">
        <v>750</v>
      </c>
      <c r="C176" s="2" t="str">
        <f>HYPERLINK("http://4sq.com/17SJnrY","The Missing Piece ")</f>
        <v>The Missing Piece </v>
      </c>
    </row>
    <row r="177">
      <c r="A177" s="1" t="s">
        <v>751</v>
      </c>
      <c r="C177" s="2" t="str">
        <f>HYPERLINK("http://4sq.com/ynqN58","Burger Factory ")</f>
        <v>Burger Factory </v>
      </c>
    </row>
    <row r="178">
      <c r="A178" s="1" t="s">
        <v>752</v>
      </c>
      <c r="C178" s="2" t="str">
        <f>HYPERLINK("http://4sq.com/88NMQc","Four Seasons Hotel Bangkok ")</f>
        <v>Four Seasons Hotel Bangkok </v>
      </c>
    </row>
    <row r="179">
      <c r="A179" s="1" t="s">
        <v>753</v>
      </c>
      <c r="C179" s="2" t="str">
        <f>HYPERLINK("http://4sq.com/cB0spg","Sizzler (ซิซซ์เลอร์) ")</f>
        <v>Sizzler (ซิซซ์เลอร์) </v>
      </c>
    </row>
    <row r="180">
      <c r="A180" s="1" t="s">
        <v>754</v>
      </c>
      <c r="C180" s="2" t="str">
        <f>HYPERLINK("http://4sq.com/9Mym8J","The Old Dutch ")</f>
        <v>The Old Dutch </v>
      </c>
    </row>
    <row r="181">
      <c r="A181" s="1" t="s">
        <v>755</v>
      </c>
      <c r="C181" s="2" t="str">
        <f>HYPERLINK("http://4sq.com/1cCv6AO","Counting Sheep Corner ")</f>
        <v>Counting Sheep Corner </v>
      </c>
    </row>
    <row r="182">
      <c r="A182" s="1" t="s">
        <v>756</v>
      </c>
      <c r="C182" s="2" t="str">
        <f>HYPERLINK("http://4sq.com/1clbjJW","The Gardens Palace ")</f>
        <v>The Gardens Palace </v>
      </c>
    </row>
    <row r="183">
      <c r="A183" s="1" t="s">
        <v>757</v>
      </c>
      <c r="C183" s="2" t="str">
        <f>HYPERLINK("http://4sq.com/5TNFC5","Bourbon Street Bar &amp; Restaurant ")</f>
        <v>Bourbon Street Bar &amp; Restaurant </v>
      </c>
    </row>
    <row r="184">
      <c r="A184" s="1" t="s">
        <v>758</v>
      </c>
      <c r="C184" s="2" t="str">
        <f>HYPERLINK("http://4sq.com/1krVtPc","Tokyo Joe ")</f>
        <v>Tokyo Joe </v>
      </c>
    </row>
    <row r="185">
      <c r="A185" s="1" t="s">
        <v>759</v>
      </c>
      <c r="C185" s="2" t="str">
        <f>HYPERLINK("http://4sq.com/1kpNw1k","Swimming pool at Science Center for Education ")</f>
        <v>Swimming pool at Science Center for Education </v>
      </c>
    </row>
    <row r="186">
      <c r="A186" s="1" t="s">
        <v>760</v>
      </c>
      <c r="C186" s="2" t="str">
        <f>HYPERLINK("http://4sq.com/Q4p6LZ","Gateway Ekamai (เกตเวย์ เอกมัย) ゲートウェイ・エカマイ ")</f>
        <v>Gateway Ekamai (เกตเวย์ เอกมัย) ゲートウェイ・エカマイ </v>
      </c>
    </row>
    <row r="187">
      <c r="A187" s="1" t="s">
        <v>761</v>
      </c>
      <c r="C187" s="2" t="str">
        <f>HYPERLINK("http://4sq.com/15BxxT7","OCTAVE Rooftop Lounge &amp; Bar ")</f>
        <v>OCTAVE Rooftop Lounge &amp; Bar </v>
      </c>
    </row>
    <row r="188">
      <c r="A188" s="1" t="s">
        <v>762</v>
      </c>
      <c r="C188" s="2" t="str">
        <f>HYPERLINK("http://4sq.com/e3gDzA","Omu (โอมุ) おむ ")</f>
        <v>Omu (โอมุ) おむ </v>
      </c>
    </row>
    <row r="189">
      <c r="A189" s="1" t="s">
        <v>763</v>
      </c>
      <c r="C189" s="2" t="str">
        <f>HYPERLINK("http://4sq.com/cccczl","สวนอาหารนาทอง (Nathong Restaurant) ")</f>
        <v>สวนอาหารนาทอง (Nathong Restaurant) </v>
      </c>
    </row>
    <row r="190">
      <c r="A190" s="1" t="s">
        <v>764</v>
      </c>
      <c r="C190" s="2" t="str">
        <f>HYPERLINK("http://4sq.com/dXlI4f","Ocean Marina Yacht Club ")</f>
        <v>Ocean Marina Yacht Club </v>
      </c>
    </row>
    <row r="191">
      <c r="A191" s="1" t="s">
        <v>765</v>
      </c>
      <c r="C191" s="2" t="str">
        <f>HYPERLINK("http://4sq.com/94gNfR","7/11บ้านอำเภอ ")</f>
        <v>7/11บ้านอำเภอ </v>
      </c>
    </row>
    <row r="192">
      <c r="A192" s="1" t="s">
        <v>766</v>
      </c>
      <c r="C192" s="2" t="str">
        <f>HYPERLINK("http://4sq.com/9lM1QI","ท่าเรือนวลทิพย์ (Nuanthip Pier) ")</f>
        <v>ท่าเรือนวลทิพย์ (Nuanthip Pier) </v>
      </c>
    </row>
    <row r="193">
      <c r="A193" s="1" t="s">
        <v>767</v>
      </c>
      <c r="C193" s="2" t="str">
        <f>HYPERLINK("http://4sq.com/aUw680","Koh Samet Pier (ท่าเรือเกาะเสม็ด) ")</f>
        <v>Koh Samet Pier (ท่าเรือเกาะเสม็ด) </v>
      </c>
    </row>
    <row r="194">
      <c r="A194" s="1" t="s">
        <v>768</v>
      </c>
      <c r="C194" s="2" t="str">
        <f>HYPERLINK("http://4sq.com/9j3GM0","Vongdeuan Resort ")</f>
        <v>Vongdeuan Resort </v>
      </c>
    </row>
    <row r="195">
      <c r="A195" s="1" t="s">
        <v>769</v>
      </c>
      <c r="C195" s="2" t="str">
        <f>HYPERLINK("http://4sq.com/vWVayL","Tubtim Resort (ทับทิมรีสอร์ท) ")</f>
        <v>Tubtim Resort (ทับทิมรีสอร์ท) </v>
      </c>
    </row>
    <row r="196">
      <c r="A196" s="1" t="s">
        <v>770</v>
      </c>
      <c r="C196" s="2" t="str">
        <f>HYPERLINK("http://4sq.com/aC8K0d","โรงพยาบาลสัตว์เจริญสุข (Charoensuk Animal Hospital) ")</f>
        <v>โรงพยาบาลสัตว์เจริญสุข (Charoensuk Animal Hospital) </v>
      </c>
    </row>
    <row r="197">
      <c r="A197" s="1" t="s">
        <v>771</v>
      </c>
      <c r="C197" s="2" t="str">
        <f>HYPERLINK("http://4sq.com/1fhA4Jq","The Shoppes Grand Rama 9 ")</f>
        <v>The Shoppes Grand Rama 9 </v>
      </c>
    </row>
    <row r="198">
      <c r="A198" s="1" t="s">
        <v>771</v>
      </c>
      <c r="C198" s="2" t="str">
        <f>HYPERLINK("http://4sq.com/JDAKvL","mix restaurant &amp; bar ")</f>
        <v>mix restaurant &amp; bar </v>
      </c>
    </row>
    <row r="199">
      <c r="A199" s="1" t="s">
        <v>772</v>
      </c>
      <c r="C199" s="2" t="str">
        <f>HYPERLINK("http://4sq.com/arto9u","ปตท. (PTT Petrol &amp; LPG) ")</f>
        <v>ปตท. (PTT Petrol &amp; LPG) </v>
      </c>
    </row>
    <row r="200">
      <c r="A200" s="1" t="s">
        <v>773</v>
      </c>
      <c r="C200" s="2" t="str">
        <f>HYPERLINK("http://4sq.com/aUSG32","ปตท. (PTT) ")</f>
        <v>ปตท. (PTT) </v>
      </c>
    </row>
    <row r="201">
      <c r="A201" s="1" t="s">
        <v>774</v>
      </c>
      <c r="C201" s="2" t="str">
        <f>HYPERLINK("http://4sq.com/aIdQTo","PTT (ปตท) ")</f>
        <v>PTT (ปตท) </v>
      </c>
    </row>
    <row r="202">
      <c r="A202" s="1" t="s">
        <v>775</v>
      </c>
      <c r="C202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</row>
    <row r="203">
      <c r="A203" s="1" t="s">
        <v>776</v>
      </c>
      <c r="C203" s="2" t="str">
        <f>HYPERLINK("http://4sq.com/9QlUf2","Tesco Lotus (เทสโก้ โลตัส) ")</f>
        <v>Tesco Lotus (เทสโก้ โลตัส) </v>
      </c>
    </row>
    <row r="204">
      <c r="A204" s="1" t="s">
        <v>777</v>
      </c>
      <c r="C204" s="2" t="str">
        <f>HYPERLINK("http://4sq.com/eVsk0p","Lalita restaurant ")</f>
        <v>Lalita restaurant </v>
      </c>
    </row>
    <row r="205">
      <c r="A205" s="1" t="s">
        <v>778</v>
      </c>
      <c r="C205" s="2" t="str">
        <f>HYPERLINK("http://4sq.com/7JtRnI","Chiang Mai Rock Climbing Adventures ")</f>
        <v>Chiang Mai Rock Climbing Adventures </v>
      </c>
    </row>
    <row r="206">
      <c r="A206" s="1" t="s">
        <v>779</v>
      </c>
      <c r="C206" s="2" t="str">
        <f>HYPERLINK("http://4sq.com/exsQiR","Thawepaan Wood Flooring ")</f>
        <v>Thawepaan Wood Flooring </v>
      </c>
    </row>
    <row r="207">
      <c r="A207" s="1" t="s">
        <v>780</v>
      </c>
      <c r="C207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</row>
    <row r="208">
      <c r="A208" s="1" t="s">
        <v>781</v>
      </c>
      <c r="C208" s="2" t="str">
        <f>HYPERLINK("http://4sq.com/9XDopM","Chiang Mai Zoo (สวนสัตว์เชียงใหม่) ")</f>
        <v>Chiang Mai Zoo (สวนสัตว์เชียงใหม่) </v>
      </c>
    </row>
    <row r="209">
      <c r="A209" s="1" t="s">
        <v>782</v>
      </c>
      <c r="C209" s="2" t="str">
        <f>HYPERLINK("http://4sq.com/ygQbU1","ร้านทีเทน T-ten Cafe'(หน้าม.ช) ")</f>
        <v>ร้านทีเทน T-ten Cafe'(หน้าม.ช) </v>
      </c>
    </row>
    <row r="210">
      <c r="A210" s="1" t="s">
        <v>783</v>
      </c>
      <c r="C210" s="2" t="str">
        <f>HYPERLINK("http://4sq.com/1hVXHYn","and ann coffee ")</f>
        <v>and ann coffee </v>
      </c>
    </row>
    <row r="211">
      <c r="A211" s="1" t="s">
        <v>784</v>
      </c>
      <c r="C211" s="2" t="str">
        <f>HYPERLINK("http://4sq.com/VuG5rl","Steak Of The Day ")</f>
        <v>Steak Of The Day </v>
      </c>
    </row>
    <row r="212">
      <c r="A212" s="1" t="s">
        <v>785</v>
      </c>
      <c r="C212" s="2" t="str">
        <f>HYPERLINK("http://4sq.com/9dAeh7","Boat (โบ๊ต) ")</f>
        <v>Boat (โบ๊ต) </v>
      </c>
    </row>
    <row r="213">
      <c r="A213" s="1" t="s">
        <v>786</v>
      </c>
      <c r="C213" s="2" t="str">
        <f>HYPERLINK("http://4sq.com/b7UbPs","MIX (มิกซ์) ")</f>
        <v>MIX (มิกซ์) </v>
      </c>
    </row>
    <row r="214">
      <c r="A214" s="1" t="s">
        <v>787</v>
      </c>
      <c r="C214" s="2" t="str">
        <f>HYPERLINK("http://4sq.com/9Xt3FL","ห้วยตึงเฒ่า (Huay Tueng Tao) ")</f>
        <v>ห้วยตึงเฒ่า (Huay Tueng Tao) </v>
      </c>
    </row>
    <row r="215">
      <c r="A215" s="1" t="s">
        <v>788</v>
      </c>
      <c r="C215" s="2" t="str">
        <f>HYPERLINK("http://4sq.com/tp675L","700 Year Stadium, Swimming Pool ")</f>
        <v>700 Year Stadium, Swimming Pool </v>
      </c>
    </row>
    <row r="216">
      <c r="A216" s="1" t="s">
        <v>789</v>
      </c>
      <c r="C216" s="2" t="str">
        <f>HYPERLINK("http://4sq.com/goItYH","เฮือนสุนทรี เวชานนท์ (Huen Soontaree Vechanont) ")</f>
        <v>เฮือนสุนทรี เวชานนท์ (Huen Soontaree Vechanont) </v>
      </c>
    </row>
    <row r="217">
      <c r="A217" s="1" t="s">
        <v>790</v>
      </c>
      <c r="C217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218">
      <c r="A218" s="1" t="s">
        <v>791</v>
      </c>
      <c r="C218" s="2" t="str">
        <f>HYPERLINK("http://4sq.com/c5cHpN","ข้าวมันไก่โกเฮง ")</f>
        <v>ข้าวมันไก่โกเฮง </v>
      </c>
    </row>
    <row r="219">
      <c r="A219" s="1" t="s">
        <v>792</v>
      </c>
      <c r="C219" s="2" t="str">
        <f>HYPERLINK("http://4sq.com/dwBNev","แกงร้อนบ้านสวน (Kang Ron Baan Suan) ")</f>
        <v>แกงร้อนบ้านสวน (Kang Ron Baan Suan) </v>
      </c>
    </row>
    <row r="220">
      <c r="A220" s="1" t="s">
        <v>793</v>
      </c>
      <c r="C220" s="2" t="str">
        <f>HYPERLINK("http://4sq.com/tp675L","700 Year Stadium, Swimming Pool ")</f>
        <v>700 Year Stadium, Swimming Pool </v>
      </c>
    </row>
    <row r="221">
      <c r="A221" s="1" t="s">
        <v>794</v>
      </c>
      <c r="C221" s="2" t="str">
        <f>HYPERLINK("http://4sq.com/co3YC5","โรงพยาบาลลานนา (Lanna Hospital) ")</f>
        <v>โรงพยาบาลลานนา (Lanna Hospital) </v>
      </c>
    </row>
    <row r="222">
      <c r="A222" s="1" t="s">
        <v>795</v>
      </c>
      <c r="C222" s="2" t="str">
        <f>HYPERLINK("http://4sq.com/rMFGBm","Baan tawai Creative village ")</f>
        <v>Baan tawai Creative village </v>
      </c>
    </row>
    <row r="223">
      <c r="A223" s="1" t="s">
        <v>796</v>
      </c>
      <c r="C223" s="2" t="str">
        <f>HYPERLINK("http://4sq.com/c6ht6E","Pankled Coffee Corner ")</f>
        <v>Pankled Coffee Corner </v>
      </c>
    </row>
    <row r="224">
      <c r="A224" s="1" t="s">
        <v>797</v>
      </c>
      <c r="C224" s="2" t="str">
        <f>HYPERLINK("http://4sq.com/1semVF4","เสพย์ศิลป์ กลิ่นกาแฟบ้านนอก ")</f>
        <v>เสพย์ศิลป์ กลิ่นกาแฟบ้านนอก </v>
      </c>
    </row>
    <row r="225">
      <c r="A225" s="1" t="s">
        <v>798</v>
      </c>
      <c r="C225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226">
      <c r="A226" s="1" t="s">
        <v>799</v>
      </c>
      <c r="C226" s="2" t="str">
        <f>HYPERLINK("http://4sq.com/1avBSgL","Coffee Monster ")</f>
        <v>Coffee Monster </v>
      </c>
    </row>
    <row r="227">
      <c r="A227" s="1" t="s">
        <v>800</v>
      </c>
      <c r="C227" s="2" t="str">
        <f>HYPERLINK("http://4sq.com/tp675L","700 Year Stadium, Swimming Pool ")</f>
        <v>700 Year Stadium, Swimming Pool </v>
      </c>
    </row>
    <row r="228">
      <c r="A228" s="1" t="s">
        <v>801</v>
      </c>
      <c r="C228" s="2" t="str">
        <f>HYPERLINK("http://4sq.com/aPleE1","Mae Rim Post Office ")</f>
        <v>Mae Rim Post Office </v>
      </c>
    </row>
    <row r="229">
      <c r="A229" s="1" t="s">
        <v>802</v>
      </c>
      <c r="C229" s="2" t="str">
        <f>HYPERLINK("http://4sq.com/1nmYvJJ","661 Foods &amp; Craft ")</f>
        <v>661 Foods &amp; Craft </v>
      </c>
    </row>
    <row r="230">
      <c r="A230" s="1" t="s">
        <v>803</v>
      </c>
      <c r="C230" s="2" t="str">
        <f>HYPERLINK("http://4sq.com/ggUj4S","D2Pai Resort ")</f>
        <v>D2Pai Resort </v>
      </c>
    </row>
    <row r="231">
      <c r="A231" s="1" t="s">
        <v>804</v>
      </c>
      <c r="C231" s="2" t="str">
        <f>HYPERLINK("http://4sq.com/1nmYvJJ","661 Foods &amp; Craft ")</f>
        <v>661 Foods &amp; Craft </v>
      </c>
    </row>
    <row r="232">
      <c r="A232" s="1" t="s">
        <v>805</v>
      </c>
      <c r="C232" s="2" t="str">
        <f>HYPERLINK("http://4sq.com/gG7TyK","Cafe'd'tist ")</f>
        <v>Cafe'd'tist </v>
      </c>
    </row>
    <row r="233">
      <c r="A233" s="1" t="s">
        <v>806</v>
      </c>
      <c r="C233" s="2" t="str">
        <f>HYPERLINK("http://4sq.com/i7U1v4","Pairadise ")</f>
        <v>Pairadise </v>
      </c>
    </row>
    <row r="234">
      <c r="A234" s="1" t="s">
        <v>807</v>
      </c>
      <c r="C234" s="2" t="str">
        <f>HYPERLINK("http://4sq.com/10SdwaI","Reverie Siam ")</f>
        <v>Reverie Siam </v>
      </c>
    </row>
    <row r="235">
      <c r="A235" s="1" t="s">
        <v>808</v>
      </c>
      <c r="C235" s="2" t="str">
        <f>HYPERLINK("http://4sq.com/YvAJJq","Khunnaiternsai Guesthouse ")</f>
        <v>Khunnaiternsai Guesthouse </v>
      </c>
    </row>
    <row r="236">
      <c r="A236" s="1" t="s">
        <v>809</v>
      </c>
      <c r="C236" s="2" t="str">
        <f>HYPERLINK("http://4sq.com/vVSGPv","จุดตรวจแม่ยะ ")</f>
        <v>จุดตรวจแม่ยะ </v>
      </c>
    </row>
    <row r="237">
      <c r="A237" s="1" t="s">
        <v>810</v>
      </c>
      <c r="C237" s="2" t="str">
        <f>HYPERLINK("http://4sq.com/mNtm2L","32 Coffee Hill ")</f>
        <v>32 Coffee Hill </v>
      </c>
    </row>
    <row r="238">
      <c r="A238" s="1" t="s">
        <v>811</v>
      </c>
      <c r="C238" s="2" t="str">
        <f>HYPERLINK("http://4sq.com/SGmMxm","I Don't know ")</f>
        <v>I Don't know </v>
      </c>
    </row>
    <row r="239">
      <c r="A239" s="1" t="s">
        <v>812</v>
      </c>
      <c r="C239" s="2" t="str">
        <f>HYPERLINK("http://4sq.com/eF8Lbu","มีโชคพลาซ่า (Meechok Plaza) ")</f>
        <v>มีโชคพลาซ่า (Meechok Plaza) </v>
      </c>
    </row>
    <row r="240">
      <c r="A240" s="1" t="s">
        <v>813</v>
      </c>
      <c r="C240" s="2" t="str">
        <f>HYPERLINK("http://4sq.com/QCp9y2","Velocity ")</f>
        <v>Velocity </v>
      </c>
    </row>
    <row r="241">
      <c r="A241" s="1" t="s">
        <v>814</v>
      </c>
      <c r="C241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</row>
    <row r="242">
      <c r="A242" s="1" t="s">
        <v>815</v>
      </c>
      <c r="C242" s="2" t="str">
        <f>HYPERLINK("http://4sq.com/ddc64z","Bake &amp; Bite ")</f>
        <v>Bake &amp; Bite </v>
      </c>
    </row>
    <row r="243">
      <c r="A243" s="1" t="s">
        <v>816</v>
      </c>
      <c r="C243" s="2" t="str">
        <f>HYPERLINK("http://4sq.com/goItYH","เฮือนสุนทรี เวชานนท์ (Huen Soontaree Vechanont) ")</f>
        <v>เฮือนสุนทรี เวชานนท์ (Huen Soontaree Vechanont) </v>
      </c>
    </row>
    <row r="244">
      <c r="A244" s="1" t="s">
        <v>817</v>
      </c>
      <c r="C244" s="2" t="str">
        <f>HYPERLINK("http://4sq.com/u2BLI0","Ptt maerim ")</f>
        <v>Ptt maerim </v>
      </c>
    </row>
    <row r="245">
      <c r="A245" s="1" t="s">
        <v>818</v>
      </c>
      <c r="C24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246">
      <c r="A246" s="1" t="s">
        <v>819</v>
      </c>
      <c r="C246" s="2" t="str">
        <f>HYPERLINK("http://4sq.com/9LQcv4","Visa Division ")</f>
        <v>Visa Division </v>
      </c>
    </row>
    <row r="247">
      <c r="A247" s="1" t="s">
        <v>820</v>
      </c>
      <c r="C247" s="2" t="str">
        <f t="shared" ref="C247:C248" si="4">HYPERLINK("http://4sq.com/aeDVYJ","Pullman Bangkok King Power ")</f>
        <v>Pullman Bangkok King Power </v>
      </c>
    </row>
    <row r="248">
      <c r="A248" s="1" t="s">
        <v>821</v>
      </c>
      <c r="C248" s="2" t="str">
        <f t="shared" si="4"/>
        <v>Pullman Bangkok King Power </v>
      </c>
    </row>
    <row r="249">
      <c r="A249" s="1" t="s">
        <v>822</v>
      </c>
      <c r="C249" s="2" t="str">
        <f>HYPERLINK("http://4sq.com/t6ficc","Family Mart  Ladprao 35 ")</f>
        <v>Family Mart  Ladprao 35 </v>
      </c>
    </row>
    <row r="250">
      <c r="A250" s="1" t="s">
        <v>823</v>
      </c>
      <c r="C250" s="2" t="str">
        <f>HYPERLINK("http://4sq.com/7CHzIY","JW Marriott Hotel Bangkok ")</f>
        <v>JW Marriott Hotel Bangkok </v>
      </c>
    </row>
    <row r="251">
      <c r="A251" s="1" t="s">
        <v>824</v>
      </c>
      <c r="C251" s="2" t="str">
        <f>HYPERLINK("http://4sq.com/KmW7xy","Dry you by Ginney ")</f>
        <v>Dry you by Ginney </v>
      </c>
    </row>
    <row r="252">
      <c r="A252" s="1" t="s">
        <v>825</v>
      </c>
      <c r="C252" s="2" t="str">
        <f>HYPERLINK("http://4sq.com/e1dncS","สบายใจเก็บตะวัน (Sabaijai Kebtawan) ")</f>
        <v>สบายใจเก็บตะวัน (Sabaijai Kebtawan) </v>
      </c>
    </row>
    <row r="253">
      <c r="A253" s="1" t="s">
        <v>826</v>
      </c>
      <c r="C253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254">
      <c r="A254" s="1" t="s">
        <v>827</v>
      </c>
      <c r="C254" s="2" t="str">
        <f>HYPERLINK("http://4sq.com/dOkJJO","神舟数码大厦 ")</f>
        <v>神舟数码大厦 </v>
      </c>
    </row>
    <row r="255">
      <c r="A255" s="1" t="s">
        <v>828</v>
      </c>
      <c r="C255" s="2" t="str">
        <f>HYPERLINK("http://4sq.com/1aOJ7ze","Wallmart 望京店 ")</f>
        <v>Wallmart 望京店 </v>
      </c>
    </row>
    <row r="256">
      <c r="A256" s="1" t="s">
        <v>829</v>
      </c>
      <c r="C256" s="2" t="str">
        <f>HYPERLINK("http://4sq.com/eyMlmD","国都酒店 ")</f>
        <v>国都酒店 </v>
      </c>
    </row>
    <row r="257">
      <c r="A257" s="1" t="s">
        <v>830</v>
      </c>
      <c r="C257" s="2" t="str">
        <f>HYPERLINK("http://4sq.com/gPsGIH","CITIC Hotel Beijing Airport ")</f>
        <v>CITIC Hotel Beijing Airport </v>
      </c>
    </row>
    <row r="258">
      <c r="A258" s="1" t="s">
        <v>831</v>
      </c>
      <c r="C258" s="2" t="str">
        <f>HYPERLINK("http://4sq.com/5fHrLd","J Avenue (เจ อเวนิว) ")</f>
        <v>J Avenue (เจ อเวนิว) </v>
      </c>
    </row>
    <row r="259">
      <c r="A259" s="1" t="s">
        <v>832</v>
      </c>
      <c r="C259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260">
      <c r="A260" s="1" t="s">
        <v>833</v>
      </c>
      <c r="C260" s="2" t="str">
        <f>HYPERLINK("http://4sq.com/QCp9y2","Velocity ")</f>
        <v>Velocity </v>
      </c>
    </row>
    <row r="261">
      <c r="A261" s="1" t="s">
        <v>834</v>
      </c>
      <c r="C261" s="2" t="str">
        <f>HYPERLINK("http://4sq.com/T9NSfF","The Harbour (เดอะ ฮาร์เบอร์) ")</f>
        <v>The Harbour (เดอะ ฮาร์เบอร์) </v>
      </c>
    </row>
    <row r="262">
      <c r="A262" s="1" t="s">
        <v>835</v>
      </c>
      <c r="C262" s="2" t="str">
        <f>HYPERLINK("http://4sq.com/1avBSgL","Coffee Monster ")</f>
        <v>Coffee Monster </v>
      </c>
    </row>
    <row r="263">
      <c r="A263" s="1" t="s">
        <v>836</v>
      </c>
      <c r="C263" s="2" t="str">
        <f>HYPERLINK("http://4sq.com/7csql3","Suvarnabhumi Airport (BKK) ท่าอากาศยานสุวรรณภูมิ ")</f>
        <v>Suvarnabhumi Airport (BKK) ท่าอากาศยานสุวรรณภูมิ </v>
      </c>
    </row>
    <row r="264">
      <c r="A264" s="1" t="s">
        <v>837</v>
      </c>
      <c r="C264" s="2" t="str">
        <f>HYPERLINK("http://4sq.com/9neU3W","Phaholyothin Place (พหลโยธินเพลส) ")</f>
        <v>Phaholyothin Place (พหลโยธินเพลส) </v>
      </c>
    </row>
    <row r="265">
      <c r="A265" s="1" t="s">
        <v>838</v>
      </c>
      <c r="C265" s="2" t="str">
        <f>HYPERLINK("http://4sq.com/bB9l7L","AIS (เอไอเอส) ")</f>
        <v>AIS (เอไอเอส) </v>
      </c>
    </row>
    <row r="266">
      <c r="A266" s="1" t="s">
        <v>839</v>
      </c>
      <c r="C266" s="2" t="str">
        <f>HYPERLINK("http://4sq.com/bQmOKd","สถานีตำรวจนครบาลบางซื่อ (Bang Sue Police Station) ")</f>
        <v>สถานีตำรวจนครบาลบางซื่อ (Bang Sue Police Station) </v>
      </c>
    </row>
    <row r="267">
      <c r="A267" s="1" t="s">
        <v>840</v>
      </c>
      <c r="C267" s="2" t="str">
        <f>HYPERLINK("http://4sq.com/dzSaYA","HomePro (โฮมโปร) ")</f>
        <v>HomePro (โฮมโปร) </v>
      </c>
    </row>
    <row r="268">
      <c r="A268" s="1" t="s">
        <v>841</v>
      </c>
      <c r="C268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269">
      <c r="A269" s="1" t="s">
        <v>842</v>
      </c>
      <c r="C269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270">
      <c r="A270" s="1" t="s">
        <v>843</v>
      </c>
      <c r="C270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</row>
    <row r="271">
      <c r="A271" s="1" t="s">
        <v>844</v>
      </c>
      <c r="C271" s="2" t="str">
        <f>HYPERLINK("http://4sq.com/dI7wwO","iberry Garden (ไอเบอร์รี่ การ์เด้น) ")</f>
        <v>iberry Garden (ไอเบอร์รี่ การ์เด้น) </v>
      </c>
    </row>
    <row r="272">
      <c r="A272" s="1" t="s">
        <v>845</v>
      </c>
      <c r="C272" s="2" t="str">
        <f>HYPERLINK("http://4sq.com/d4fT1r","Computer Plaza ")</f>
        <v>Computer Plaza </v>
      </c>
    </row>
    <row r="273">
      <c r="A273" s="1" t="s">
        <v>846</v>
      </c>
      <c r="C273" s="2" t="str">
        <f>HYPERLINK("http://4sq.com/1nqEUD6","Subway ")</f>
        <v>Subway </v>
      </c>
    </row>
    <row r="274">
      <c r="A274" s="1" t="s">
        <v>847</v>
      </c>
      <c r="C274" s="2" t="str">
        <f>HYPERLINK("http://4sq.com/gzBkmg","U.S. Consulate General Chiang Mai สถานกงสุลสหรัฐอเมริกา ")</f>
        <v>U.S. Consulate General Chiang Mai สถานกงสุลสหรัฐอเมริกา </v>
      </c>
    </row>
    <row r="275">
      <c r="A275" s="1" t="s">
        <v>848</v>
      </c>
      <c r="C275" s="2" t="str">
        <f>HYPERLINK("http://4sq.com/aLSzSY","McCormick Hospital (โรงพยาบาลแมคคอร์มิค) ")</f>
        <v>McCormick Hospital (โรงพยาบาลแมคคอร์มิค) </v>
      </c>
    </row>
    <row r="276">
      <c r="A276" s="1" t="s">
        <v>849</v>
      </c>
      <c r="C276" s="2" t="str">
        <f>HYPERLINK("http://4sq.com/8uo1za","สนามกีฬาสมโภชเชียงใหม่ 700 ปี (700th Anniversary Chiangmai Sports Complex) ")</f>
        <v>สนามกีฬาสมโภชเชียงใหม่ 700 ปี (700th Anniversary Chiangmai Sports Complex) </v>
      </c>
    </row>
    <row r="277">
      <c r="A277" s="1" t="s">
        <v>850</v>
      </c>
      <c r="C277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278">
      <c r="A278" s="1" t="s">
        <v>851</v>
      </c>
      <c r="C278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279">
      <c r="A279" s="1" t="s">
        <v>852</v>
      </c>
      <c r="C279" s="2" t="str">
        <f>HYPERLINK("http://4sq.com/bB9l7L","AIS (เอไอเอส) ")</f>
        <v>AIS (เอไอเอส) </v>
      </c>
    </row>
    <row r="280">
      <c r="A280" s="1" t="s">
        <v>853</v>
      </c>
      <c r="C280" s="2" t="str">
        <f>HYPERLINK("http://4sq.com/15Dhfsy","กรมการขนส่งทางบก อาคาร 4 ชั้น 2 ")</f>
        <v>กรมการขนส่งทางบก อาคาร 4 ชั้น 2 </v>
      </c>
    </row>
    <row r="281">
      <c r="A281" s="1" t="s">
        <v>854</v>
      </c>
      <c r="C281" s="2" t="str">
        <f>HYPERLINK("http://4sq.com/aVUyRr","Fortune Town (ฟอร์จูนทาวน์) ")</f>
        <v>Fortune Town (ฟอร์จูนทาวน์) </v>
      </c>
    </row>
    <row r="282">
      <c r="A282" s="1" t="s">
        <v>855</v>
      </c>
      <c r="C282" s="2" t="str">
        <f>HYPERLINK("http://4sq.com/7cOC2g","The Robin Hood ")</f>
        <v>The Robin Hood </v>
      </c>
    </row>
    <row r="283">
      <c r="A283" s="1" t="s">
        <v>856</v>
      </c>
      <c r="C283" s="2" t="str">
        <f>HYPERLINK("http://4sq.com/fpZcUp","7-11 สาขาสุพรรณบุรี-ป่าโมก ")</f>
        <v>7-11 สาขาสุพรรณบุรี-ป่าโมก </v>
      </c>
    </row>
    <row r="284">
      <c r="A284" s="1" t="s">
        <v>857</v>
      </c>
      <c r="C284" s="2" t="str">
        <f>HYPERLINK("http://4sq.com/i3rUPp","ห้วยขาแข้ง คันทรีโฮมรีสอร์ท ")</f>
        <v>ห้วยขาแข้ง คันทรีโฮมรีสอร์ท </v>
      </c>
    </row>
    <row r="285">
      <c r="A285" s="1" t="s">
        <v>858</v>
      </c>
      <c r="C285" s="2" t="str">
        <f>HYPERLINK("http://4sq.com/1gl2DFS","สงบการยาง ")</f>
        <v>สงบการยาง </v>
      </c>
    </row>
    <row r="286">
      <c r="A286" s="1" t="s">
        <v>859</v>
      </c>
      <c r="C286" s="2" t="str">
        <f>HYPERLINK("http://4sq.com/V6ruWp","Holiday Hotel ")</f>
        <v>Holiday Hotel </v>
      </c>
    </row>
    <row r="287">
      <c r="A287" s="1" t="s">
        <v>860</v>
      </c>
      <c r="C287" s="2" t="str">
        <f>HYPERLINK("http://4sq.com/ZQT2Aj","Rassarin Thai massage ")</f>
        <v>Rassarin Thai massage </v>
      </c>
    </row>
    <row r="288">
      <c r="A288" s="1" t="s">
        <v>861</v>
      </c>
      <c r="C288" s="2" t="str">
        <f>HYPERLINK("http://4sq.com/fqCa6p","นั่งเล่น ")</f>
        <v>นั่งเล่น </v>
      </c>
    </row>
    <row r="289">
      <c r="A289" s="1" t="s">
        <v>862</v>
      </c>
      <c r="C289" s="2" t="str">
        <f>HYPERLINK("http://4sq.com/kqzwob","Oasis Bar&amp;Restauntrent ")</f>
        <v>Oasis Bar&amp;Restauntrent </v>
      </c>
    </row>
    <row r="290">
      <c r="A290" s="1" t="s">
        <v>863</v>
      </c>
      <c r="B290" s="1" t="s">
        <v>864</v>
      </c>
      <c r="C290" s="2" t="str">
        <f>HYPERLINK("http://4sq.com/1sL1bRN","Tak Treehouse ")</f>
        <v>Tak Treehouse </v>
      </c>
    </row>
    <row r="291">
      <c r="A291" s="1" t="s">
        <v>865</v>
      </c>
      <c r="C291" s="2" t="str">
        <f>HYPERLINK("http://4sq.com/cqAyc5","เขื่อนภูมิพล (Bhumibol Dam) ")</f>
        <v>เขื่อนภูมิพล (Bhumibol Dam) </v>
      </c>
    </row>
    <row r="292">
      <c r="A292" s="1" t="s">
        <v>866</v>
      </c>
      <c r="C292" s="2" t="str">
        <f>HYPERLINK("http://4sq.com/ha9bAM","ปตท. (PTT) ")</f>
        <v>ปตท. (PTT) </v>
      </c>
    </row>
    <row r="293">
      <c r="A293" s="1" t="s">
        <v>867</v>
      </c>
      <c r="C293" s="2" t="str">
        <f>HYPERLINK("http://4sq.com/kNKg9E","โรงแรมลำพูนวิลล์ (Lamphun Will Hotel) ")</f>
        <v>โรงแรมลำพูนวิลล์ (Lamphun Will Hotel) </v>
      </c>
    </row>
    <row r="294">
      <c r="A294" s="1" t="s">
        <v>868</v>
      </c>
      <c r="C294" s="2" t="str">
        <f>HYPERLINK("http://4sq.com/12arsMn","ร้านสเต็กริมทาง ")</f>
        <v>ร้านสเต็กริมทาง </v>
      </c>
    </row>
    <row r="295">
      <c r="A295" s="1" t="s">
        <v>869</v>
      </c>
      <c r="C295" s="2" t="str">
        <f>HYPERLINK("http://4sq.com/9JgJvL","วัดจามเทวี (Wat Chamadevi) ")</f>
        <v>วัดจามเทวี (Wat Chamadevi) </v>
      </c>
    </row>
    <row r="296">
      <c r="A296" s="1" t="s">
        <v>870</v>
      </c>
      <c r="C296" s="2" t="str">
        <f>HYPERLINK("http://4sq.com/SGmMxm","I Don't know ")</f>
        <v>I Don't know </v>
      </c>
    </row>
    <row r="297">
      <c r="A297" s="1" t="s">
        <v>871</v>
      </c>
      <c r="C297" s="2" t="str">
        <f>HYPERLINK("http://4sq.com/VuG5rl","Steak Of The Day ")</f>
        <v>Steak Of The Day </v>
      </c>
    </row>
    <row r="298">
      <c r="A298" s="1" t="s">
        <v>872</v>
      </c>
      <c r="C298" s="2" t="str">
        <f>HYPERLINK("http://4sq.com/crUrtj","ราดหน้าข้างแมค ")</f>
        <v>ราดหน้าข้างแมค </v>
      </c>
    </row>
    <row r="299">
      <c r="A299" s="1" t="s">
        <v>873</v>
      </c>
      <c r="C299" s="2" t="str">
        <f>HYPERLINK("http://4sq.com/b0oGmp","Home Sukkapan (โฮมสุขภัณฑ์) ")</f>
        <v>Home Sukkapan (โฮมสุขภัณฑ์) </v>
      </c>
    </row>
    <row r="300">
      <c r="A300" s="1" t="s">
        <v>874</v>
      </c>
      <c r="C300" s="2" t="str">
        <f>HYPERLINK("http://4sq.com/batEOn","ศูนย์ประชุมและแสดงสินค้านานาชาติฯ (Chiangmai International Convention Center) ")</f>
        <v>ศูนย์ประชุมและแสดงสินค้านานาชาติฯ (Chiangmai International Convention Center) </v>
      </c>
    </row>
    <row r="301">
      <c r="A301" s="1" t="s">
        <v>875</v>
      </c>
      <c r="C30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02">
      <c r="A302" s="1" t="s">
        <v>876</v>
      </c>
      <c r="C302" s="2" t="str">
        <f>HYPERLINK("http://4sq.com/ddc64z","Bake &amp; Bite ")</f>
        <v>Bake &amp; Bite </v>
      </c>
    </row>
    <row r="303">
      <c r="A303" s="1" t="s">
        <v>877</v>
      </c>
      <c r="C303" s="2" t="str">
        <f>HYPERLINK("http://4sq.com/eOWfg5","Babylon Bar ")</f>
        <v>Babylon Bar </v>
      </c>
    </row>
    <row r="304">
      <c r="A304" s="1" t="s">
        <v>878</v>
      </c>
      <c r="C304" s="2" t="str">
        <f>HYPERLINK("http://4sq.com/darGol","Global House (โกลบอลเฮ้าส์) ")</f>
        <v>Global House (โกลบอลเฮ้าส์) </v>
      </c>
    </row>
    <row r="305">
      <c r="A305" s="1" t="s">
        <v>879</v>
      </c>
      <c r="C305" s="2" t="str">
        <f>HYPERLINK("http://4sq.com/fRrzwD","ศูนย์ฝึกว่ายน้ำกิตติยะ เชียงใหม่ ")</f>
        <v>ศูนย์ฝึกว่ายน้ำกิตติยะ เชียงใหม่ </v>
      </c>
    </row>
    <row r="306">
      <c r="A306" s="1" t="s">
        <v>880</v>
      </c>
      <c r="C306" s="2" t="str">
        <f>HYPERLINK("http://4sq.com/boPlpu","เขื่อนแม่งัดสมบูรณ์ชล (Mae-Ngad Dam) ")</f>
        <v>เขื่อนแม่งัดสมบูรณ์ชล (Mae-Ngad Dam) </v>
      </c>
    </row>
    <row r="307">
      <c r="A307" s="1" t="s">
        <v>881</v>
      </c>
      <c r="C307" s="2" t="str">
        <f>HYPERLINK("http://4sq.com/myR2lB","Sala Café (ศาลากาแฟ) ")</f>
        <v>Sala Café (ศาลากาแฟ) </v>
      </c>
    </row>
    <row r="308">
      <c r="A308" s="1" t="s">
        <v>882</v>
      </c>
      <c r="C308" s="2" t="str">
        <f>HYPERLINK("http://4sq.com/1yMAGvP","Mountain Float ภูเขาลอยน้ำ ")</f>
        <v>Mountain Float ภูเขาลอยน้ำ </v>
      </c>
    </row>
    <row r="309">
      <c r="A309" s="1" t="s">
        <v>883</v>
      </c>
      <c r="C309" s="2" t="str">
        <f>HYPERLINK("http://4sq.com/1nqEUD6","Subway ")</f>
        <v>Subway </v>
      </c>
    </row>
    <row r="310">
      <c r="A310" s="1" t="s">
        <v>884</v>
      </c>
      <c r="C310" s="2" t="str">
        <f>HYPERLINK("http://4sq.com/I28LVE","Café de Oasis | คาเฟ่ เดอ โอเอซิส ")</f>
        <v>Café de Oasis | คาเฟ่ เดอ โอเอซิส </v>
      </c>
    </row>
    <row r="311">
      <c r="A311" s="1" t="s">
        <v>885</v>
      </c>
      <c r="C311" s="2" t="str">
        <f>HYPERLINK("http://4sq.com/17M6fyE","Lhong-Pa | หลงป่า ")</f>
        <v>Lhong-Pa | หลงป่า </v>
      </c>
    </row>
    <row r="312">
      <c r="A312" s="1" t="s">
        <v>886</v>
      </c>
      <c r="C312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13">
      <c r="A313" s="1" t="s">
        <v>887</v>
      </c>
      <c r="C313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314">
      <c r="A314" s="1" t="s">
        <v>888</v>
      </c>
      <c r="C314" s="2" t="str">
        <f>HYPERLINK("http://4sq.com/IsCfJk","Interactive Group Co.Ltd ")</f>
        <v>Interactive Group Co.Ltd </v>
      </c>
    </row>
    <row r="315">
      <c r="A315" s="1" t="s">
        <v>889</v>
      </c>
      <c r="C315" s="2" t="str">
        <f>HYPERLINK("http://4sq.com/XNoqwI","Superbdog ")</f>
        <v>Superbdog </v>
      </c>
    </row>
    <row r="316">
      <c r="A316" s="1" t="s">
        <v>890</v>
      </c>
      <c r="C316" s="2" t="str">
        <f>HYPERLINK("http://4sq.com/1egrGGW","SWAY ")</f>
        <v>SWAY </v>
      </c>
    </row>
    <row r="317">
      <c r="A317" s="1" t="s">
        <v>891</v>
      </c>
      <c r="C317" s="2" t="str">
        <f>HYPERLINK("http://4sq.com/a5UBsA","Starbucks (สตาร์บัคส์) ")</f>
        <v>Starbucks (สตาร์บัคส์) </v>
      </c>
    </row>
    <row r="318">
      <c r="A318" s="1" t="s">
        <v>892</v>
      </c>
      <c r="C318" s="2" t="str">
        <f>HYPERLINK("http://4sq.com/4SKUa9","Emporium (เอ็มโพเรียม) ")</f>
        <v>Emporium (เอ็มโพเรียม) </v>
      </c>
    </row>
    <row r="319">
      <c r="A319" s="1" t="s">
        <v>893</v>
      </c>
      <c r="C319" s="2" t="str">
        <f>HYPERLINK("http://4sq.com/fAWkjh","Chu Chocolate Bar &amp; Café ")</f>
        <v>Chu Chocolate Bar &amp; Café </v>
      </c>
    </row>
    <row r="320">
      <c r="A320" s="1" t="s">
        <v>894</v>
      </c>
      <c r="C320" s="2" t="str">
        <f>HYPERLINK("http://4sq.com/10MrWa9","The Continent Hotel ")</f>
        <v>The Continent Hotel </v>
      </c>
    </row>
    <row r="321">
      <c r="A321" s="1" t="s">
        <v>895</v>
      </c>
      <c r="C321" s="2" t="str">
        <f>HYPERLINK("http://4sq.com/bzeUlZ","Pantaree Restaurant ")</f>
        <v>Pantaree Restaurant </v>
      </c>
    </row>
    <row r="322">
      <c r="A322" s="1" t="s">
        <v>896</v>
      </c>
      <c r="C322" s="2" t="str">
        <f>HYPERLINK("http://4sq.com/9haDUi","Long Table ")</f>
        <v>Long Table </v>
      </c>
    </row>
    <row r="323">
      <c r="A323" s="1" t="s">
        <v>897</v>
      </c>
      <c r="C323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324">
      <c r="A324" s="1" t="s">
        <v>898</v>
      </c>
      <c r="C324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25">
      <c r="A325" s="1" t="s">
        <v>899</v>
      </c>
      <c r="C325" s="2" t="str">
        <f>HYPERLINK("http://4sq.com/bk1lzZ","ฝ้ายเบเกอรี่ (Fai Bakery &amp; Restaurant) ")</f>
        <v>ฝ้ายเบเกอรี่ (Fai Bakery &amp; Restaurant) </v>
      </c>
    </row>
    <row r="326">
      <c r="A326" s="1" t="s">
        <v>900</v>
      </c>
      <c r="C326" s="2" t="str">
        <f>HYPERLINK("http://4sq.com/tp675L","700 Year Stadium, Swimming Pool ")</f>
        <v>700 Year Stadium, Swimming Pool </v>
      </c>
    </row>
    <row r="327">
      <c r="A327" s="1" t="s">
        <v>901</v>
      </c>
      <c r="C327" s="2" t="str">
        <f>HYPERLINK("http://4sq.com/1nqEUD6","Subway ")</f>
        <v>Subway </v>
      </c>
    </row>
    <row r="328">
      <c r="A328" s="1" t="s">
        <v>902</v>
      </c>
      <c r="C328" s="2" t="str">
        <f>HYPERLINK("http://4sq.com/ddc64z","Bake &amp; Bite ")</f>
        <v>Bake &amp; Bite </v>
      </c>
    </row>
    <row r="329">
      <c r="A329" s="1" t="s">
        <v>903</v>
      </c>
      <c r="C329" s="2" t="str">
        <f>HYPERLINK("http://4sq.com/w1CbeE","3BB Mae Rim ")</f>
        <v>3BB Mae Rim </v>
      </c>
    </row>
    <row r="330">
      <c r="A330" s="1" t="s">
        <v>904</v>
      </c>
      <c r="C330" s="2" t="str">
        <f>HYPERLINK("http://4sq.com/1p7PUHk","Hmong Hillside Convenience store ")</f>
        <v>Hmong Hillside Convenience store </v>
      </c>
    </row>
    <row r="331">
      <c r="A331" s="1" t="s">
        <v>905</v>
      </c>
      <c r="C331" s="2" t="str">
        <f>HYPERLINK("http://4sq.com/b5BzeX","Le Méridien Chiang Mai ")</f>
        <v>Le Méridien Chiang Mai </v>
      </c>
    </row>
    <row r="332">
      <c r="A332" s="1" t="s">
        <v>906</v>
      </c>
      <c r="C332" s="2" t="str">
        <f>HYPERLINK("http://4sq.com/Sw7Gr3","The Glasshouse Chiangmai ")</f>
        <v>The Glasshouse Chiangmai </v>
      </c>
    </row>
    <row r="333">
      <c r="A333" s="1" t="s">
        <v>907</v>
      </c>
      <c r="C333" s="2" t="str">
        <f>HYPERLINK("http://4sq.com/J3DDTY","ไทวัสดุ สาขาเชียงใหม่ ")</f>
        <v>ไทวัสดุ สาขาเชียงใหม่ </v>
      </c>
    </row>
    <row r="334">
      <c r="A334" s="1" t="s">
        <v>908</v>
      </c>
      <c r="C334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335">
      <c r="A335" s="1" t="s">
        <v>909</v>
      </c>
      <c r="C335" s="2" t="str">
        <f>HYPERLINK("http://4sq.com/vR2jCG","บ้านสวนกาแฟ (Baan-Suan-Ka-Fé) ")</f>
        <v>บ้านสวนกาแฟ (Baan-Suan-Ka-Fé) </v>
      </c>
    </row>
    <row r="336">
      <c r="A336" s="1" t="s">
        <v>910</v>
      </c>
      <c r="C336" s="2" t="str">
        <f>HYPERLINK("http://4sq.com/9v7H1W","Extreme Sport Center ")</f>
        <v>Extreme Sport Center </v>
      </c>
    </row>
    <row r="337">
      <c r="A337" s="1" t="s">
        <v>911</v>
      </c>
      <c r="C337" s="2" t="str">
        <f>HYPERLINK("http://4sq.com/dXIc5D","ปตท. (PTT Gas Station) ")</f>
        <v>ปตท. (PTT Gas Station) </v>
      </c>
    </row>
    <row r="338">
      <c r="A338" s="1" t="s">
        <v>912</v>
      </c>
      <c r="C338" s="2" t="str">
        <f>HYPERLINK("http://4sq.com/mEqJRt","ร้านก๋วยจั๊บ ตลาดหนองหอย ")</f>
        <v>ร้านก๋วยจั๊บ ตลาดหนองหอย </v>
      </c>
    </row>
    <row r="339">
      <c r="A339" s="1" t="s">
        <v>913</v>
      </c>
      <c r="C339" s="2" t="str">
        <f>HYPERLINK("http://4sq.com/1nBoJDC","The BBQ ")</f>
        <v>The BBQ </v>
      </c>
    </row>
    <row r="340">
      <c r="A340" s="1" t="s">
        <v>914</v>
      </c>
      <c r="C340" s="2" t="str">
        <f>HYPERLINK("http://4sq.com/pa8psl","Mac Café ")</f>
        <v>Mac Café </v>
      </c>
    </row>
    <row r="341">
      <c r="A341" s="1" t="s">
        <v>915</v>
      </c>
      <c r="C341" s="2" t="str">
        <f>HYPERLINK("http://4sq.com/9ZbQXR","ปตท. (PTT) ")</f>
        <v>ปตท. (PTT) </v>
      </c>
    </row>
    <row r="342">
      <c r="A342" s="1" t="s">
        <v>916</v>
      </c>
      <c r="C342" s="2" t="str">
        <f>HYPERLINK("http://4sq.com/ZSvKDx","Inbox Coffee Bar ")</f>
        <v>Inbox Coffee Bar </v>
      </c>
    </row>
    <row r="343">
      <c r="A343" s="1" t="s">
        <v>917</v>
      </c>
      <c r="C343" s="2" t="str">
        <f>HYPERLINK("http://4sq.com/9v5uys","ม่อนแจ่ม (Mon Cham) ")</f>
        <v>ม่อนแจ่ม (Mon Cham) </v>
      </c>
    </row>
    <row r="344">
      <c r="A344" s="1" t="s">
        <v>918</v>
      </c>
      <c r="C344" s="2" t="str">
        <f>HYPERLINK("http://4sq.com/1p7PUHk","Hmong Hillside Convenience store ")</f>
        <v>Hmong Hillside Convenience store </v>
      </c>
    </row>
    <row r="345">
      <c r="A345" s="1" t="s">
        <v>919</v>
      </c>
      <c r="C345" s="2" t="str">
        <f>HYPERLINK("http://4sq.com/dzcSrH","9 Salon ")</f>
        <v>9 Salon </v>
      </c>
    </row>
    <row r="346">
      <c r="A346" s="1" t="s">
        <v>920</v>
      </c>
      <c r="C346" s="2" t="str">
        <f>HYPERLINK("http://4sq.com/I28LVE","Café de Oasis | คาเฟ่ เดอ โอเอซิส ")</f>
        <v>Café de Oasis | คาเฟ่ เดอ โอเอซิส </v>
      </c>
    </row>
    <row r="347">
      <c r="A347" s="1" t="s">
        <v>921</v>
      </c>
      <c r="C347" s="2" t="str">
        <f>HYPERLINK("http://4sq.com/1hVXHYn","and ann coffee ")</f>
        <v>and ann coffee </v>
      </c>
    </row>
    <row r="348">
      <c r="A348" s="1" t="s">
        <v>922</v>
      </c>
      <c r="C348" s="2" t="str">
        <f>HYPERLINK("http://4sq.com/amzSVo","ริมปิง (Rimping Supermarket) ")</f>
        <v>ริมปิง (Rimping Supermarket) </v>
      </c>
    </row>
    <row r="349">
      <c r="A349" s="1" t="s">
        <v>923</v>
      </c>
      <c r="C349" s="2" t="str">
        <f>HYPERLINK("http://4sq.com/1lYB3D8","Homepro ")</f>
        <v>Homepro </v>
      </c>
    </row>
    <row r="350">
      <c r="A350" s="1" t="s">
        <v>924</v>
      </c>
      <c r="C350" s="2" t="str">
        <f>HYPERLINK("http://4sq.com/darGol","Global House (โกลบอลเฮ้าส์) ")</f>
        <v>Global House (โกลบอลเฮ้าส์) </v>
      </c>
    </row>
    <row r="351">
      <c r="A351" s="1" t="s">
        <v>925</v>
      </c>
      <c r="C351" s="2" t="str">
        <f>HYPERLINK("http://4sq.com/cTCMbh","ปตท. (PTT) ")</f>
        <v>ปตท. (PTT) </v>
      </c>
    </row>
    <row r="352">
      <c r="A352" s="1" t="s">
        <v>926</v>
      </c>
      <c r="C352" s="2" t="str">
        <f>HYPERLINK("http://4sq.com/dwPPw7","กรีนเลค รีสอร์ท  (Green Lake Resort) ")</f>
        <v>กรีนเลค รีสอร์ท  (Green Lake Resort) </v>
      </c>
    </row>
    <row r="353">
      <c r="A353" s="1" t="s">
        <v>927</v>
      </c>
      <c r="C353" s="2" t="str">
        <f>HYPERLINK("http://4sq.com/1ln165h","Kawasaki แสงสัยธุรกิจยานยนต์ ")</f>
        <v>Kawasaki แสงสัยธุรกิจยานยนต์ </v>
      </c>
    </row>
    <row r="354">
      <c r="A354" s="1" t="s">
        <v>928</v>
      </c>
      <c r="C354" s="2" t="str">
        <f>HYPERLINK("http://4sq.com/eTNgs9","BikeCafe ")</f>
        <v>BikeCafe </v>
      </c>
    </row>
    <row r="355">
      <c r="A355" s="1" t="s">
        <v>929</v>
      </c>
      <c r="C355" s="2" t="str">
        <f>HYPERLINK("http://4sq.com/kZ9PQB","Shell Gas Station : Mae Taeng ")</f>
        <v>Shell Gas Station : Mae Taeng </v>
      </c>
    </row>
    <row r="356">
      <c r="A356" s="1" t="s">
        <v>930</v>
      </c>
      <c r="C356" s="2" t="str">
        <f>HYPERLINK("http://4sq.com/dhkOHN","Pankled Coffee Corner ")</f>
        <v>Pankled Coffee Corner </v>
      </c>
    </row>
    <row r="357">
      <c r="A357" s="1" t="s">
        <v>931</v>
      </c>
      <c r="C357" s="2" t="str">
        <f>HYPERLINK("http://4sq.com/9gv9Cc","Coffee in Love (ค๊อฟฟี่อินเลิฟ) ")</f>
        <v>Coffee in Love (ค๊อฟฟี่อินเลิฟ) </v>
      </c>
    </row>
    <row r="358">
      <c r="A358" s="1" t="s">
        <v>932</v>
      </c>
      <c r="C358" s="2" t="str">
        <f>HYPERLINK("http://4sq.com/aoSA0n","Brook View Pai ")</f>
        <v>Brook View Pai </v>
      </c>
    </row>
    <row r="359">
      <c r="A359" s="1" t="s">
        <v>933</v>
      </c>
      <c r="C359" s="2" t="str">
        <f>HYPERLINK("http://4sq.com/NpFcbr","Piranha Park ")</f>
        <v>Piranha Park </v>
      </c>
    </row>
    <row r="360">
      <c r="A360" s="1" t="s">
        <v>934</v>
      </c>
      <c r="C360" s="2" t="str">
        <f>HYPERLINK("http://4sq.com/gG7TyK","Cafe'd'tist ")</f>
        <v>Cafe'd'tist </v>
      </c>
    </row>
    <row r="361">
      <c r="A361" s="1" t="s">
        <v>935</v>
      </c>
      <c r="C361" s="2" t="str">
        <f>HYPERLINK("http://4sq.com/a38yNX","Yellow Sun ")</f>
        <v>Yellow Sun </v>
      </c>
    </row>
    <row r="362">
      <c r="A362" s="1" t="s">
        <v>936</v>
      </c>
      <c r="C362" s="2" t="str">
        <f>HYPERLINK("http://4sq.com/dW98v9","Puripai Villa ภูริปายวิลล่า ")</f>
        <v>Puripai Villa ภูริปายวิลล่า </v>
      </c>
    </row>
    <row r="363">
      <c r="A363" s="1" t="s">
        <v>937</v>
      </c>
      <c r="C363" s="2" t="str">
        <f>HYPERLINK("http://4sq.com/aH3gi2","ร้านน้องเบียร์ (Nong Beer Restaurant) ")</f>
        <v>ร้านน้องเบียร์ (Nong Beer Restaurant) </v>
      </c>
    </row>
    <row r="364">
      <c r="A364" s="1" t="s">
        <v>938</v>
      </c>
      <c r="C364" s="2" t="str">
        <f>HYPERLINK("http://4sq.com/c3iHZs","ข้าวซอยลําดวน ฟ้าฮ่าม (Kao Soi Lamduan Fa Ham) ")</f>
        <v>ข้าวซอยลําดวน ฟ้าฮ่าม (Kao Soi Lamduan Fa Ham) </v>
      </c>
    </row>
    <row r="365">
      <c r="A365" s="1" t="s">
        <v>939</v>
      </c>
      <c r="C365" s="2" t="str">
        <f>HYPERLINK("http://4sq.com/13FRMmV","Joe's Bike Team ")</f>
        <v>Joe's Bike Team </v>
      </c>
    </row>
    <row r="366">
      <c r="A366" s="1" t="s">
        <v>940</v>
      </c>
      <c r="C366" s="2" t="str">
        <f>HYPERLINK("http://4sq.com/IFAMLM","Kireethara Wine Bar &amp; Restaurant ")</f>
        <v>Kireethara Wine Bar &amp; Restaurant </v>
      </c>
    </row>
    <row r="367">
      <c r="A367" s="1" t="s">
        <v>941</v>
      </c>
      <c r="C367" s="2" t="str">
        <f>HYPERLINK("http://4sq.com/19MFNPc","baan&amp;BEYOND Home Department Store (บ้านแอนด์บียอนด์) ")</f>
        <v>baan&amp;BEYOND Home Department Store (บ้านแอนด์บียอนด์) </v>
      </c>
    </row>
    <row r="368">
      <c r="A368" s="1" t="s">
        <v>942</v>
      </c>
      <c r="C368" s="2" t="str">
        <f>HYPERLINK("http://4sq.com/vR2jCG","บ้านสวนกาแฟ (Baan-Suan-Ka-Fé) ")</f>
        <v>บ้านสวนกาแฟ (Baan-Suan-Ka-Fé) </v>
      </c>
    </row>
    <row r="369">
      <c r="A369" s="1" t="s">
        <v>943</v>
      </c>
      <c r="C369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70">
      <c r="A370" s="1" t="s">
        <v>944</v>
      </c>
      <c r="C370" s="2" t="str">
        <f>HYPERLINK("http://4sq.com/runusw","ครัวฟ้าใส (ฟ้าใสการ์เด้น) ")</f>
        <v>ครัวฟ้าใส (ฟ้าใสการ์เด้น) </v>
      </c>
    </row>
    <row r="371">
      <c r="A371" s="1" t="s">
        <v>945</v>
      </c>
      <c r="C371" s="2" t="str">
        <f>HYPERLINK("http://4sq.com/bk1lzZ","ฝ้ายเบเกอรี่ (Fai Bakery &amp; Restaurant) ")</f>
        <v>ฝ้ายเบเกอรี่ (Fai Bakery &amp; Restaurant) </v>
      </c>
    </row>
    <row r="372">
      <c r="A372" s="1" t="s">
        <v>946</v>
      </c>
      <c r="C372" s="2" t="str">
        <f>HYPERLINK("http://4sq.com/VuG5rl","Steak Of The Day ")</f>
        <v>Steak Of The Day </v>
      </c>
    </row>
    <row r="373">
      <c r="A373" s="1" t="s">
        <v>947</v>
      </c>
      <c r="C373" s="2" t="str">
        <f>HYPERLINK("http://4sq.com/iQnC0E","Kamonlaput•Coffee•Swim• ")</f>
        <v>Kamonlaput•Coffee•Swim• </v>
      </c>
    </row>
    <row r="374">
      <c r="A374" s="1" t="s">
        <v>948</v>
      </c>
      <c r="C374" s="2" t="str">
        <f>HYPERLINK("http://4sq.com/a6bcUk","Smoothie Blues ")</f>
        <v>Smoothie Blues </v>
      </c>
    </row>
    <row r="375">
      <c r="A375" s="1" t="s">
        <v>949</v>
      </c>
      <c r="C375" s="2" t="str">
        <f>HYPERLINK("http://4sq.com/qoSKTO","CM Furnituremall ")</f>
        <v>CM Furnituremall </v>
      </c>
    </row>
    <row r="376">
      <c r="A376" s="1" t="s">
        <v>950</v>
      </c>
      <c r="C376" s="2" t="str">
        <f>HYPERLINK("http://4sq.com/eey04s","The Ring ")</f>
        <v>The Ring </v>
      </c>
    </row>
    <row r="377">
      <c r="A377" s="1" t="s">
        <v>951</v>
      </c>
      <c r="C377" s="2" t="str">
        <f>HYPERLINK("http://4sq.com/1tyRfsO","ร้านเบอร์ 19 ")</f>
        <v>ร้านเบอร์ 19 </v>
      </c>
    </row>
    <row r="378">
      <c r="A378" s="1" t="s">
        <v>952</v>
      </c>
      <c r="C378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379">
      <c r="A379" s="1" t="s">
        <v>953</v>
      </c>
      <c r="C379" s="2" t="str">
        <f>HYPERLINK("http://4sq.com/9fhu0n","El Diablo Burritos ")</f>
        <v>El Diablo Burritos </v>
      </c>
    </row>
    <row r="380">
      <c r="A380" s="1" t="s">
        <v>954</v>
      </c>
      <c r="C380" s="2" t="str">
        <f>HYPERLINK("http://4sq.com/z0VWog","Sweet Heart Bar ")</f>
        <v>Sweet Heart Bar </v>
      </c>
    </row>
    <row r="381">
      <c r="A381" s="1" t="s">
        <v>955</v>
      </c>
      <c r="C381" s="2" t="str">
        <f>HYPERLINK("http://4sq.com/dN5I8e","ปิโตรนาส สาขา เชียงใหม่ แม่ริม (ปั๊มเหรียญทอง 3 ปี ซ้อน) ")</f>
        <v>ปิโตรนาส สาขา เชียงใหม่ แม่ริม (ปั๊มเหรียญทอง 3 ปี ซ้อน) </v>
      </c>
    </row>
    <row r="382">
      <c r="A382" s="1" t="s">
        <v>956</v>
      </c>
      <c r="C382" s="2" t="str">
        <f>HYPERLINK("http://4sq.com/96C3Ox","น้ำตกแม่สา ")</f>
        <v>น้ำตกแม่สา </v>
      </c>
    </row>
    <row r="383">
      <c r="A383" s="1" t="s">
        <v>957</v>
      </c>
      <c r="C383" s="2" t="str">
        <f>HYPERLINK("http://4sq.com/gp45OA","Charin Pie ")</f>
        <v>Charin Pie </v>
      </c>
    </row>
    <row r="384">
      <c r="A384" s="1" t="s">
        <v>958</v>
      </c>
      <c r="C384" s="2" t="str">
        <f>HYPERLINK("http://4sq.com/9dAeh7","Boat (โบ๊ต) ")</f>
        <v>Boat (โบ๊ต) </v>
      </c>
    </row>
    <row r="385">
      <c r="A385" s="1" t="s">
        <v>959</v>
      </c>
      <c r="C38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86">
      <c r="A386" s="1" t="s">
        <v>960</v>
      </c>
      <c r="C386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387">
      <c r="A387" s="1" t="s">
        <v>961</v>
      </c>
      <c r="C387" s="2" t="str">
        <f>HYPERLINK("http://4sq.com/9QUhFp","Lumpini Place Phahon-Saphankhwai (ลุมพินี เพลส พหล-สะพานควาย) ")</f>
        <v>Lumpini Place Phahon-Saphankhwai (ลุมพินี เพลส พหล-สะพานควาย) </v>
      </c>
    </row>
    <row r="388">
      <c r="A388" s="1" t="s">
        <v>962</v>
      </c>
      <c r="C388" s="2" t="str">
        <f>HYPERLINK("http://4sq.com/1eaimr8","Green Parrot ")</f>
        <v>Green Parrot </v>
      </c>
    </row>
    <row r="389">
      <c r="A389" s="1" t="s">
        <v>963</v>
      </c>
      <c r="C389" s="2" t="str">
        <f>HYPERLINK("http://4sq.com/fAWkjh","Chu Chocolate Bar &amp; Café ")</f>
        <v>Chu Chocolate Bar &amp; Café </v>
      </c>
    </row>
    <row r="390">
      <c r="A390" s="1" t="s">
        <v>964</v>
      </c>
      <c r="C390" s="2" t="str">
        <f>HYPERLINK("http://4sq.com/9haDUi","Long Table ")</f>
        <v>Long Table </v>
      </c>
    </row>
    <row r="391">
      <c r="A391" s="1" t="s">
        <v>965</v>
      </c>
      <c r="C391" s="2" t="str">
        <f>HYPERLINK("http://4sq.com/jpHn27","Liberty Garden Hotel ")</f>
        <v>Liberty Garden Hotel </v>
      </c>
    </row>
    <row r="392">
      <c r="A392" s="1" t="s">
        <v>966</v>
      </c>
      <c r="C392" s="2" t="str">
        <f>HYPERLINK("http://4sq.com/ynqN58","Burger Factory ")</f>
        <v>Burger Factory </v>
      </c>
    </row>
    <row r="393">
      <c r="A393" s="1" t="s">
        <v>967</v>
      </c>
      <c r="C393" s="2" t="str">
        <f>HYPERLINK("http://4sq.com/19LYqoD","I'm Cafe &amp; Bistro ")</f>
        <v>I'm Cafe &amp; Bistro </v>
      </c>
    </row>
    <row r="394">
      <c r="A394" s="1" t="s">
        <v>968</v>
      </c>
      <c r="C394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95">
      <c r="A395" s="1" t="s">
        <v>969</v>
      </c>
      <c r="C395" s="2" t="str">
        <f>HYPERLINK("http://4sq.com/eUrm4H","The Hideaway Cafe &amp; Restaurant ")</f>
        <v>The Hideaway Cafe &amp; Restaurant </v>
      </c>
    </row>
    <row r="396">
      <c r="A396" s="1" t="s">
        <v>970</v>
      </c>
      <c r="C396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397">
      <c r="A397" s="1" t="s">
        <v>971</v>
      </c>
      <c r="C397" s="2" t="str">
        <f>HYPERLINK("http://4sq.com/9Xt3FL","ห้วยตึงเฒ่า (Huay Tueng Tao) ")</f>
        <v>ห้วยตึงเฒ่า (Huay Tueng Tao) </v>
      </c>
    </row>
    <row r="398">
      <c r="A398" s="1" t="s">
        <v>972</v>
      </c>
      <c r="C398" s="2" t="str">
        <f>HYPERLINK("http://4sq.com/17M6fyE","หลงป่า (Lhong-Pa) ")</f>
        <v>หลงป่า (Lhong-Pa) </v>
      </c>
    </row>
    <row r="399">
      <c r="A399" s="1" t="s">
        <v>973</v>
      </c>
      <c r="C399" s="2" t="str">
        <f>HYPERLINK("http://4sq.com/1nqEUD6","Subway ")</f>
        <v>Subway </v>
      </c>
    </row>
    <row r="400">
      <c r="A400" s="1" t="s">
        <v>974</v>
      </c>
      <c r="C400" s="2" t="str">
        <f>HYPERLINK("http://4sq.com/1a6WsSl","Sizzler (ซิซซ์เล่อร์) ")</f>
        <v>Sizzler (ซิซซ์เล่อร์) </v>
      </c>
    </row>
    <row r="401">
      <c r="A401" s="1" t="s">
        <v>975</v>
      </c>
      <c r="C401" s="2" t="str">
        <f>HYPERLINK("http://4sq.com/eey04s","The Ring ")</f>
        <v>The Ring </v>
      </c>
    </row>
    <row r="402">
      <c r="A402" s="1" t="s">
        <v>976</v>
      </c>
      <c r="C402" s="2" t="str">
        <f>HYPERLINK("http://4sq.com/VxOScK","Curry Scoop ")</f>
        <v>Curry Scoop </v>
      </c>
    </row>
    <row r="403">
      <c r="A403" s="1" t="s">
        <v>977</v>
      </c>
      <c r="C403" s="2" t="str">
        <f>HYPERLINK("http://4sq.com/mX3A2Y","คั่วไก่นิมมาน (Kua-Kai Nimman) ")</f>
        <v>คั่วไก่นิมมาน (Kua-Kai Nimman) </v>
      </c>
    </row>
    <row r="404">
      <c r="A404" s="1" t="s">
        <v>978</v>
      </c>
      <c r="B404" s="1" t="s">
        <v>979</v>
      </c>
      <c r="C404" s="2" t="str">
        <f>HYPERLINK("http://4sq.com/9Xt3FL","ห้วยตึงเฒ่า (Huay Tueng Tao) ")</f>
        <v>ห้วยตึงเฒ่า (Huay Tueng Tao) </v>
      </c>
    </row>
    <row r="405">
      <c r="A405" s="1" t="s">
        <v>980</v>
      </c>
      <c r="C405" s="2" t="str">
        <f>HYPERLINK("http://4sq.com/1eCpkTQ","MAYA (เมญ่า) ")</f>
        <v>MAYA (เมญ่า) </v>
      </c>
    </row>
    <row r="406">
      <c r="A406" s="1" t="s">
        <v>981</v>
      </c>
      <c r="C406" s="2" t="str">
        <f>HYPERLINK("http://4sq.com/gOIJij","Panviman Chiang Mai Spa Resort | ปานวิมาน เชียงใหม่ สปา รีสอร์ท ")</f>
        <v>Panviman Chiang Mai Spa Resort | ปานวิมาน เชียงใหม่ สปา รีสอร์ท </v>
      </c>
    </row>
    <row r="407">
      <c r="A407" s="1" t="s">
        <v>982</v>
      </c>
      <c r="C407" s="2" t="str">
        <f>HYPERLINK("http://4sq.com/dwBNev","แกงร้อนบ้านสวน (Kang Ron Baan Suan) ")</f>
        <v>แกงร้อนบ้านสวน (Kang Ron Baan Suan) </v>
      </c>
    </row>
    <row r="408">
      <c r="A408" s="1" t="s">
        <v>983</v>
      </c>
      <c r="C408" s="2" t="str">
        <f>HYPERLINK("http://4sq.com/1llaXZg","Rock Me Burger &amp; Bar ")</f>
        <v>Rock Me Burger &amp; Bar </v>
      </c>
    </row>
    <row r="409">
      <c r="A409" s="1" t="s">
        <v>984</v>
      </c>
      <c r="C409" s="2" t="str">
        <f>HYPERLINK("http://4sq.com/XLdWOP","Penguin Ghetto | Coffee and Beverage | Chiangmai ")</f>
        <v>Penguin Ghetto | Coffee and Beverage | Chiangmai </v>
      </c>
    </row>
    <row r="410">
      <c r="A410" s="1" t="s">
        <v>985</v>
      </c>
      <c r="C410" s="2" t="str">
        <f>HYPERLINK("http://4sq.com/9fhu0n","El Diablo Burritos ")</f>
        <v>El Diablo Burritos </v>
      </c>
    </row>
    <row r="411">
      <c r="A411" s="1" t="s">
        <v>986</v>
      </c>
      <c r="C411" s="2" t="str">
        <f>HYPERLINK("http://4sq.com/gWOYsV","The Windmill (บ้านกังหัน) ")</f>
        <v>The Windmill (บ้านกังหัน) </v>
      </c>
    </row>
    <row r="412">
      <c r="A412" s="1" t="s">
        <v>987</v>
      </c>
      <c r="C412" s="2" t="str">
        <f>HYPERLINK("http://4sq.com/17M6fyE","หลงป่า (Lhong-Pa) ")</f>
        <v>หลงป่า (Lhong-Pa) </v>
      </c>
    </row>
    <row r="413">
      <c r="A413" s="1" t="s">
        <v>988</v>
      </c>
      <c r="C413" s="2" t="str">
        <f>HYPERLINK("http://4sq.com/clDjfZ","พิพิธภัณฑ์สวนสัตว์แมลงสยาม (Siam Insect Zoo &amp; Museum) ")</f>
        <v>พิพิธภัณฑ์สวนสัตว์แมลงสยาม (Siam Insect Zoo &amp; Museum) </v>
      </c>
    </row>
    <row r="414">
      <c r="A414" s="1" t="s">
        <v>989</v>
      </c>
      <c r="C414" s="2" t="str">
        <f>HYPERLINK("http://4sq.com/96C3Ox","น้ำตกแม่สา ")</f>
        <v>น้ำตกแม่สา </v>
      </c>
    </row>
    <row r="415">
      <c r="A415" s="1" t="s">
        <v>990</v>
      </c>
      <c r="C415" s="2" t="str">
        <f>HYPERLINK("http://4sq.com/ddc64z","Bake &amp; Bite ")</f>
        <v>Bake &amp; Bite </v>
      </c>
    </row>
    <row r="416">
      <c r="A416" s="1" t="s">
        <v>991</v>
      </c>
      <c r="C416" s="2" t="str">
        <f>HYPERLINK("http://4sq.com/1g8wZw0","สวนโอขิ สวนองุ่น ")</f>
        <v>สวนโอขิ สวนองุ่น </v>
      </c>
    </row>
    <row r="417">
      <c r="A417" s="1" t="s">
        <v>992</v>
      </c>
      <c r="C417" s="2" t="str">
        <f>HYPERLINK("http://4sq.com/1p7PUHk","Hmong Hillside Convenience store ")</f>
        <v>Hmong Hillside Convenience store </v>
      </c>
    </row>
    <row r="418">
      <c r="A418" s="1" t="s">
        <v>993</v>
      </c>
      <c r="C418" s="2" t="str">
        <f>HYPERLINK("http://4sq.com/1e541eT","อุ๊ยแก้วกาแฟ ")</f>
        <v>อุ๊ยแก้วกาแฟ </v>
      </c>
    </row>
    <row r="419">
      <c r="A419" s="1" t="s">
        <v>994</v>
      </c>
      <c r="C419" s="2" t="str">
        <f>HYPERLINK("http://4sq.com/1llaXZg","Rock Me Burger &amp; Bar ")</f>
        <v>Rock Me Burger &amp; Bar </v>
      </c>
    </row>
    <row r="420">
      <c r="A420" s="1" t="s">
        <v>995</v>
      </c>
      <c r="C420" s="2" t="str">
        <f>HYPERLINK("http://4sq.com/1dpQIFZ","The Chai Lai Orchid Cafe' ")</f>
        <v>The Chai Lai Orchid Cafe' </v>
      </c>
    </row>
    <row r="421">
      <c r="A421" s="1" t="s">
        <v>996</v>
      </c>
      <c r="C421" s="2" t="str">
        <f>HYPERLINK("http://4sq.com/yoYW7r","สิริภูมิ ")</f>
        <v>สิริภูมิ </v>
      </c>
    </row>
    <row r="422">
      <c r="A422" s="1" t="s">
        <v>997</v>
      </c>
      <c r="C422" s="2" t="str">
        <f>HYPERLINK("http://4sq.com/g0hZeg","ร้านอาหารอินทนนท์ (Inthanon Restaurant) ")</f>
        <v>ร้านอาหารอินทนนท์ (Inthanon Restaurant) </v>
      </c>
    </row>
    <row r="423">
      <c r="A423" s="1" t="s">
        <v>998</v>
      </c>
      <c r="C423" s="2" t="str">
        <f>HYPERLINK("http://4sq.com/9eOCQH","สถานีเกษตรหลวงอินทนนท์ (Royal Agricultural Station - Inthanon) ")</f>
        <v>สถานีเกษตรหลวงอินทนนท์ (Royal Agricultural Station - Inthanon) </v>
      </c>
    </row>
    <row r="424">
      <c r="A424" s="1" t="s">
        <v>999</v>
      </c>
      <c r="C424" s="2" t="str">
        <f>HYPERLINK("http://4sq.com/i9zvng","PTT แม่สะเรียง ")</f>
        <v>PTT แม่สะเรียง </v>
      </c>
    </row>
    <row r="425">
      <c r="A425" s="1" t="s">
        <v>1000</v>
      </c>
      <c r="C425" s="2" t="str">
        <f>HYPERLINK("http://4sq.com/h00loX","Northwest Guesthouse ")</f>
        <v>Northwest Guesthouse </v>
      </c>
    </row>
    <row r="426">
      <c r="A426" s="1" t="s">
        <v>1001</v>
      </c>
      <c r="C426" s="2" t="str">
        <f>HYPERLINK("http://4sq.com/y3Hafk","อนุสรณ์สถานมิตรภาพไทย-ญี่ปุ่น (Thailand-Japan Friendship Memorial) ")</f>
        <v>อนุสรณ์สถานมิตรภาพไทย-ญี่ปุ่น (Thailand-Japan Friendship Memorial) </v>
      </c>
    </row>
    <row r="427">
      <c r="A427" s="1" t="s">
        <v>1002</v>
      </c>
      <c r="C427" s="2" t="str">
        <f>HYPERLINK("http://4sq.com/hw7Zu0","วัดจองคำ (Wat Chong Kham) ")</f>
        <v>วัดจองคำ (Wat Chong Kham) </v>
      </c>
    </row>
    <row r="428">
      <c r="A428" s="1" t="s">
        <v>1003</v>
      </c>
      <c r="C428" s="2" t="str">
        <f>HYPERLINK("http://4sq.com/cT20LK","CrossRoads ")</f>
        <v>CrossRoads </v>
      </c>
    </row>
    <row r="429">
      <c r="A429" s="1" t="s">
        <v>1004</v>
      </c>
      <c r="C429" s="2" t="str">
        <f>HYPERLINK("http://4sq.com/c2Qei3","Coffee Morning (คอฟฟี่ มอร์นิ่ง) ")</f>
        <v>Coffee Morning (คอฟฟี่ มอร์นิ่ง) </v>
      </c>
    </row>
    <row r="430">
      <c r="A430" s="1" t="s">
        <v>1005</v>
      </c>
      <c r="C430" s="2" t="str">
        <f>HYPERLINK("http://4sq.com/J4waiR","PTT Maehongson ")</f>
        <v>PTT Maehongson </v>
      </c>
    </row>
    <row r="431">
      <c r="A431" s="1" t="s">
        <v>1006</v>
      </c>
      <c r="C431" s="2" t="str">
        <f>HYPERLINK("http://4sq.com/1J6qvKD","Weak Point Transboundry Checkpoint ")</f>
        <v>Weak Point Transboundry Checkpoint </v>
      </c>
    </row>
    <row r="432">
      <c r="A432" s="1" t="s">
        <v>1007</v>
      </c>
      <c r="C432" s="2" t="str">
        <f>HYPERLINK("http://4sq.com/19X0Hg6","Pang Tong Palace ")</f>
        <v>Pang Tong Palace </v>
      </c>
    </row>
    <row r="433">
      <c r="A433" s="1" t="s">
        <v>1008</v>
      </c>
      <c r="C433" s="2" t="str">
        <f>HYPERLINK("http://4sq.com/eevXYw","PTT ปางมะผ้า ")</f>
        <v>PTT ปางมะผ้า </v>
      </c>
    </row>
    <row r="434">
      <c r="A434" s="1" t="s">
        <v>1009</v>
      </c>
      <c r="C434" s="2" t="str">
        <f>HYPERLINK("http://4sq.com/d7UfAw","จุดชมวิว ดอยกิ่วลม | Doi Kiew Lom ")</f>
        <v>จุดชมวิว ดอยกิ่วลม | Doi Kiew Lom </v>
      </c>
    </row>
    <row r="435">
      <c r="A435" s="1" t="s">
        <v>1010</v>
      </c>
      <c r="C435" s="2" t="str">
        <f>HYPERLINK("http://4sq.com/1nmYvJJ","661 Foods &amp; Crafts ")</f>
        <v>661 Foods &amp; Crafts </v>
      </c>
    </row>
    <row r="436">
      <c r="A436" s="1" t="s">
        <v>1011</v>
      </c>
      <c r="C436" s="2" t="str">
        <f>HYPERLINK("http://4sq.com/mNtm2L","32 Coffee Hill ")</f>
        <v>32 Coffee Hill </v>
      </c>
    </row>
    <row r="437">
      <c r="A437" s="1" t="s">
        <v>1012</v>
      </c>
      <c r="C437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438">
      <c r="A438" s="1" t="s">
        <v>1013</v>
      </c>
      <c r="C438" s="2" t="str">
        <f>HYPERLINK("http://4sq.com/1bN4hLx","ไอดินกลิ่นครก (I Din Klin Krok) ")</f>
        <v>ไอดินกลิ่นครก (I Din Klin Krok) </v>
      </c>
    </row>
    <row r="439">
      <c r="A439" s="1" t="s">
        <v>1014</v>
      </c>
      <c r="C439" s="2" t="str">
        <f>HYPERLINK("http://4sq.com/dhkOHN","แป้นเกล็ด คอฟฟี่ | Pankled Coffee ")</f>
        <v>แป้นเกล็ด คอฟฟี่ | Pankled Coffee </v>
      </c>
    </row>
    <row r="440">
      <c r="A440" s="1" t="s">
        <v>1015</v>
      </c>
      <c r="C440" s="2" t="str">
        <f>HYPERLINK("http://4sq.com/1gv9au9","BeBe Spice ")</f>
        <v>BeBe Spice </v>
      </c>
    </row>
    <row r="441">
      <c r="A441" s="1" t="s">
        <v>1016</v>
      </c>
      <c r="C441" s="2" t="str">
        <f>HYPERLINK("http://4sq.com/XphqRU","Cafecito (คาเฟซิโต้) ")</f>
        <v>Cafecito (คาเฟซิโต้) </v>
      </c>
    </row>
    <row r="442">
      <c r="A442" s="1" t="s">
        <v>1017</v>
      </c>
      <c r="C442" s="2" t="str">
        <f>HYPERLINK("http://4sq.com/dveHi1","ขนมจีนนั่งยอง ")</f>
        <v>ขนมจีนนั่งยอง </v>
      </c>
    </row>
    <row r="443">
      <c r="A443" s="1" t="s">
        <v>1018</v>
      </c>
      <c r="C443" s="2" t="str">
        <f>HYPERLINK("http://4sq.com/XphqRU","Cafecito (คาเฟซิโต้) ")</f>
        <v>Cafecito (คาเฟซิโต้) </v>
      </c>
    </row>
    <row r="444">
      <c r="A444" s="1" t="s">
        <v>1019</v>
      </c>
      <c r="C444" s="2" t="str">
        <f>HYPERLINK("http://4sq.com/dW98v9","Puripai Villa (ภูริปายวิลล่า) ")</f>
        <v>Puripai Villa (ภูริปายวิลล่า) </v>
      </c>
    </row>
    <row r="445">
      <c r="A445" s="1" t="s">
        <v>1020</v>
      </c>
      <c r="C445" s="2" t="str">
        <f>HYPERLINK("http://4sq.com/13sYHzW","Village Farm ")</f>
        <v>Village Farm </v>
      </c>
    </row>
    <row r="446">
      <c r="A446" s="1" t="s">
        <v>1021</v>
      </c>
      <c r="C446" s="2" t="str">
        <f>HYPERLINK("http://4sq.com/du7RqO","Buffalo Bar ")</f>
        <v>Buffalo Bar </v>
      </c>
    </row>
    <row r="447">
      <c r="A447" s="1" t="s">
        <v>1022</v>
      </c>
      <c r="C447" s="2" t="str">
        <f>HYPERLINK("http://4sq.com/XphqRU","Cafecito (คาเฟซิโต้) ")</f>
        <v>Cafecito (คาเฟซิโต้) </v>
      </c>
    </row>
    <row r="448">
      <c r="A448" s="1" t="s">
        <v>1023</v>
      </c>
      <c r="C448" s="2" t="str">
        <f>HYPERLINK("http://4sq.com/vGaxwO","PT ")</f>
        <v>PT </v>
      </c>
    </row>
    <row r="449">
      <c r="A449" s="1" t="s">
        <v>1024</v>
      </c>
      <c r="C449" s="2" t="str">
        <f>HYPERLINK("http://4sq.com/NpFcbr","Piranha Park ")</f>
        <v>Piranha Park </v>
      </c>
    </row>
    <row r="450">
      <c r="A450" s="1" t="s">
        <v>1025</v>
      </c>
      <c r="C450" s="2" t="str">
        <f>HYPERLINK("http://4sq.com/cgZcrL","Edible Jazz Bar ")</f>
        <v>Edible Jazz Bar </v>
      </c>
    </row>
    <row r="451">
      <c r="A451" s="1" t="s">
        <v>1026</v>
      </c>
      <c r="C451" s="2" t="str">
        <f>HYPERLINK("http://4sq.com/uU597b","Baa Baa Black Cafe ")</f>
        <v>Baa Baa Black Cafe </v>
      </c>
    </row>
    <row r="452">
      <c r="A452" s="1" t="s">
        <v>1027</v>
      </c>
      <c r="C452" s="2" t="str">
        <f>HYPERLINK("http://4sq.com/10fk945","Elephant Poopoopaper Park ")</f>
        <v>Elephant Poopoopaper Park 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" t="s">
        <v>1028</v>
      </c>
      <c r="C1" s="2" t="str">
        <f>HYPERLINK("http://4sq.com/amzSVo","ริมปิง (Rimping Supermarket) ")</f>
        <v>ริมปิง (Rimping Supermarket)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" t="s">
        <v>1029</v>
      </c>
      <c r="C2" s="2" t="str">
        <f>HYPERLINK("http://4sq.com/9dAeh7","Boat (โบ๊ต) ")</f>
        <v>Boat (โบ๊ต) </v>
      </c>
      <c r="F2" s="8" t="str">
        <f t="shared" ref="F2:H2" si="1">INDEX(A:C, RANDBETWEEN(1, ROWS(2:117)), RANDBETWEEN(1, COLUMNS(C:C)))</f>
        <v>April 04, 2015 at 06:48PM</v>
      </c>
      <c r="G2" s="8" t="str">
        <f t="shared" si="1"/>
        <v/>
      </c>
      <c r="H2" s="10" t="str">
        <f t="shared" si="1"/>
        <v>Namsaah Bottling Trust </v>
      </c>
      <c r="I2" s="11" t="str">
        <f t="array" ref="I2">INDEX(C:C, RANDBETWEEN(1, ROWS(1:116)), RANDBETWEEN(1, COLUMNS(C:C)))</f>
        <v>Chu Chocolate Bar &amp; Café </v>
      </c>
      <c r="J2" s="8" t="str">
        <f>CONCATENATE(F2," ",H2)</f>
        <v>April 04, 2015 at 06:48PM Namsaah Bottling Trust </v>
      </c>
    </row>
    <row r="3">
      <c r="A3" s="1" t="s">
        <v>1030</v>
      </c>
      <c r="C3" s="2" t="str">
        <f>HYPERLINK("http://4sq.com/ak6Puz","อิ่มสุข (ImSook) ")</f>
        <v>อิ่มสุข (ImSook) </v>
      </c>
    </row>
    <row r="4">
      <c r="A4" s="1" t="s">
        <v>1031</v>
      </c>
      <c r="C4" s="2" t="str">
        <f>HYPERLINK("http://4sq.com/dI7wwO","iberry Garden (ไอเบอร์รี่ การ์เด้น) ")</f>
        <v>iberry Garden (ไอเบอร์รี่ การ์เด้น) </v>
      </c>
    </row>
    <row r="5">
      <c r="A5" s="1" t="s">
        <v>1032</v>
      </c>
      <c r="C5" s="2" t="str">
        <f>HYPERLINK("http://4sq.com/1DTJjwI","สำนักสงฆ์ขุนช่างเคี่ยน ")</f>
        <v>สำนักสงฆ์ขุนช่างเคี่ยน </v>
      </c>
    </row>
    <row r="6">
      <c r="A6" s="1" t="s">
        <v>1033</v>
      </c>
      <c r="C6" s="2" t="str">
        <f>HYPERLINK("http://4sq.com/co3YC5","โรงพยาบาลลานนา (Lanna Hospital) ")</f>
        <v>โรงพยาบาลลานนา (Lanna Hospital) </v>
      </c>
    </row>
    <row r="7">
      <c r="A7" s="1" t="s">
        <v>1034</v>
      </c>
      <c r="C7" s="2" t="str">
        <f>HYPERLINK("http://4sq.com/9QlUf2","Tesco Lotus (เทสโก้ โลตัส) ")</f>
        <v>Tesco Lotus (เทสโก้ โลตัส) </v>
      </c>
    </row>
    <row r="8">
      <c r="A8" s="1" t="s">
        <v>1035</v>
      </c>
      <c r="C8" s="2" t="str">
        <f>HYPERLINK("http://4sq.com/9bKJN3","มิ่งเมือง (Ming Muang) ")</f>
        <v>มิ่งเมือง (Ming Muang) </v>
      </c>
    </row>
    <row r="9">
      <c r="A9" s="1" t="s">
        <v>1036</v>
      </c>
      <c r="C9" s="2" t="str">
        <f>HYPERLINK("http://4sq.com/176SWpM","Coffee Villa (คอฟฟี่วิลล่า) ")</f>
        <v>Coffee Villa (คอฟฟี่วิลล่า) </v>
      </c>
    </row>
    <row r="10">
      <c r="A10" s="1" t="s">
        <v>1037</v>
      </c>
      <c r="C10" s="2" t="str">
        <f>HYPERLINK("http://4sq.com/UmGJIJ","Late'Garden ")</f>
        <v>Late'Garden </v>
      </c>
    </row>
    <row r="11">
      <c r="A11" s="1" t="s">
        <v>1038</v>
      </c>
      <c r="C11" s="2" t="str">
        <f>HYPERLINK("http://4sq.com/1gjcHQu","David's Kitchen at 909 (DK at 909) ")</f>
        <v>David's Kitchen at 909 (DK at 909) </v>
      </c>
    </row>
    <row r="12">
      <c r="A12" s="1" t="s">
        <v>1039</v>
      </c>
      <c r="C12" s="2" t="str">
        <f>HYPERLINK("http://4sq.com/rZWFpJ","ข้าวเม่าข้าวฟ่าง (Khaomao-Khaofang) ")</f>
        <v>ข้าวเม่าข้าวฟ่าง (Khaomao-Khaofang) </v>
      </c>
    </row>
    <row r="13">
      <c r="A13" s="1" t="s">
        <v>1040</v>
      </c>
      <c r="C13" s="2" t="str">
        <f>HYPERLINK("http://4sq.com/a6bcUk","Smoothie Blues ")</f>
        <v>Smoothie Blues </v>
      </c>
    </row>
    <row r="14">
      <c r="A14" s="1" t="s">
        <v>1041</v>
      </c>
      <c r="C14" s="2" t="str">
        <f>HYPERLINK("http://4sq.com/dWKox6","กสิกรไทย สาขาแม่ริม ")</f>
        <v>กสิกรไทย สาขาแม่ริม </v>
      </c>
    </row>
    <row r="15">
      <c r="A15" s="1" t="s">
        <v>1042</v>
      </c>
      <c r="C15" s="2" t="str">
        <f>HYPERLINK("http://4sq.com/f3823M","ร้านอาหารกาแล (Kalae Restaurant) ")</f>
        <v>ร้านอาหารกาแล (Kalae Restaurant) </v>
      </c>
    </row>
    <row r="16">
      <c r="A16" s="1" t="s">
        <v>1043</v>
      </c>
      <c r="C16" s="2" t="str">
        <f>HYPERLINK("http://4sq.com/fd4OwR","ปางช้างแม่สา (Maesa Elephant Camp) ")</f>
        <v>ปางช้างแม่สา (Maesa Elephant Camp) </v>
      </c>
    </row>
    <row r="17">
      <c r="A17" s="1" t="s">
        <v>1044</v>
      </c>
      <c r="C17" s="2" t="str">
        <f>HYPERLINK("http://4sq.com/hE3HXR","LPN Saphan-kwai ")</f>
        <v>LPN Saphan-kwai </v>
      </c>
    </row>
    <row r="18">
      <c r="A18" s="1" t="s">
        <v>1045</v>
      </c>
      <c r="C18" s="2" t="str">
        <f>HYPERLINK("http://4sq.com/1BXsuw4","PaperButter &amp; The Burger ")</f>
        <v>PaperButter &amp; The Burger </v>
      </c>
    </row>
    <row r="19">
      <c r="A19" s="1" t="s">
        <v>1046</v>
      </c>
      <c r="C19" s="2" t="str">
        <f>HYPERLINK("http://4sq.com/9PKyFR","Q.House Ploenchit (คิวเฮ้าส์ เพลินจิต) ")</f>
        <v>Q.House Ploenchit (คิวเฮ้าส์ เพลินจิต) </v>
      </c>
    </row>
    <row r="20">
      <c r="A20" s="1" t="s">
        <v>1047</v>
      </c>
      <c r="C20" s="2" t="str">
        <f>HYPERLINK("http://4sq.com/c6PtsB","Fortune Tower ")</f>
        <v>Fortune Tower </v>
      </c>
    </row>
    <row r="21">
      <c r="A21" s="1" t="s">
        <v>1048</v>
      </c>
      <c r="C21" s="2" t="str">
        <f>HYPERLINK("http://4sq.com/nwCOdy","The Attitude ")</f>
        <v>The Attitude </v>
      </c>
    </row>
    <row r="22">
      <c r="A22" s="1" t="s">
        <v>1049</v>
      </c>
      <c r="C22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23">
      <c r="A23" s="1" t="s">
        <v>1050</v>
      </c>
      <c r="B23" s="1" t="s">
        <v>1051</v>
      </c>
      <c r="C23" s="2" t="str">
        <f>HYPERLINK("http://4sq.com/drvWKR","The First Church of Chiang Mai โบสถ์คริสตจักรที่ 1 เชียงใหม่ ")</f>
        <v>The First Church of Chiang Mai โบสถ์คริสตจักรที่ 1 เชียงใหม่ </v>
      </c>
    </row>
    <row r="24">
      <c r="A24" s="1" t="s">
        <v>1052</v>
      </c>
      <c r="C24" s="2" t="str">
        <f>HYPERLINK("http://4sq.com/aCUYYO","The Duke's (เดอะดุ๊ก) ")</f>
        <v>The Duke's (เดอะดุ๊ก) </v>
      </c>
    </row>
    <row r="25">
      <c r="A25" s="1" t="s">
        <v>1053</v>
      </c>
      <c r="C25" s="2" t="str">
        <f>HYPERLINK("http://4sq.com/dvqkdw","Mad Dog Pizza ")</f>
        <v>Mad Dog Pizza </v>
      </c>
    </row>
    <row r="26">
      <c r="A26" s="1" t="s">
        <v>1054</v>
      </c>
      <c r="C26" s="2" t="str">
        <f>HYPERLINK("http://4sq.com/njlKQf","ไร่แม่เหียะ ")</f>
        <v>ไร่แม่เหียะ </v>
      </c>
    </row>
    <row r="27">
      <c r="A27" s="1" t="s">
        <v>1055</v>
      </c>
      <c r="C27" s="2" t="str">
        <f>HYPERLINK("http://4sq.com/hWGsEe","Kelly's Bistro ")</f>
        <v>Kelly's Bistro </v>
      </c>
    </row>
    <row r="28">
      <c r="A28" s="1" t="s">
        <v>1056</v>
      </c>
      <c r="C28" s="2" t="str">
        <f>HYPERLINK("http://4sq.com/VuG5rl","Steak Of The Day ")</f>
        <v>Steak Of The Day </v>
      </c>
    </row>
    <row r="29">
      <c r="A29" s="1" t="s">
        <v>1057</v>
      </c>
      <c r="C29" s="2" t="str">
        <f>HYPERLINK("http://4sq.com/uU597b","Baa Baa Black Cafe ")</f>
        <v>Baa Baa Black Cafe </v>
      </c>
    </row>
    <row r="30">
      <c r="A30" s="1" t="s">
        <v>1058</v>
      </c>
      <c r="C30" s="2" t="str">
        <f t="shared" ref="C30:C31" si="2">HYPERLINK("http://4sq.com/VuG5rl","Steak Of The Day ")</f>
        <v>Steak Of The Day </v>
      </c>
    </row>
    <row r="31">
      <c r="A31" s="1" t="s">
        <v>1059</v>
      </c>
      <c r="C31" s="2" t="str">
        <f t="shared" si="2"/>
        <v>Steak Of The Day </v>
      </c>
    </row>
    <row r="32">
      <c r="A32" s="1" t="s">
        <v>1060</v>
      </c>
      <c r="C32" s="2" t="str">
        <f>HYPERLINK("http://4sq.com/IFAMLM","Kireethara Wine Bar &amp; Restaurant ")</f>
        <v>Kireethara Wine Bar &amp; Restaurant </v>
      </c>
    </row>
    <row r="33">
      <c r="A33" s="1" t="s">
        <v>1061</v>
      </c>
      <c r="C33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34">
      <c r="A34" s="1" t="s">
        <v>1062</v>
      </c>
      <c r="C3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35">
      <c r="A35" s="1" t="s">
        <v>1063</v>
      </c>
      <c r="C35" s="2" t="str">
        <f>HYPERLINK("http://4sq.com/aAoZyf","กองบังคับการตรวจคนเข้าเมือง 1 (Immigration Division 1) ")</f>
        <v>กองบังคับการตรวจคนเข้าเมือง 1 (Immigration Division 1) </v>
      </c>
    </row>
    <row r="36">
      <c r="A36" s="1" t="s">
        <v>1064</v>
      </c>
      <c r="C36" s="2" t="str">
        <f>HYPERLINK("http://4sq.com/dHtrBN","ร้านส้มตำนครนายก@โครงการเคหะชุมชนหลักสี่ ")</f>
        <v>ร้านส้มตำนครนายก@โครงการเคหะชุมชนหลักสี่ </v>
      </c>
    </row>
    <row r="37">
      <c r="A37" s="1" t="s">
        <v>1065</v>
      </c>
      <c r="C37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38">
      <c r="A38" s="1" t="s">
        <v>1066</v>
      </c>
      <c r="C38" s="2" t="str">
        <f>HYPERLINK("http://4sq.com/rq8arS","ไฮโซล้านนาㅣHiso Lanna ")</f>
        <v>ไฮโซล้านนาㅣHiso Lanna </v>
      </c>
    </row>
    <row r="39">
      <c r="A39" s="1" t="s">
        <v>1067</v>
      </c>
      <c r="C39" s="2" t="str">
        <f>HYPERLINK("http://4sq.com/I28LVE","Café de Oasis (คาเฟ่ เดอ โอเอซิส) ")</f>
        <v>Café de Oasis (คาเฟ่ เดอ โอเอซิส) </v>
      </c>
    </row>
    <row r="40">
      <c r="A40" s="1" t="s">
        <v>1068</v>
      </c>
      <c r="C40" s="2" t="str">
        <f>HYPERLINK("http://4sq.com/a6bcUk","Smoothie Blues ")</f>
        <v>Smoothie Blues </v>
      </c>
    </row>
    <row r="41">
      <c r="A41" s="1" t="s">
        <v>1069</v>
      </c>
      <c r="C41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42">
      <c r="A42" s="1" t="s">
        <v>1070</v>
      </c>
      <c r="C42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43">
      <c r="A43" s="1" t="s">
        <v>1071</v>
      </c>
      <c r="C43" s="2" t="str">
        <f>HYPERLINK("http://4sq.com/1bLmZrO","Superbdog Soi 53 ")</f>
        <v>Superbdog Soi 53 </v>
      </c>
    </row>
    <row r="44">
      <c r="A44" s="1" t="s">
        <v>1072</v>
      </c>
      <c r="C44" s="2" t="str">
        <f>HYPERLINK("http://4sq.com/1oYzaWH","Fish &amp; Ship ")</f>
        <v>Fish &amp; Ship </v>
      </c>
    </row>
    <row r="45">
      <c r="A45" s="1" t="s">
        <v>1073</v>
      </c>
      <c r="C45" s="2" t="str">
        <f>HYPERLINK("http://4sq.com/rQfz4L","Starbucks (สตาร์บัคส์) ")</f>
        <v>Starbucks (สตาร์บัคส์) </v>
      </c>
    </row>
    <row r="46">
      <c r="A46" s="1" t="s">
        <v>1074</v>
      </c>
      <c r="C46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47">
      <c r="A47" s="1" t="s">
        <v>1075</v>
      </c>
      <c r="C47" s="2" t="str">
        <f>HYPERLINK("http://4sq.com/1loF650","Catmosphere Cat Café ")</f>
        <v>Catmosphere Cat Café </v>
      </c>
    </row>
    <row r="48">
      <c r="A48" s="1" t="s">
        <v>1076</v>
      </c>
      <c r="C48" s="2" t="str">
        <f>HYPERLINK("http://4sq.com/1g8wZw0","สวนโอขิ สวนองุ่น ")</f>
        <v>สวนโอขิ สวนองุ่น </v>
      </c>
    </row>
    <row r="49">
      <c r="A49" s="1" t="s">
        <v>1077</v>
      </c>
      <c r="C49" s="2" t="str">
        <f>HYPERLINK("http://4sq.com/shlEMR","Terraces ")</f>
        <v>Terraces </v>
      </c>
    </row>
    <row r="50">
      <c r="A50" s="1" t="s">
        <v>1078</v>
      </c>
      <c r="C50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51">
      <c r="A51" s="1" t="s">
        <v>1079</v>
      </c>
      <c r="C51" s="2" t="str">
        <f>HYPERLINK("http://4sq.com/1llaXZg","Rock Me Burger &amp; Bar ")</f>
        <v>Rock Me Burger &amp; Bar </v>
      </c>
    </row>
    <row r="52">
      <c r="A52" s="1" t="s">
        <v>1080</v>
      </c>
      <c r="C52" s="2" t="str">
        <f>HYPERLINK("http://4sq.com/shlEMR","Terraces ")</f>
        <v>Terraces </v>
      </c>
    </row>
    <row r="53">
      <c r="A53" s="1" t="s">
        <v>1081</v>
      </c>
      <c r="C53" s="2" t="str">
        <f>HYPERLINK("http://4sq.com/1nqEUD6","Subway ")</f>
        <v>Subway </v>
      </c>
    </row>
    <row r="54">
      <c r="A54" s="1" t="s">
        <v>1082</v>
      </c>
      <c r="C54" s="2" t="str">
        <f>HYPERLINK("http://4sq.com/1GjmLUZ","Pizza Pasta by Simon ")</f>
        <v>Pizza Pasta by Simon </v>
      </c>
    </row>
    <row r="55">
      <c r="A55" s="1" t="s">
        <v>1083</v>
      </c>
      <c r="C55" s="2" t="str">
        <f>HYPERLINK("http://4sq.com/ZMwMsU","Betta House ")</f>
        <v>Betta House </v>
      </c>
    </row>
    <row r="56">
      <c r="A56" s="1" t="s">
        <v>1084</v>
      </c>
      <c r="C56" s="2" t="str">
        <f>HYPERLINK("http://4sq.com/ifmErl","ปตท. (PTT) ")</f>
        <v>ปตท. (PTT) </v>
      </c>
    </row>
    <row r="57">
      <c r="A57" s="1" t="s">
        <v>1085</v>
      </c>
      <c r="C57" s="2" t="str">
        <f>HYPERLINK("http://4sq.com/1GjmLUZ","Pizza Pasta by Simon ")</f>
        <v>Pizza Pasta by Simon </v>
      </c>
    </row>
    <row r="58">
      <c r="A58" s="1" t="s">
        <v>1086</v>
      </c>
      <c r="C58" s="2" t="str">
        <f>HYPERLINK("http://4sq.com/1CEqIhb","Big Daddy's Diner ")</f>
        <v>Big Daddy's Diner </v>
      </c>
    </row>
    <row r="59">
      <c r="A59" s="1" t="s">
        <v>1087</v>
      </c>
      <c r="C59" s="2" t="str">
        <f>HYPERLINK("http://4sq.com/12sdq5n","Kachangthong ")</f>
        <v>Kachangthong </v>
      </c>
    </row>
    <row r="60">
      <c r="A60" s="1" t="s">
        <v>1088</v>
      </c>
      <c r="C60" s="2" t="str">
        <f>HYPERLINK("http://4sq.com/af5qUU","กระชังทอง (Krachang Tong) ")</f>
        <v>กระชังทอง (Krachang Tong) </v>
      </c>
    </row>
    <row r="61">
      <c r="A61" s="1" t="s">
        <v>1089</v>
      </c>
      <c r="C61" s="2" t="str">
        <f>HYPERLINK("http://4sq.com/1GjmLUZ","Pizza Pasta by Simon ")</f>
        <v>Pizza Pasta by Simon </v>
      </c>
    </row>
    <row r="62">
      <c r="A62" s="1" t="s">
        <v>1090</v>
      </c>
      <c r="C62" s="2" t="str">
        <f>HYPERLINK("http://4sq.com/p8J1iG","ไปรษณีย์แม่ริม ")</f>
        <v>ไปรษณีย์แม่ริม </v>
      </c>
    </row>
    <row r="63">
      <c r="A63" s="1" t="s">
        <v>1091</v>
      </c>
      <c r="C63" s="2" t="str">
        <f>HYPERLINK("http://4sq.com/1CEqIhb","Big Daddy's Diner ")</f>
        <v>Big Daddy's Diner </v>
      </c>
    </row>
    <row r="64">
      <c r="A64" s="1" t="s">
        <v>1092</v>
      </c>
      <c r="C64" s="2" t="str">
        <f>HYPERLINK("http://4sq.com/VuG5rl","Steak Of The Day ")</f>
        <v>Steak Of The Day </v>
      </c>
    </row>
    <row r="65">
      <c r="A65" s="1" t="s">
        <v>1093</v>
      </c>
      <c r="C65" s="2" t="str">
        <f>HYPERLINK("http://4sq.com/cJ3qyP","HomePro (โฮมโปร) ")</f>
        <v>HomePro (โฮมโปร) </v>
      </c>
    </row>
    <row r="66">
      <c r="A66" s="1" t="s">
        <v>1094</v>
      </c>
      <c r="B66" s="1" t="s">
        <v>1095</v>
      </c>
      <c r="C66" s="2" t="str">
        <f>HYPERLINK("http://4sq.com/1CEqIhb","Big Daddy's Diner ")</f>
        <v>Big Daddy's Diner </v>
      </c>
    </row>
    <row r="67">
      <c r="A67" s="1" t="s">
        <v>1096</v>
      </c>
      <c r="C67" s="2" t="str">
        <f>HYPERLINK("http://4sq.com/kfr0mh","ศูนย์การเรียนรู้เศรษฐกิจพอเพียง ")</f>
        <v>ศูนย์การเรียนรู้เศรษฐกิจพอเพียง </v>
      </c>
    </row>
    <row r="68">
      <c r="A68" s="1" t="s">
        <v>1097</v>
      </c>
      <c r="C68" s="2" t="str">
        <f>HYPERLINK("http://4sq.com/uU597b","Baa Baa Black Cafe ")</f>
        <v>Baa Baa Black Cafe </v>
      </c>
    </row>
    <row r="69">
      <c r="A69" s="1" t="s">
        <v>1098</v>
      </c>
      <c r="C69" s="2" t="str">
        <f>HYPERLINK("http://4sq.com/1bD7gWe","โรงพยาบาลกรุงเทพเชียงใหม่ (Bangkok Hospital Chiang Mai) ")</f>
        <v>โรงพยาบาลกรุงเทพเชียงใหม่ (Bangkok Hospital Chiang Mai) </v>
      </c>
    </row>
    <row r="70">
      <c r="A70" s="1" t="s">
        <v>1099</v>
      </c>
      <c r="C70" s="2" t="str">
        <f t="shared" ref="C70:C71" si="3"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71">
      <c r="A71" s="1" t="s">
        <v>1100</v>
      </c>
      <c r="B71" s="1" t="s">
        <v>1101</v>
      </c>
      <c r="C71" s="2" t="str">
        <f t="shared" si="3"/>
        <v>Chiang Mai International Airport (CNX) ท่าอากาศยานเชียงใหม่ </v>
      </c>
    </row>
    <row r="72">
      <c r="A72" s="1" t="s">
        <v>1102</v>
      </c>
      <c r="B72" s="1" t="s">
        <v>1101</v>
      </c>
      <c r="C72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73">
      <c r="A73" s="1" t="s">
        <v>1103</v>
      </c>
      <c r="B73" s="1" t="s">
        <v>1101</v>
      </c>
      <c r="C73" s="2" t="str">
        <f>HYPERLINK("http://4sq.com/fqH930","Belle Grand Rama IX (เบลล์ แกรนด์ พระราม 9) ")</f>
        <v>Belle Grand Rama IX (เบลล์ แกรนด์ พระราม 9) </v>
      </c>
    </row>
    <row r="74">
      <c r="A74" s="1" t="s">
        <v>1104</v>
      </c>
      <c r="B74" s="1" t="s">
        <v>1101</v>
      </c>
      <c r="C74" s="2" t="str">
        <f>HYPERLINK("http://4sq.com/KiRFUo","1881 by Water Library ")</f>
        <v>1881 by Water Library </v>
      </c>
    </row>
    <row r="75">
      <c r="A75" s="1" t="s">
        <v>1105</v>
      </c>
      <c r="B75" s="1" t="s">
        <v>1101</v>
      </c>
      <c r="C75" s="2" t="str">
        <f>HYPERLINK("http://4sq.com/1pM0dpg","Namsaah Bottling Trust ")</f>
        <v>Namsaah Bottling Trust </v>
      </c>
    </row>
    <row r="76">
      <c r="A76" s="1" t="s">
        <v>1106</v>
      </c>
      <c r="B76" s="1" t="s">
        <v>1101</v>
      </c>
      <c r="C76" s="2" t="str">
        <f>HYPERLINK("http://4sq.com/914VXz","Crystal Design Center (CDC) คริสตัล ดีไซน์ เซ็นเตอร์ ")</f>
        <v>Crystal Design Center (CDC) คริสตัล ดีไซน์ เซ็นเตอร์ </v>
      </c>
    </row>
    <row r="77">
      <c r="A77" s="1" t="s">
        <v>1107</v>
      </c>
      <c r="B77" s="1" t="s">
        <v>1101</v>
      </c>
      <c r="C77" s="2" t="str">
        <f>HYPERLINK("http://4sq.com/blbLwn","Cheesecake House (ชีสเค้กเฮ้าส์) ")</f>
        <v>Cheesecake House (ชีสเค้กเฮ้าส์) </v>
      </c>
    </row>
    <row r="78">
      <c r="A78" s="1" t="s">
        <v>1108</v>
      </c>
      <c r="B78" s="1" t="s">
        <v>1101</v>
      </c>
      <c r="C78" s="2" t="str">
        <f t="shared" ref="C78:C79" si="4">HYPERLINK("http://4sq.com/aVUyRr","Fortune Town (ฟอร์จูนทาวน์) ")</f>
        <v>Fortune Town (ฟอร์จูนทาวน์) </v>
      </c>
    </row>
    <row r="79">
      <c r="A79" s="1" t="s">
        <v>1109</v>
      </c>
      <c r="B79" s="1" t="s">
        <v>1101</v>
      </c>
      <c r="C79" s="2" t="str">
        <f t="shared" si="4"/>
        <v>Fortune Town (ฟอร์จูนทาวน์) </v>
      </c>
    </row>
    <row r="80">
      <c r="A80" s="1" t="s">
        <v>1110</v>
      </c>
      <c r="B80" s="1" t="s">
        <v>1101</v>
      </c>
      <c r="C80" s="2" t="str">
        <f>HYPERLINK("http://4sq.com/hu621A","Hotel Muse Bangkok ")</f>
        <v>Hotel Muse Bangkok </v>
      </c>
    </row>
    <row r="81">
      <c r="A81" s="1" t="s">
        <v>1111</v>
      </c>
      <c r="B81" s="1" t="s">
        <v>1101</v>
      </c>
      <c r="C81" s="2" t="str">
        <f>HYPERLINK("http://4sq.com/6faMgT","Siam Paragon (สยามพารากอน) ")</f>
        <v>Siam Paragon (สยามพารากอน) </v>
      </c>
    </row>
    <row r="82">
      <c r="A82" s="1" t="s">
        <v>1112</v>
      </c>
      <c r="B82" s="1" t="s">
        <v>1101</v>
      </c>
      <c r="C82" s="2" t="str">
        <f>HYPERLINK("http://4sq.com/YwHj9E","Kidszania ")</f>
        <v>Kidszania </v>
      </c>
    </row>
    <row r="83">
      <c r="A83" s="1" t="s">
        <v>1113</v>
      </c>
      <c r="B83" s="1" t="s">
        <v>1101</v>
      </c>
      <c r="C83" s="2" t="str">
        <f>HYPERLINK("http://4sq.com/bJbnVG","The Circle Ratchapruk (เดอะเซอร์เคิล ราชพฤกษ์) ")</f>
        <v>The Circle Ratchapruk (เดอะเซอร์เคิล ราชพฤกษ์) </v>
      </c>
    </row>
    <row r="84">
      <c r="A84" s="1" t="s">
        <v>1114</v>
      </c>
      <c r="B84" s="1" t="s">
        <v>1101</v>
      </c>
      <c r="C84" s="2" t="str">
        <f>HYPERLINK("http://4sq.com/1bD7gWe","โรงพยาบาลกรุงเทพเชียงใหม่ (Bangkok Hospital Chiang Mai) ")</f>
        <v>โรงพยาบาลกรุงเทพเชียงใหม่ (Bangkok Hospital Chiang Mai) </v>
      </c>
    </row>
    <row r="85">
      <c r="A85" s="1" t="s">
        <v>1115</v>
      </c>
      <c r="B85" s="1" t="s">
        <v>1101</v>
      </c>
      <c r="C85" s="2" t="str">
        <f>HYPERLINK("http://4sq.com/1nqEUD6","Subway ")</f>
        <v>Subway </v>
      </c>
    </row>
    <row r="86">
      <c r="A86" s="1" t="s">
        <v>1116</v>
      </c>
      <c r="B86" s="1" t="s">
        <v>1101</v>
      </c>
      <c r="C86" s="2" t="str">
        <f>HYPERLINK("http://4sq.com/1GjmLUZ","Pizza Pasta by Simon ")</f>
        <v>Pizza Pasta by Simon </v>
      </c>
    </row>
    <row r="87">
      <c r="A87" s="1" t="s">
        <v>1117</v>
      </c>
      <c r="B87" s="1" t="s">
        <v>1101</v>
      </c>
      <c r="C87" s="2" t="str">
        <f>HYPERLINK("http://4sq.com/1CEqIhb","Big Daddy's Diner ")</f>
        <v>Big Daddy's Diner </v>
      </c>
    </row>
    <row r="88">
      <c r="A88" s="1" t="s">
        <v>1118</v>
      </c>
      <c r="B88" s="1" t="s">
        <v>1101</v>
      </c>
      <c r="C88" s="2" t="str">
        <f>HYPERLINK("http://4sq.com/1iN093h","ก๋วยเตี๋ยวบ้านคุ้ม・ขนมจีน・ข้าวซอย ")</f>
        <v>ก๋วยเตี๋ยวบ้านคุ้ม・ขนมจีน・ข้าวซอย </v>
      </c>
    </row>
    <row r="89">
      <c r="A89" s="1" t="s">
        <v>1119</v>
      </c>
      <c r="B89" s="1" t="s">
        <v>1101</v>
      </c>
      <c r="C89" s="2" t="str">
        <f>HYPERLINK("http://4sq.com/1dK64zS","C.A.M.P. AIS - Creative And Meeting Place (ซี เอ เอ็ม พี) ")</f>
        <v>C.A.M.P. AIS - Creative And Meeting Place (ซี เอ เอ็ม พี) </v>
      </c>
    </row>
    <row r="90">
      <c r="A90" s="1" t="s">
        <v>1120</v>
      </c>
      <c r="B90" s="1" t="s">
        <v>1101</v>
      </c>
      <c r="C90" s="2" t="str">
        <f>HYPERLINK("http://4sq.com/1eCpkTQ","MAYA (เมญ่า) ")</f>
        <v>MAYA (เมญ่า) </v>
      </c>
    </row>
    <row r="91">
      <c r="A91" s="1" t="s">
        <v>1121</v>
      </c>
      <c r="B91" s="1" t="s">
        <v>1101</v>
      </c>
      <c r="C91" s="2" t="str">
        <f>HYPERLINK("http://4sq.com/zYP57p","Mama Mia ")</f>
        <v>Mama Mia </v>
      </c>
    </row>
    <row r="92">
      <c r="A92" s="1" t="s">
        <v>1122</v>
      </c>
      <c r="B92" s="1" t="s">
        <v>1101</v>
      </c>
      <c r="C92" s="2" t="str">
        <f>HYPERLINK("http://4sq.com/qNo7Iy","Beppu Restaurant ")</f>
        <v>Beppu Restaurant </v>
      </c>
    </row>
    <row r="93">
      <c r="A93" s="1" t="s">
        <v>1123</v>
      </c>
      <c r="B93" s="1" t="s">
        <v>1101</v>
      </c>
      <c r="C93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94">
      <c r="A94" s="1" t="s">
        <v>1124</v>
      </c>
      <c r="B94" s="1" t="s">
        <v>1101</v>
      </c>
      <c r="C9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95">
      <c r="A95" s="1" t="s">
        <v>1125</v>
      </c>
      <c r="B95" s="1" t="s">
        <v>1101</v>
      </c>
      <c r="C95" s="2" t="str">
        <f>HYPERLINK("http://4sq.com/hE3HXR","LPN Saphan-kwai ")</f>
        <v>LPN Saphan-kwai </v>
      </c>
    </row>
    <row r="96">
      <c r="A96" s="1" t="s">
        <v>1126</v>
      </c>
      <c r="B96" s="1" t="s">
        <v>1101</v>
      </c>
      <c r="C96" s="2" t="str">
        <f>HYPERLINK("http://4sq.com/Kl2v56","The Game ")</f>
        <v>The Game </v>
      </c>
    </row>
    <row r="97">
      <c r="A97" s="1" t="s">
        <v>1127</v>
      </c>
      <c r="B97" s="1" t="s">
        <v>1101</v>
      </c>
      <c r="C97" s="2" t="str">
        <f>HYPERLINK("http://4sq.com/9xcRFs","The Dubliner Irish Pub ")</f>
        <v>The Dubliner Irish Pub </v>
      </c>
    </row>
    <row r="98">
      <c r="A98" s="1" t="s">
        <v>1128</v>
      </c>
      <c r="B98" s="1" t="s">
        <v>1101</v>
      </c>
      <c r="C98" s="2" t="str">
        <f>HYPERLINK("http://4sq.com/fAWkjh","Chu Chocolate Bar &amp; Café ")</f>
        <v>Chu Chocolate Bar &amp; Café </v>
      </c>
    </row>
    <row r="99">
      <c r="A99" s="1" t="s">
        <v>1129</v>
      </c>
      <c r="B99" s="1" t="s">
        <v>1101</v>
      </c>
      <c r="C99" s="2" t="str">
        <f>HYPERLINK("http://4sq.com/9Mym8J","The Old Dutch ")</f>
        <v>The Old Dutch </v>
      </c>
    </row>
    <row r="100">
      <c r="A100" s="1" t="s">
        <v>1130</v>
      </c>
      <c r="B100" s="1" t="s">
        <v>1101</v>
      </c>
      <c r="C100" s="2" t="str">
        <f>HYPERLINK("http://4sq.com/1qiTSlX","Central Embassy (เซ็นทรัล เอ็มบาสซี) ")</f>
        <v>Central Embassy (เซ็นทรัล เอ็มบาสซี) </v>
      </c>
    </row>
    <row r="101">
      <c r="A101" s="1" t="s">
        <v>1131</v>
      </c>
      <c r="B101" s="1" t="s">
        <v>1101</v>
      </c>
      <c r="C101" s="2" t="str">
        <f>HYPERLINK("http://4sq.com/1iZbTMp","The Coffee Bean &amp; Tea Leaf ")</f>
        <v>The Coffee Bean &amp; Tea Leaf </v>
      </c>
    </row>
    <row r="102">
      <c r="A102" s="1" t="s">
        <v>1132</v>
      </c>
      <c r="B102" s="1" t="s">
        <v>1101</v>
      </c>
      <c r="C102" s="2" t="str">
        <f>HYPERLINK("http://4sq.com/heorPE","Chatrium Residence Bangkok-Sathon ")</f>
        <v>Chatrium Residence Bangkok-Sathon </v>
      </c>
    </row>
    <row r="103">
      <c r="A103" s="1" t="s">
        <v>1133</v>
      </c>
      <c r="B103" s="1" t="s">
        <v>1101</v>
      </c>
      <c r="C103" s="2" t="str">
        <f>HYPERLINK("http://4sq.com/blSKZP","Liberty Plaza ")</f>
        <v>Liberty Plaza </v>
      </c>
    </row>
    <row r="104">
      <c r="A104" s="1" t="s">
        <v>1134</v>
      </c>
      <c r="B104" s="1" t="s">
        <v>1135</v>
      </c>
      <c r="C104" s="2" t="str">
        <f>HYPERLINK("http://4sq.com/1lD2o8v","GAME OVER ")</f>
        <v>GAME OVER </v>
      </c>
    </row>
    <row r="105">
      <c r="A105" s="1" t="s">
        <v>1136</v>
      </c>
      <c r="B105" s="1" t="s">
        <v>1101</v>
      </c>
      <c r="C105" s="2" t="str">
        <f>HYPERLINK("http://4sq.com/1dPFprR","Flann O'Brien's Irish Pub (ฟลาน โอเบรียนส์ ไอริชผับ) ")</f>
        <v>Flann O'Brien's Irish Pub (ฟลาน โอเบรียนส์ ไอริชผับ) </v>
      </c>
    </row>
    <row r="106">
      <c r="A106" s="1" t="s">
        <v>1137</v>
      </c>
      <c r="B106" s="1" t="s">
        <v>1101</v>
      </c>
      <c r="C106" s="2" t="str">
        <f>HYPERLINK("http://4sq.com/acC9bN","ธนาคารกรุงเทพ (Bangkok Bank) ")</f>
        <v>ธนาคารกรุงเทพ (Bangkok Bank) </v>
      </c>
    </row>
    <row r="107">
      <c r="A107" s="1" t="s">
        <v>1138</v>
      </c>
      <c r="B107" s="1" t="s">
        <v>1101</v>
      </c>
      <c r="C107" s="2" t="str">
        <f>HYPERLINK("http://4sq.com/9neU3W","Phaholyothin Place (พหลโยธินเพลส) ")</f>
        <v>Phaholyothin Place (พหลโยธินเพลส) </v>
      </c>
    </row>
    <row r="108">
      <c r="A108" s="1" t="s">
        <v>1139</v>
      </c>
      <c r="B108" s="1" t="s">
        <v>1101</v>
      </c>
      <c r="C108" s="2" t="str">
        <f>HYPERLINK("http://4sq.com/pruPU0","INTOUCH Tower (อินทัชทาวเวอร์) ")</f>
        <v>INTOUCH Tower (อินทัชทาวเวอร์) </v>
      </c>
    </row>
    <row r="109">
      <c r="A109" s="1" t="s">
        <v>1140</v>
      </c>
      <c r="B109" s="1" t="s">
        <v>1101</v>
      </c>
      <c r="C109" s="2" t="str">
        <f>HYPERLINK("http://4sq.com/aszzKt","Sethiwan Tower (เศรษฐีวรรณทาวเวอร์) ")</f>
        <v>Sethiwan Tower (เศรษฐีวรรณทาวเวอร์) </v>
      </c>
    </row>
    <row r="110">
      <c r="A110" s="1" t="s">
        <v>1141</v>
      </c>
      <c r="B110" s="1" t="s">
        <v>1101</v>
      </c>
      <c r="C110" s="2" t="str">
        <f>HYPERLINK("http://4sq.com/1BCxSr4","hotelquickly ")</f>
        <v>hotelquickly </v>
      </c>
    </row>
    <row r="111">
      <c r="A111" s="1" t="s">
        <v>1142</v>
      </c>
      <c r="B111" s="1" t="s">
        <v>1101</v>
      </c>
      <c r="C111" s="2" t="str">
        <f>HYPERLINK("http://4sq.com/PSYgIB","Vesper ")</f>
        <v>Vesper </v>
      </c>
    </row>
    <row r="112">
      <c r="A112" s="1" t="s">
        <v>1143</v>
      </c>
      <c r="B112" s="1" t="s">
        <v>1101</v>
      </c>
      <c r="C112" s="2" t="str">
        <f>HYPERLINK("http://4sq.com/15NFG6O","KU DÉ TA ")</f>
        <v>KU DÉ TA </v>
      </c>
    </row>
    <row r="113">
      <c r="A113" s="1" t="s">
        <v>1144</v>
      </c>
      <c r="B113" s="1" t="s">
        <v>1101</v>
      </c>
      <c r="C113" s="2" t="str">
        <f>HYPERLINK("http://4sq.com/aVUyRr","Fortune Town (ฟอร์จูนทาวน์) ")</f>
        <v>Fortune Town (ฟอร์จูนทาวน์) </v>
      </c>
    </row>
    <row r="114">
      <c r="A114" s="1" t="s">
        <v>1145</v>
      </c>
      <c r="B114" s="1" t="s">
        <v>1101</v>
      </c>
      <c r="C114" s="2" t="str">
        <f>HYPERLINK("http://4sq.com/fAWkjh","Chu Chocolate Bar &amp; Café ")</f>
        <v>Chu Chocolate Bar &amp; Café </v>
      </c>
    </row>
    <row r="115">
      <c r="A115" s="1" t="s">
        <v>1146</v>
      </c>
      <c r="B115" s="1" t="s">
        <v>1101</v>
      </c>
      <c r="C115" s="2" t="str">
        <f>HYPERLINK("http://4sq.com/9re5J6","Night Food Stall Street (ศูนย์อาหาร สุขุมวิทซอย 38) ")</f>
        <v>Night Food Stall Street (ศูนย์อาหาร สุขุมวิทซอย 38) </v>
      </c>
    </row>
    <row r="116">
      <c r="A116" s="1" t="s">
        <v>1147</v>
      </c>
      <c r="B116" s="1" t="s">
        <v>1101</v>
      </c>
      <c r="C116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117">
      <c r="A117" s="1" t="s">
        <v>1148</v>
      </c>
      <c r="B117" s="1" t="s">
        <v>1101</v>
      </c>
      <c r="C117" s="2" t="str">
        <f>HYPERLINK("http://4sq.com/1avBSgL","Coffee Monster ")</f>
        <v>Coffee Monster </v>
      </c>
    </row>
    <row r="118">
      <c r="A118" s="1" t="s">
        <v>1149</v>
      </c>
      <c r="B118" s="1" t="s">
        <v>1101</v>
      </c>
      <c r="C118" s="2" t="str">
        <f>HYPERLINK("http://4sq.com/cs7tXD","พระบรมราชานุสาวรีย์สามกษัตริย์ (Three Kings Monument) ")</f>
        <v>พระบรมราชานุสาวรีย์สามกษัตริย์ (Three Kings Monument) </v>
      </c>
    </row>
    <row r="119">
      <c r="A119" s="1" t="s">
        <v>1150</v>
      </c>
      <c r="B119" s="1" t="s">
        <v>1101</v>
      </c>
      <c r="C119" s="2" t="str">
        <f>HYPERLINK("http://4sq.com/abPeFc","Ginger &amp; Kafé ")</f>
        <v>Ginger &amp; Kafé </v>
      </c>
    </row>
    <row r="120">
      <c r="A120" s="1" t="s">
        <v>1151</v>
      </c>
      <c r="B120" s="1" t="s">
        <v>1101</v>
      </c>
      <c r="C120" s="2" t="str">
        <f>HYPERLINK("http://4sq.com/1351laM","Art in Paradise (พิพิธภัณฑ์ภาพจิตรกรรม 3 มิติ) ")</f>
        <v>Art in Paradise (พิพิธภัณฑ์ภาพจิตรกรรม 3 มิติ) </v>
      </c>
    </row>
    <row r="121">
      <c r="A121" s="1" t="s">
        <v>1152</v>
      </c>
      <c r="B121" s="1" t="s">
        <v>1101</v>
      </c>
      <c r="C121" s="2" t="str">
        <f>HYPERLINK("http://4sq.com/shlEMR","Terraces ")</f>
        <v>Terraces </v>
      </c>
    </row>
    <row r="122">
      <c r="A122" s="1" t="s">
        <v>1153</v>
      </c>
      <c r="B122" s="1" t="s">
        <v>1101</v>
      </c>
      <c r="C122" s="2" t="str">
        <f>HYPERLINK("http://4sq.com/1EZfTgZ","pansawan ")</f>
        <v>pansawan </v>
      </c>
    </row>
    <row r="123">
      <c r="A123" s="1" t="s">
        <v>1154</v>
      </c>
      <c r="B123" s="1" t="s">
        <v>1101</v>
      </c>
      <c r="C123" s="2" t="str">
        <f>HYPERLINK("http://4sq.com/myR2lB","Sala Café (ศาลากาแฟ) ")</f>
        <v>Sala Café (ศาลากาแฟ) </v>
      </c>
    </row>
    <row r="124">
      <c r="A124" s="1" t="s">
        <v>1155</v>
      </c>
      <c r="B124" s="1" t="s">
        <v>1101</v>
      </c>
      <c r="C124" s="2" t="str">
        <f>HYPERLINK("http://4sq.com/1GjmLUZ","Pizza Pasta by Simon ")</f>
        <v>Pizza Pasta by Simon </v>
      </c>
    </row>
    <row r="125">
      <c r="A125" s="1" t="s">
        <v>1156</v>
      </c>
      <c r="B125" s="1" t="s">
        <v>1101</v>
      </c>
      <c r="C125" s="2" t="str">
        <f>HYPERLINK("http://4sq.com/IsHcQ1","Kamonraput Coffee &amp; Restaurant ")</f>
        <v>Kamonraput Coffee &amp; Restaurant </v>
      </c>
    </row>
    <row r="126">
      <c r="A126" s="1" t="s">
        <v>1157</v>
      </c>
      <c r="B126" s="1" t="s">
        <v>1101</v>
      </c>
      <c r="C126" s="2" t="str">
        <f>HYPERLINK("http://4sq.com/1GjmLUZ","Pizza Pasta by Simon ")</f>
        <v>Pizza Pasta by Simon </v>
      </c>
    </row>
    <row r="127">
      <c r="A127" s="1" t="s">
        <v>1158</v>
      </c>
      <c r="B127" s="1" t="s">
        <v>1101</v>
      </c>
      <c r="C127" s="2" t="str">
        <f>HYPERLINK("http://4sq.com/I6iyHA","The River Market | ตลาดแม่น้ำ ")</f>
        <v>The River Market | ตลาดแม่น้ำ </v>
      </c>
    </row>
    <row r="128">
      <c r="A128" s="1" t="s">
        <v>1159</v>
      </c>
      <c r="B128" s="1" t="s">
        <v>1101</v>
      </c>
      <c r="C128" s="2" t="str">
        <f>HYPERLINK("http://4sq.com/9dAeh7","Boat (โบ๊ต) ")</f>
        <v>Boat (โบ๊ต) </v>
      </c>
    </row>
    <row r="129">
      <c r="A129" s="1" t="s">
        <v>1160</v>
      </c>
      <c r="B129" s="1" t="s">
        <v>1101</v>
      </c>
      <c r="C129" s="2" t="str">
        <f>HYPERLINK("http://4sq.com/1eCpkTQ","MAYA (เมญ่า) ")</f>
        <v>MAYA (เมญ่า) </v>
      </c>
    </row>
    <row r="130">
      <c r="A130" s="1" t="s">
        <v>1160</v>
      </c>
      <c r="B130" s="1" t="s">
        <v>1101</v>
      </c>
      <c r="C130" s="2" t="str">
        <f>HYPERLINK("http://4sq.com/MqWX16","AIS Shop | เอไอเอสช้อป ")</f>
        <v>AIS Shop | เอไอเอสช้อป </v>
      </c>
    </row>
    <row r="131">
      <c r="A131" s="1" t="s">
        <v>1161</v>
      </c>
      <c r="B131" s="1" t="s">
        <v>1101</v>
      </c>
      <c r="C131" s="2" t="str">
        <f>HYPERLINK("http://4sq.com/Y4pNIZ","True Office Chiang Mai ")</f>
        <v>True Office Chiang Mai </v>
      </c>
    </row>
    <row r="132">
      <c r="A132" s="1" t="s">
        <v>1162</v>
      </c>
      <c r="B132" s="1" t="s">
        <v>1101</v>
      </c>
      <c r="C132" s="2" t="str">
        <f>HYPERLINK("http://4sq.com/a6bcUk","Smoothie Blues ")</f>
        <v>Smoothie Blues </v>
      </c>
    </row>
    <row r="133">
      <c r="A133" s="1" t="s">
        <v>1163</v>
      </c>
      <c r="B133" s="1" t="s">
        <v>1101</v>
      </c>
      <c r="C133" s="2" t="str">
        <f>HYPERLINK("http://4sq.com/IsHcQ1","Kamonraput Coffee &amp; Restaurant ")</f>
        <v>Kamonraput Coffee &amp; Restaurant </v>
      </c>
    </row>
    <row r="134">
      <c r="A134" s="1" t="s">
        <v>1164</v>
      </c>
      <c r="B134" s="1" t="s">
        <v>1101</v>
      </c>
      <c r="C134" s="2" t="str">
        <f>HYPERLINK("http://4sq.com/darGol","Global House (โกลบอลเฮ้าส์) ")</f>
        <v>Global House (โกลบอลเฮ้าส์) </v>
      </c>
    </row>
    <row r="135">
      <c r="A135" s="1" t="s">
        <v>1165</v>
      </c>
      <c r="B135" s="1" t="s">
        <v>1101</v>
      </c>
      <c r="C135" s="2" t="str">
        <f>HYPERLINK("http://4sq.com/baJ3BQ","Shell (เชลล์) ")</f>
        <v>Shell (เชลล์) </v>
      </c>
    </row>
    <row r="136">
      <c r="A136" s="1" t="s">
        <v>1166</v>
      </c>
      <c r="B136" s="1" t="s">
        <v>1101</v>
      </c>
      <c r="C136" s="2" t="str">
        <f>HYPERLINK("http://4sq.com/bHjqtB","พันธุ์ทิพย์ พลาซ่า เชียงใหม่ (Pantip Plaza Chiangmai) ")</f>
        <v>พันธุ์ทิพย์ พลาซ่า เชียงใหม่ (Pantip Plaza Chiangmai) </v>
      </c>
    </row>
    <row r="137">
      <c r="A137" s="1" t="s">
        <v>1167</v>
      </c>
      <c r="B137" s="1" t="s">
        <v>1101</v>
      </c>
      <c r="C137" s="2" t="str">
        <f>HYPERLINK("http://4sq.com/1nqEUD6","Subway ")</f>
        <v>Subway </v>
      </c>
    </row>
    <row r="138">
      <c r="A138" s="1" t="s">
        <v>1168</v>
      </c>
      <c r="B138" s="1" t="s">
        <v>1101</v>
      </c>
      <c r="C138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139">
      <c r="A139" s="1" t="s">
        <v>1169</v>
      </c>
      <c r="B139" s="1" t="s">
        <v>1170</v>
      </c>
      <c r="C139" s="2" t="str">
        <f>HYPERLINK("http://4sq.com/136RI76","Chi Chang (ชิชาง) ")</f>
        <v>Chi Chang (ชิชาง) </v>
      </c>
    </row>
    <row r="140">
      <c r="A140" s="1" t="s">
        <v>1171</v>
      </c>
      <c r="B140" s="1" t="s">
        <v>1101</v>
      </c>
      <c r="C140" s="2" t="str">
        <f>HYPERLINK("http://4sq.com/9dAeh7","Boat (โบ๊ต) ")</f>
        <v>Boat (โบ๊ต) </v>
      </c>
    </row>
    <row r="141">
      <c r="A141" s="1" t="s">
        <v>1172</v>
      </c>
      <c r="B141" s="1" t="s">
        <v>1101</v>
      </c>
      <c r="C141" s="2" t="str">
        <f>HYPERLINK("http://4sq.com/1GjmLUZ","Pizza Pasta by Simon ")</f>
        <v>Pizza Pasta by Simon </v>
      </c>
    </row>
    <row r="142">
      <c r="A142" s="1" t="s">
        <v>1173</v>
      </c>
      <c r="B142" s="1" t="s">
        <v>1101</v>
      </c>
      <c r="C142" s="2" t="str">
        <f>HYPERLINK("http://4sq.com/1Jlq1Sh","Baan Salad ")</f>
        <v>Baan Salad </v>
      </c>
    </row>
    <row r="143">
      <c r="A143" s="1" t="s">
        <v>1174</v>
      </c>
      <c r="B143" s="1" t="s">
        <v>1101</v>
      </c>
      <c r="C143" s="2" t="str">
        <f>HYPERLINK("http://4sq.com/myR2lB","Sala Café (ศาลากาแฟ) ")</f>
        <v>Sala Café (ศาลากาแฟ) </v>
      </c>
    </row>
    <row r="144">
      <c r="A144" s="1" t="s">
        <v>1175</v>
      </c>
      <c r="B144" s="1" t="s">
        <v>1101</v>
      </c>
      <c r="C144" s="2" t="str">
        <f>HYPERLINK("http://4sq.com/fNR1yP","ปาย 91.5 ")</f>
        <v>ปาย 91.5 </v>
      </c>
    </row>
    <row r="145">
      <c r="A145" s="1" t="s">
        <v>1176</v>
      </c>
      <c r="B145" s="1" t="s">
        <v>1101</v>
      </c>
      <c r="C145" s="2" t="str">
        <f>HYPERLINK("http://4sq.com/1GjmLUZ","Pizza Pasta by Simon ")</f>
        <v>Pizza Pasta by Simon </v>
      </c>
    </row>
    <row r="146">
      <c r="A146" s="1" t="s">
        <v>1177</v>
      </c>
      <c r="B146" s="1" t="s">
        <v>1101</v>
      </c>
      <c r="C146" s="2" t="str">
        <f>HYPERLINK("http://4sq.com/myR2lB","Sala Café (ศาลากาแฟ) ")</f>
        <v>Sala Café (ศาลากาแฟ) </v>
      </c>
    </row>
    <row r="147">
      <c r="A147" s="1" t="s">
        <v>1178</v>
      </c>
      <c r="B147" s="1" t="s">
        <v>1101</v>
      </c>
      <c r="C147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</row>
    <row r="148">
      <c r="A148" s="1" t="s">
        <v>1179</v>
      </c>
      <c r="B148" s="1" t="s">
        <v>1101</v>
      </c>
      <c r="C148" s="2" t="str">
        <f>HYPERLINK("http://4sq.com/gm1HIK","ปตท. (PTT) ")</f>
        <v>ปตท. (PTT) </v>
      </c>
    </row>
    <row r="149">
      <c r="A149" s="1" t="s">
        <v>1180</v>
      </c>
      <c r="B149" s="1" t="s">
        <v>1101</v>
      </c>
      <c r="C149" s="2" t="str">
        <f>HYPERLINK("http://4sq.com/nYeaAD","J2 Hotel (โรงแรมเจทู แม่สอด) ")</f>
        <v>J2 Hotel (โรงแรมเจทู แม่สอด) </v>
      </c>
    </row>
    <row r="150">
      <c r="A150" s="1" t="s">
        <v>1181</v>
      </c>
      <c r="B150" s="1" t="s">
        <v>1101</v>
      </c>
      <c r="C150" s="2" t="str">
        <f>HYPERLINK("http://4sq.com/9NUhp1","Krua Canadian ")</f>
        <v>Krua Canadian </v>
      </c>
    </row>
    <row r="151">
      <c r="A151" s="1" t="s">
        <v>1182</v>
      </c>
      <c r="B151" s="1" t="s">
        <v>1101</v>
      </c>
      <c r="C151" s="2" t="str">
        <f>HYPERLINK("http://4sq.com/nYeaAD","J2 Hotel (โรงแรมเจทู แม่สอด) ")</f>
        <v>J2 Hotel (โรงแรมเจทู แม่สอด) </v>
      </c>
    </row>
    <row r="152">
      <c r="A152" s="1" t="s">
        <v>1183</v>
      </c>
      <c r="B152" s="1" t="s">
        <v>1101</v>
      </c>
      <c r="C152" s="2" t="str">
        <f>HYPERLINK("http://4sq.com/aS5rXB","PTT Measod ")</f>
        <v>PTT Measod </v>
      </c>
    </row>
    <row r="153">
      <c r="A153" s="1" t="s">
        <v>1184</v>
      </c>
      <c r="B153" s="1" t="s">
        <v>1101</v>
      </c>
      <c r="C153" s="2" t="str">
        <f>HYPERLINK("http://4sq.com/1xthec9","ขนมจีนบ้านไม้ ")</f>
        <v>ขนมจีนบ้านไม้ </v>
      </c>
    </row>
    <row r="154">
      <c r="A154" s="1" t="s">
        <v>1185</v>
      </c>
      <c r="B154" s="1" t="s">
        <v>1101</v>
      </c>
      <c r="C154" s="2" t="str">
        <f>HYPERLINK("http://4sq.com/ha9bAM","ปตท. (PTT) ")</f>
        <v>ปตท. (PTT) </v>
      </c>
    </row>
    <row r="155">
      <c r="A155" s="1" t="s">
        <v>1186</v>
      </c>
      <c r="B155" s="1" t="s">
        <v>1101</v>
      </c>
      <c r="C155" s="2" t="str">
        <f>HYPERLINK("http://4sq.com/1eCpkTQ","MAYA (เมญ่า) ")</f>
        <v>MAYA (เมญ่า) </v>
      </c>
    </row>
    <row r="156">
      <c r="A156" s="1" t="s">
        <v>1187</v>
      </c>
      <c r="B156" s="1" t="s">
        <v>1101</v>
      </c>
      <c r="C156" s="2" t="str">
        <f>HYPERLINK("http://4sq.com/1glAL7r","The Duke's MAYA ")</f>
        <v>The Duke's MAYA </v>
      </c>
    </row>
    <row r="157">
      <c r="A157" s="1" t="s">
        <v>1188</v>
      </c>
      <c r="B157" s="1" t="s">
        <v>1101</v>
      </c>
      <c r="C157" s="2" t="str">
        <f>HYPERLINK("http://4sq.com/1Fdh640","Hong Fae / โฮง'แฟ ")</f>
        <v>Hong Fae / โฮง'แฟ </v>
      </c>
    </row>
    <row r="158">
      <c r="A158" s="1" t="s">
        <v>1189</v>
      </c>
      <c r="B158" s="1" t="s">
        <v>1101</v>
      </c>
      <c r="C158" s="2" t="str">
        <f>HYPERLINK("http://4sq.com/eey04s","The Ring ")</f>
        <v>The Ring </v>
      </c>
    </row>
    <row r="159">
      <c r="A159" s="1" t="s">
        <v>1190</v>
      </c>
      <c r="B159" s="1" t="s">
        <v>1101</v>
      </c>
      <c r="C159" s="2" t="str">
        <f>HYPERLINK("http://4sq.com/cTCMbh","ปตท. (PTT Jiffy) ")</f>
        <v>ปตท. (PTT Jiffy) </v>
      </c>
    </row>
    <row r="160">
      <c r="A160" s="1" t="s">
        <v>1191</v>
      </c>
      <c r="B160" s="1" t="s">
        <v>1101</v>
      </c>
      <c r="C160" s="2" t="str">
        <f>HYPERLINK("http://4sq.com/1glAL7r","The Duke's MAYA ")</f>
        <v>The Duke's MAYA </v>
      </c>
    </row>
    <row r="161">
      <c r="A161" s="1" t="s">
        <v>1192</v>
      </c>
      <c r="B161" s="1" t="s">
        <v>1101</v>
      </c>
      <c r="C161" s="2" t="str">
        <f>HYPERLINK("http://4sq.com/dFAgUn","แม่ริมพลาซ่า (Maerim Plaza) ")</f>
        <v>แม่ริมพลาซ่า (Maerim Plaza) </v>
      </c>
    </row>
    <row r="162">
      <c r="A162" s="1" t="s">
        <v>1193</v>
      </c>
      <c r="B162" s="1" t="s">
        <v>1101</v>
      </c>
      <c r="C162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</row>
    <row r="163">
      <c r="A163" s="1" t="s">
        <v>1194</v>
      </c>
      <c r="B163" s="1" t="s">
        <v>1101</v>
      </c>
      <c r="C163" s="2" t="str">
        <f>HYPERLINK("http://4sq.com/ceGBga","สวนสุขภาพ มช. ")</f>
        <v>สวนสุขภาพ มช. </v>
      </c>
    </row>
    <row r="164">
      <c r="A164" s="1" t="s">
        <v>1195</v>
      </c>
      <c r="B164" s="1" t="s">
        <v>1101</v>
      </c>
      <c r="C164" s="2" t="str">
        <f>HYPERLINK("http://4sq.com/ddc64z","Bake &amp; Bite ")</f>
        <v>Bake &amp; Bite </v>
      </c>
    </row>
    <row r="165">
      <c r="A165" s="1" t="s">
        <v>1196</v>
      </c>
      <c r="B165" s="1" t="s">
        <v>1101</v>
      </c>
      <c r="C165" s="2" t="str">
        <f>HYPERLINK("http://4sq.com/hInNp6","Esso (เอสโซ่) ")</f>
        <v>Esso (เอสโซ่) </v>
      </c>
    </row>
    <row r="166">
      <c r="A166" s="1" t="s">
        <v>1197</v>
      </c>
      <c r="B166" s="1" t="s">
        <v>1101</v>
      </c>
      <c r="C166" s="2" t="str">
        <f>HYPERLINK("http://4sq.com/1Jlq1Sh","Baan Salad ")</f>
        <v>Baan Salad </v>
      </c>
    </row>
    <row r="167">
      <c r="A167" s="1" t="s">
        <v>1198</v>
      </c>
      <c r="B167" s="1" t="s">
        <v>1101</v>
      </c>
      <c r="C167" s="2" t="str">
        <f>HYPERLINK("http://4sq.com/1glAL7r","The Duke's MAYA ")</f>
        <v>The Duke's MAYA </v>
      </c>
    </row>
    <row r="168">
      <c r="A168" s="1" t="s">
        <v>1199</v>
      </c>
      <c r="B168" s="1" t="s">
        <v>1101</v>
      </c>
      <c r="C168" s="2" t="str">
        <f>HYPERLINK("http://4sq.com/19MFNPc","baan&amp;BEYOND Home Department Store (บ้านแอนด์บียอนด์) ")</f>
        <v>baan&amp;BEYOND Home Department Store (บ้านแอนด์บียอนด์) </v>
      </c>
    </row>
    <row r="169">
      <c r="A169" s="1" t="s">
        <v>1200</v>
      </c>
      <c r="B169" s="1" t="s">
        <v>1101</v>
      </c>
      <c r="C169" s="2" t="str">
        <f>HYPERLINK("http://4sq.com/I28LVE","Café de Oasis (คาเฟ่ เดอ โอเอซิส) ")</f>
        <v>Café de Oasis (คาเฟ่ เดอ โอเอซิส) </v>
      </c>
    </row>
    <row r="170">
      <c r="A170" s="1" t="s">
        <v>1201</v>
      </c>
      <c r="B170" s="1" t="s">
        <v>1101</v>
      </c>
      <c r="C170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171">
      <c r="A171" s="1" t="s">
        <v>1202</v>
      </c>
      <c r="B171" s="1" t="s">
        <v>1101</v>
      </c>
      <c r="C171" s="2" t="str">
        <f>HYPERLINK("http://4sq.com/1eCpkTQ","MAYA (เมญ่า) ")</f>
        <v>MAYA (เมญ่า) </v>
      </c>
    </row>
    <row r="172">
      <c r="A172" s="1" t="s">
        <v>1203</v>
      </c>
      <c r="B172" s="1" t="s">
        <v>1101</v>
      </c>
      <c r="C172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173">
      <c r="A173" s="1" t="s">
        <v>1203</v>
      </c>
      <c r="B173" s="1" t="s">
        <v>1101</v>
      </c>
      <c r="C173" s="2" t="str">
        <f>HYPERLINK("http://4sq.com/1JMJibe","Chiang Mai Immigration One Stop Service ")</f>
        <v>Chiang Mai Immigration One Stop Service </v>
      </c>
    </row>
    <row r="174">
      <c r="A174" s="1" t="s">
        <v>1204</v>
      </c>
      <c r="B174" s="1" t="s">
        <v>1101</v>
      </c>
      <c r="C174" s="2" t="str">
        <f>HYPERLINK("http://4sq.com/14sMtCZ","Kellys Fish &amp; Chips ")</f>
        <v>Kellys Fish &amp; Chips </v>
      </c>
    </row>
    <row r="175">
      <c r="A175" s="1" t="s">
        <v>1205</v>
      </c>
      <c r="B175" s="1" t="s">
        <v>1101</v>
      </c>
      <c r="C175" s="2" t="str">
        <f>HYPERLINK("http://4sq.com/hFpDnQ","ชมดอยคอนโด (ตึกเหลี่ยม) ")</f>
        <v>ชมดอยคอนโด (ตึกเหลี่ยม) </v>
      </c>
    </row>
    <row r="176">
      <c r="A176" s="1" t="s">
        <v>1206</v>
      </c>
      <c r="B176" s="1" t="s">
        <v>1101</v>
      </c>
      <c r="C176" s="2" t="str">
        <f>HYPERLINK("http://4sq.com/1qbAToo","Myst | มิสท์ ")</f>
        <v>Myst | มิสท์ </v>
      </c>
    </row>
    <row r="177">
      <c r="A177" s="1" t="s">
        <v>1207</v>
      </c>
      <c r="B177" s="1" t="s">
        <v>1101</v>
      </c>
      <c r="C177" s="2" t="str">
        <f>HYPERLINK("http://4sq.com/crBVSU","인천국제공항 (Incheon International Airport - ICN) ")</f>
        <v>인천국제공항 (Incheon International Airport - ICN) </v>
      </c>
    </row>
    <row r="178">
      <c r="A178" s="1" t="s">
        <v>1208</v>
      </c>
      <c r="B178" s="1" t="s">
        <v>1101</v>
      </c>
      <c r="C178" s="2" t="str">
        <f>HYPERLINK("http://4sq.com/1ToZTm","Chicago O'Hare International Airport (ORD) ")</f>
        <v>Chicago O'Hare International Airport (ORD) </v>
      </c>
    </row>
    <row r="179">
      <c r="A179" s="1" t="s">
        <v>1209</v>
      </c>
      <c r="B179" s="1" t="s">
        <v>1101</v>
      </c>
      <c r="C179" s="2" t="str">
        <f>HYPERLINK("http://4sq.com/56h9fn","General Mitchell International Airport (MKE) ")</f>
        <v>General Mitchell International Airport (MKE) </v>
      </c>
    </row>
    <row r="180">
      <c r="A180" s="1" t="s">
        <v>1210</v>
      </c>
      <c r="B180" s="1" t="s">
        <v>1101</v>
      </c>
      <c r="C180" s="2" t="str">
        <f>HYPERLINK("http://4sq.com/935EIv","Panera Bread ")</f>
        <v>Panera Bread </v>
      </c>
    </row>
    <row r="181">
      <c r="A181" s="1" t="s">
        <v>1211</v>
      </c>
      <c r="B181" s="1" t="s">
        <v>1101</v>
      </c>
      <c r="C181" s="2" t="str">
        <f>HYPERLINK("http://4sq.com/HvsprR","Bottom's Up  Boltonville, Wi ")</f>
        <v>Bottom's Up  Boltonville, Wi </v>
      </c>
    </row>
    <row r="182">
      <c r="A182" s="1" t="s">
        <v>1212</v>
      </c>
      <c r="B182" s="1" t="s">
        <v>1101</v>
      </c>
      <c r="C182" s="2" t="str">
        <f>HYPERLINK("http://4sq.com/9CsjyQ","Coffee Corner ")</f>
        <v>Coffee Corner </v>
      </c>
    </row>
    <row r="183">
      <c r="A183" s="1" t="s">
        <v>1213</v>
      </c>
      <c r="B183" s="1" t="s">
        <v>1101</v>
      </c>
      <c r="C183" s="2" t="str">
        <f>HYPERLINK("http://4sq.com/56h9fn","General Mitchell International Airport (MKE) ")</f>
        <v>General Mitchell International Airport (MKE) </v>
      </c>
    </row>
    <row r="184">
      <c r="A184" s="1" t="s">
        <v>1214</v>
      </c>
      <c r="B184" s="1" t="s">
        <v>1101</v>
      </c>
      <c r="C184" s="2" t="str">
        <f>HYPERLINK("http://4sq.com/7k4nqU","Apple Store, Bayshore ")</f>
        <v>Apple Store, Bayshore </v>
      </c>
    </row>
    <row r="185">
      <c r="A185" s="1" t="s">
        <v>1215</v>
      </c>
      <c r="B185" s="1" t="s">
        <v>1101</v>
      </c>
      <c r="C185" s="2" t="str">
        <f>HYPERLINK("http://4sq.com/9CsjyQ","Coffee Corner ")</f>
        <v>Coffee Corner </v>
      </c>
    </row>
    <row r="186">
      <c r="A186" s="1" t="s">
        <v>1216</v>
      </c>
      <c r="B186" s="1" t="s">
        <v>1101</v>
      </c>
      <c r="C186" s="2" t="str">
        <f>HYPERLINK("http://4sq.com/kzVTUy","Kewaskum Public Library ")</f>
        <v>Kewaskum Public Library </v>
      </c>
    </row>
    <row r="187">
      <c r="A187" s="1" t="s">
        <v>1217</v>
      </c>
      <c r="B187" s="1" t="s">
        <v>1101</v>
      </c>
      <c r="C187" s="2" t="str">
        <f>HYPERLINK("http://4sq.com/7A64Ra","Lambeau Field ")</f>
        <v>Lambeau Field </v>
      </c>
    </row>
    <row r="188">
      <c r="A188" s="1" t="s">
        <v>1218</v>
      </c>
      <c r="B188" s="1" t="s">
        <v>1101</v>
      </c>
      <c r="C188" s="2" t="str">
        <f>HYPERLINK("http://4sq.com/cqK8r7","Motel 6 Green Bay ")</f>
        <v>Motel 6 Green Bay </v>
      </c>
    </row>
    <row r="189">
      <c r="A189" s="1" t="s">
        <v>1219</v>
      </c>
      <c r="B189" s="1" t="s">
        <v>1101</v>
      </c>
      <c r="C189" s="2" t="str">
        <f>HYPERLINK("http://4sq.com/bb8J2t","Kaukauna Family Restaurant ")</f>
        <v>Kaukauna Family Restaurant </v>
      </c>
    </row>
    <row r="190">
      <c r="A190" s="1" t="s">
        <v>1220</v>
      </c>
      <c r="B190" s="1" t="s">
        <v>1101</v>
      </c>
      <c r="C190" s="2" t="str">
        <f>HYPERLINK("http://4sq.com/98GZvi","Buffalo Wild Wings ")</f>
        <v>Buffalo Wild Wings </v>
      </c>
    </row>
    <row r="191">
      <c r="A191" s="1" t="s">
        <v>1221</v>
      </c>
      <c r="B191" s="1" t="s">
        <v>1101</v>
      </c>
      <c r="C191" s="2" t="str">
        <f>HYPERLINK("http://4sq.com/kzVTUy","Kewaskum Public Library ")</f>
        <v>Kewaskum Public Library </v>
      </c>
    </row>
    <row r="192">
      <c r="A192" s="1" t="s">
        <v>1222</v>
      </c>
      <c r="B192" s="1" t="s">
        <v>1101</v>
      </c>
      <c r="C192" s="2" t="str">
        <f>HYPERLINK("http://4sq.com/aZ0tFV","Culver's ")</f>
        <v>Culver's </v>
      </c>
    </row>
    <row r="193">
      <c r="A193" s="1" t="s">
        <v>1223</v>
      </c>
      <c r="B193" s="1" t="s">
        <v>1101</v>
      </c>
      <c r="C193" s="2" t="str">
        <f>HYPERLINK("http://4sq.com/kzVTUy","Kewaskum Public Library ")</f>
        <v>Kewaskum Public Library </v>
      </c>
    </row>
    <row r="194">
      <c r="A194" s="1" t="s">
        <v>1224</v>
      </c>
      <c r="B194" s="1" t="s">
        <v>1101</v>
      </c>
      <c r="C194" s="2" t="str">
        <f>HYPERLINK("http://4sq.com/6Wqjgb","La Chimenea ")</f>
        <v>La Chimenea </v>
      </c>
    </row>
    <row r="195">
      <c r="A195" s="1" t="s">
        <v>1225</v>
      </c>
      <c r="B195" s="1" t="s">
        <v>1101</v>
      </c>
      <c r="C195" s="2" t="str">
        <f>HYPERLINK("http://4sq.com/9EzTA0","Holiday Inn Hotel &amp; Suites Milwaukee Airport ")</f>
        <v>Holiday Inn Hotel &amp; Suites Milwaukee Airport </v>
      </c>
    </row>
    <row r="196">
      <c r="A196" s="1" t="s">
        <v>1226</v>
      </c>
      <c r="B196" s="1" t="s">
        <v>1101</v>
      </c>
      <c r="C196" s="2" t="str">
        <f>HYPERLINK("http://4sq.com/crBVSU","인천국제공항 (Incheon International Airport - ICN) ")</f>
        <v>인천국제공항 (Incheon International Airport - ICN) </v>
      </c>
    </row>
    <row r="197">
      <c r="A197" s="1" t="s">
        <v>1227</v>
      </c>
      <c r="B197" s="1" t="s">
        <v>1101</v>
      </c>
      <c r="C197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198">
      <c r="A198" s="1" t="s">
        <v>1228</v>
      </c>
      <c r="B198" s="1" t="s">
        <v>1101</v>
      </c>
      <c r="C198" s="2" t="str">
        <f>HYPERLINK("http://4sq.com/1glAL7r","The Duke's ")</f>
        <v>The Duke's </v>
      </c>
    </row>
    <row r="199">
      <c r="A199" s="1" t="s">
        <v>1229</v>
      </c>
      <c r="B199" s="1" t="s">
        <v>1101</v>
      </c>
      <c r="C199" s="2" t="str">
        <f>HYPERLINK("http://4sq.com/1x7bNOu","ร้านข้าวซอยแม่นาย ")</f>
        <v>ร้านข้าวซอยแม่นาย </v>
      </c>
    </row>
    <row r="200">
      <c r="A200" s="1" t="s">
        <v>1230</v>
      </c>
      <c r="B200" s="1" t="s">
        <v>1101</v>
      </c>
      <c r="C200" s="2" t="str">
        <f>HYPERLINK("http://4sq.com/1GjmLUZ","Pizza Pasta by Simon ")</f>
        <v>Pizza Pasta by Simon </v>
      </c>
    </row>
    <row r="201">
      <c r="A201" s="1" t="s">
        <v>1231</v>
      </c>
      <c r="B201" s="1" t="s">
        <v>1101</v>
      </c>
      <c r="C201" s="2" t="str">
        <f>HYPERLINK("http://4sq.com/1nqEUD6","Subway ")</f>
        <v>Subway </v>
      </c>
    </row>
    <row r="202">
      <c r="A202" s="1" t="s">
        <v>1232</v>
      </c>
      <c r="B202" s="1" t="s">
        <v>1101</v>
      </c>
      <c r="C202" s="2" t="str">
        <f>HYPERLINK("http://4sq.com/1jCCPEP","Fuji (ฟูจิ) ")</f>
        <v>Fuji (ฟูจิ) </v>
      </c>
    </row>
    <row r="203">
      <c r="A203" s="1" t="s">
        <v>1233</v>
      </c>
      <c r="B203" s="1" t="s">
        <v>1101</v>
      </c>
      <c r="C203" s="2" t="str">
        <f>HYPERLINK("http://4sq.com/1CEqIhb","Big Daddy's Diner ")</f>
        <v>Big Daddy's Diner </v>
      </c>
    </row>
    <row r="204">
      <c r="A204" s="1" t="s">
        <v>1234</v>
      </c>
      <c r="B204" s="1" t="s">
        <v>1101</v>
      </c>
      <c r="C204" s="2" t="str">
        <f>HYPERLINK("http://4sq.com/darGol","Global House (โกลบอลเฮ้าส์) ")</f>
        <v>Global House (โกลบอลเฮ้าส์) </v>
      </c>
    </row>
    <row r="205">
      <c r="A205" s="1" t="s">
        <v>1235</v>
      </c>
      <c r="B205" s="1" t="s">
        <v>1101</v>
      </c>
      <c r="C205" s="2" t="str">
        <f>HYPERLINK("http://4sq.com/1GjmLUZ","Pizza Pasta by Simon ")</f>
        <v>Pizza Pasta by Simon </v>
      </c>
    </row>
    <row r="206">
      <c r="A206" s="1" t="s">
        <v>1236</v>
      </c>
      <c r="B206" s="1" t="s">
        <v>1101</v>
      </c>
      <c r="C206" s="2" t="str">
        <f>HYPERLINK("http://4sq.com/1SF7Pp6","Simple ")</f>
        <v>Simple </v>
      </c>
    </row>
    <row r="207">
      <c r="A207" s="1" t="s">
        <v>1237</v>
      </c>
      <c r="B207" s="1" t="s">
        <v>1101</v>
      </c>
      <c r="C207" s="2" t="str">
        <f>HYPERLINK("http://4sq.com/dECwkW","บางจาก แม่ริม ")</f>
        <v>บางจาก แม่ริม </v>
      </c>
    </row>
    <row r="208">
      <c r="A208" s="1" t="s">
        <v>1238</v>
      </c>
      <c r="B208" s="1" t="s">
        <v>1101</v>
      </c>
      <c r="C208" s="2" t="str">
        <f>HYPERLINK("http://4sq.com/1EZfTgZ","pansawan ")</f>
        <v>pansawan </v>
      </c>
    </row>
    <row r="209">
      <c r="A209" s="1" t="s">
        <v>1239</v>
      </c>
      <c r="B209" s="1" t="s">
        <v>1101</v>
      </c>
      <c r="C209" s="2" t="str">
        <f>HYPERLINK("http://4sq.com/1rCQT2C","Tiger Ted Café (ไทเกอร์ เท็ด คาเฟ่) ")</f>
        <v>Tiger Ted Café (ไทเกอร์ เท็ด คาเฟ่) </v>
      </c>
    </row>
    <row r="210">
      <c r="A210" s="1" t="s">
        <v>1240</v>
      </c>
      <c r="B210" s="1" t="s">
        <v>1101</v>
      </c>
      <c r="C210" s="2" t="str">
        <f>HYPERLINK("http://4sq.com/1xhYLA6","D Condo Sign (ดีคอนโด ซายน์) ")</f>
        <v>D Condo Sign (ดีคอนโด ซายน์) </v>
      </c>
    </row>
    <row r="211">
      <c r="A211" s="1" t="s">
        <v>1241</v>
      </c>
      <c r="B211" s="1" t="s">
        <v>1101</v>
      </c>
      <c r="C211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212">
      <c r="A212" s="1" t="s">
        <v>1241</v>
      </c>
      <c r="B212" s="1" t="s">
        <v>1101</v>
      </c>
      <c r="C212" s="2" t="str">
        <f>HYPERLINK("http://4sq.com/1bIXpyD","Gloria Jean's (กลอเรีย จีนส์) ")</f>
        <v>Gloria Jean's (กลอเรีย จีนส์) </v>
      </c>
    </row>
    <row r="213">
      <c r="A213" s="1" t="s">
        <v>1242</v>
      </c>
      <c r="B213" s="1" t="s">
        <v>1101</v>
      </c>
      <c r="C213" s="2" t="str">
        <f>HYPERLINK("http://4sq.com/1sQE853","Chic 39 ")</f>
        <v>Chic 39 </v>
      </c>
    </row>
    <row r="214">
      <c r="A214" s="1" t="s">
        <v>1243</v>
      </c>
      <c r="B214" s="1" t="s">
        <v>1101</v>
      </c>
      <c r="C214" s="2" t="str">
        <f>HYPERLINK("http://4sq.com/I28LVE","Café de Oasis (คาเฟ่ เดอ โอเอซิส) ")</f>
        <v>Café de Oasis (คาเฟ่ เดอ โอเอซิส) </v>
      </c>
    </row>
    <row r="215">
      <c r="A215" s="1" t="s">
        <v>1244</v>
      </c>
      <c r="B215" s="1" t="s">
        <v>1101</v>
      </c>
      <c r="C215" s="2" t="str">
        <f>HYPERLINK("http://4sq.com/llZ74P","HOME MALL ")</f>
        <v>HOME MALL </v>
      </c>
    </row>
    <row r="216">
      <c r="A216" s="1" t="s">
        <v>1245</v>
      </c>
      <c r="B216" s="1" t="s">
        <v>1101</v>
      </c>
      <c r="C216" s="2" t="str">
        <f>HYPERLINK("http://4sq.com/aCCyTW","The Pub ")</f>
        <v>The Pub </v>
      </c>
    </row>
    <row r="217">
      <c r="A217" s="1" t="s">
        <v>1246</v>
      </c>
      <c r="B217" s="1" t="s">
        <v>1101</v>
      </c>
      <c r="C217" s="2" t="str">
        <f>HYPERLINK("http://4sq.com/VuG5rl","Steak Of The Day ")</f>
        <v>Steak Of The Day </v>
      </c>
    </row>
    <row r="218">
      <c r="A218" s="1" t="s">
        <v>1247</v>
      </c>
      <c r="B218" s="1" t="s">
        <v>1101</v>
      </c>
      <c r="C218" s="2" t="str">
        <f>HYPERLINK("http://4sq.com/1CEqIhb","Big Daddy's Diner ")</f>
        <v>Big Daddy's Diner </v>
      </c>
    </row>
    <row r="219">
      <c r="A219" s="1" t="s">
        <v>1248</v>
      </c>
      <c r="B219" s="1" t="s">
        <v>1101</v>
      </c>
      <c r="C219" s="2" t="str">
        <f>HYPERLINK("http://4sq.com/IsHcQ1","Kamonraput Coffee &amp; Restaurant ")</f>
        <v>Kamonraput Coffee &amp; Restaurant </v>
      </c>
    </row>
    <row r="220">
      <c r="A220" s="1" t="s">
        <v>1249</v>
      </c>
      <c r="B220" s="1" t="s">
        <v>1250</v>
      </c>
      <c r="C220" s="2" t="str">
        <f>HYPERLINK("http://4sq.com/1Q39bdy","Expedition Outfitters ")</f>
        <v>Expedition Outfitters </v>
      </c>
    </row>
    <row r="221">
      <c r="A221" s="1" t="s">
        <v>1251</v>
      </c>
      <c r="B221" s="1" t="s">
        <v>1101</v>
      </c>
      <c r="C221" s="2" t="str">
        <f>HYPERLINK("http://4sq.com/1GjmLUZ","Pizza Pasta by Simon ")</f>
        <v>Pizza Pasta by Simon </v>
      </c>
    </row>
    <row r="222">
      <c r="A222" s="1" t="s">
        <v>1252</v>
      </c>
      <c r="B222" s="1" t="s">
        <v>1101</v>
      </c>
      <c r="C222" s="2" t="str">
        <f>HYPERLINK("http://4sq.com/1rS89V1","Subway 24 Hrs. at Nimmanahaemind ")</f>
        <v>Subway 24 Hrs. at Nimmanahaemind </v>
      </c>
    </row>
    <row r="223">
      <c r="A223" s="1" t="s">
        <v>1253</v>
      </c>
      <c r="B223" s="1" t="s">
        <v>1101</v>
      </c>
      <c r="C223" s="2" t="str">
        <f>HYPERLINK("http://4sq.com/eriJvZ","แม่ปั้นดิน พ่อทำสวน (Mae Pun Din &amp; Phor Tum Suan) ")</f>
        <v>แม่ปั้นดิน พ่อทำสวน (Mae Pun Din &amp; Phor Tum Suan) </v>
      </c>
    </row>
    <row r="224">
      <c r="A224" s="1" t="s">
        <v>1254</v>
      </c>
      <c r="B224" s="1" t="s">
        <v>1101</v>
      </c>
      <c r="C224" s="2" t="str">
        <f>HYPERLINK("http://4sq.com/djBO50","ธนาคารกรุงเทพ (Bangkok Bank) ")</f>
        <v>ธนาคารกรุงเทพ (Bangkok Bank) </v>
      </c>
    </row>
    <row r="225">
      <c r="A225" s="1" t="s">
        <v>1255</v>
      </c>
      <c r="B225" s="1" t="s">
        <v>1101</v>
      </c>
      <c r="C225" s="2" t="str">
        <f>HYPERLINK("http://4sq.com/9hH8Er","ตลาดคำเที่ยง (Kamtiang Market) ")</f>
        <v>ตลาดคำเที่ยง (Kamtiang Market) </v>
      </c>
    </row>
    <row r="226">
      <c r="A226" s="1" t="s">
        <v>1256</v>
      </c>
      <c r="B226" s="1" t="s">
        <v>1101</v>
      </c>
      <c r="C226" s="2" t="str">
        <f>HYPERLINK("http://4sq.com/nbQ3ST","Blue Café by Coffee Blue (บลูคาเฟ่) ")</f>
        <v>Blue Café by Coffee Blue (บลูคาเฟ่) </v>
      </c>
    </row>
    <row r="227">
      <c r="A227" s="1" t="s">
        <v>1257</v>
      </c>
      <c r="B227" s="1" t="s">
        <v>1101</v>
      </c>
      <c r="C227" s="2" t="str">
        <f>HYPERLINK("http://4sq.com/1GjmLUZ","Pizza Pasta by Simon ")</f>
        <v>Pizza Pasta by Simon </v>
      </c>
    </row>
    <row r="228">
      <c r="A228" s="1" t="s">
        <v>1258</v>
      </c>
      <c r="B228" s="1" t="s">
        <v>1101</v>
      </c>
      <c r="C228" s="2" t="str">
        <f>HYPERLINK("http://4sq.com/anboVi","ISUZU Kow Yoo Hah Lampang ")</f>
        <v>ISUZU Kow Yoo Hah Lampang </v>
      </c>
    </row>
    <row r="229">
      <c r="A229" s="1" t="s">
        <v>1259</v>
      </c>
      <c r="B229" s="1" t="s">
        <v>1101</v>
      </c>
      <c r="C229" s="2" t="str">
        <f>HYPERLINK("http://4sq.com/vPVPUa","Isuzu lampang ")</f>
        <v>Isuzu lampang </v>
      </c>
    </row>
    <row r="230">
      <c r="A230" s="1" t="s">
        <v>1260</v>
      </c>
      <c r="B230" s="1" t="s">
        <v>1101</v>
      </c>
      <c r="C230" s="2" t="str">
        <f>HYPERLINK("http://4sq.com/ehUEnJ","สำนักงานขนส่งจ.ลำปาง ")</f>
        <v>สำนักงานขนส่งจ.ลำปาง </v>
      </c>
    </row>
    <row r="231">
      <c r="A231" s="1" t="s">
        <v>1261</v>
      </c>
      <c r="B231" s="1" t="s">
        <v>1101</v>
      </c>
      <c r="C231" s="2" t="str">
        <f>HYPERLINK("http://foursquare.com/v/4cba4a5ed78f4688b50dbc73","PTIS International School (Prem) ")</f>
        <v>PTIS International School (Prem) </v>
      </c>
    </row>
    <row r="232">
      <c r="A232" s="1" t="s">
        <v>1262</v>
      </c>
      <c r="B232" s="1" t="s">
        <v>1101</v>
      </c>
      <c r="C232" s="2" t="str">
        <f>HYPERLINK("http://4sq.com/myR2lB","Sala Café (ศาลากาแฟ) ")</f>
        <v>Sala Café (ศาลากาแฟ) </v>
      </c>
    </row>
    <row r="233">
      <c r="A233" s="1" t="s">
        <v>1263</v>
      </c>
      <c r="B233" s="1" t="s">
        <v>1101</v>
      </c>
      <c r="C233" s="2" t="str">
        <f>HYPERLINK("http://4sq.com/1N5J1rj","Lan Sai Maejo ")</f>
        <v>Lan Sai Maejo </v>
      </c>
    </row>
    <row r="234">
      <c r="A234" s="1" t="s">
        <v>1264</v>
      </c>
      <c r="B234" s="1" t="s">
        <v>1101</v>
      </c>
      <c r="C234" s="2" t="str">
        <f>HYPERLINK("http://4sq.com/1glAL7r","The Duke's ")</f>
        <v>The Duke's </v>
      </c>
    </row>
    <row r="235">
      <c r="A235" s="1" t="s">
        <v>1265</v>
      </c>
      <c r="B235" s="1" t="s">
        <v>1101</v>
      </c>
      <c r="C235" s="2" t="str">
        <f>HYPERLINK("http://4sq.com/aCCyTW","The Pub ")</f>
        <v>The Pub </v>
      </c>
    </row>
    <row r="236">
      <c r="A236" s="1" t="s">
        <v>1266</v>
      </c>
      <c r="B236" s="1" t="s">
        <v>1101</v>
      </c>
      <c r="C236" s="2" t="str">
        <f>HYPERLINK("http://4sq.com/eey04s","The Ring ")</f>
        <v>The Ring </v>
      </c>
    </row>
    <row r="237">
      <c r="A237" s="1" t="s">
        <v>1267</v>
      </c>
      <c r="B237" s="1" t="s">
        <v>1101</v>
      </c>
      <c r="C237" s="2" t="str">
        <f>HYPERLINK("http://4sq.com/1pbmT3E","NIMMAN HILL ")</f>
        <v>NIMMAN HILL </v>
      </c>
    </row>
    <row r="238">
      <c r="A238" s="1" t="s">
        <v>1268</v>
      </c>
      <c r="B238" s="1" t="s">
        <v>1101</v>
      </c>
      <c r="C238" s="2" t="str">
        <f>HYPERLINK("http://4sq.com/s56nDZ","ฝ้ายคำ โป่งแยง ")</f>
        <v>ฝ้ายคำ โป่งแยง </v>
      </c>
    </row>
    <row r="239">
      <c r="A239" s="1" t="s">
        <v>1269</v>
      </c>
      <c r="B239" s="1" t="s">
        <v>1101</v>
      </c>
      <c r="C239" s="2" t="str">
        <f>HYPERLINK("http://4sq.com/9v5uys","ม่อนแจ่ม (Mon Cham) ")</f>
        <v>ม่อนแจ่ม (Mon Cham) </v>
      </c>
    </row>
    <row r="240">
      <c r="A240" s="1" t="s">
        <v>1270</v>
      </c>
      <c r="B240" s="1" t="s">
        <v>1101</v>
      </c>
      <c r="C240" s="2" t="str">
        <f>HYPERLINK("http://4sq.com/1g8wZw0","สวนโอขิ สวนองุ่น ")</f>
        <v>สวนโอขิ สวนองุ่น </v>
      </c>
    </row>
    <row r="241">
      <c r="A241" s="1" t="s">
        <v>1271</v>
      </c>
      <c r="B241" s="1" t="s">
        <v>1101</v>
      </c>
      <c r="C241" s="2" t="str">
        <f>HYPERLINK("http://4sq.com/ewh1Pv","Pop Car Rent 1985 ")</f>
        <v>Pop Car Rent 1985 </v>
      </c>
    </row>
    <row r="242">
      <c r="A242" s="1" t="s">
        <v>1272</v>
      </c>
      <c r="B242" s="1" t="s">
        <v>1101</v>
      </c>
      <c r="C242" s="2" t="str">
        <f>HYPERLINK("http://4sq.com/9idjf3","John's Place ")</f>
        <v>John's Place </v>
      </c>
    </row>
    <row r="243">
      <c r="A243" s="1" t="s">
        <v>1273</v>
      </c>
      <c r="B243" s="1" t="s">
        <v>1101</v>
      </c>
      <c r="C243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244">
      <c r="A244" s="1" t="s">
        <v>1274</v>
      </c>
      <c r="B244" s="1" t="s">
        <v>1101</v>
      </c>
      <c r="C244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245">
      <c r="A245" s="1" t="s">
        <v>1275</v>
      </c>
      <c r="B245" s="1" t="s">
        <v>1101</v>
      </c>
      <c r="C245" s="2" t="str">
        <f>HYPERLINK("http://4sq.com/fqH930","Belle Grand Rama IX (เบลล์ แกรนด์ พระราม 9) ")</f>
        <v>Belle Grand Rama IX (เบลล์ แกรนด์ พระราม 9) </v>
      </c>
    </row>
    <row r="246">
      <c r="A246" s="1" t="s">
        <v>1276</v>
      </c>
      <c r="B246" s="1" t="s">
        <v>1101</v>
      </c>
      <c r="C246" s="2" t="str">
        <f>HYPERLINK("http://4sq.com/JDAKvL","Mix Restaurant &amp; Bar ")</f>
        <v>Mix Restaurant &amp; Bar </v>
      </c>
    </row>
    <row r="247">
      <c r="A247" s="1" t="s">
        <v>1277</v>
      </c>
      <c r="B247" s="1" t="s">
        <v>1101</v>
      </c>
      <c r="C247" s="2" t="str">
        <f>HYPERLINK("http://4sq.com/989PFv","BITEC (ศูนย์นิทรรศการและการประชุมไบเทค) ")</f>
        <v>BITEC (ศูนย์นิทรรศการและการประชุมไบเทค) </v>
      </c>
    </row>
    <row r="248">
      <c r="A248" s="1" t="s">
        <v>1278</v>
      </c>
      <c r="B248" s="1" t="s">
        <v>1101</v>
      </c>
      <c r="C248" s="2" t="str">
        <f>HYPERLINK("http://4sq.com/fqH930","Belle Grand Rama IX (เบลล์ แกรนด์ พระราม 9) ")</f>
        <v>Belle Grand Rama IX (เบลล์ แกรนด์ พระราม 9) </v>
      </c>
    </row>
    <row r="249">
      <c r="A249" s="1" t="s">
        <v>1279</v>
      </c>
      <c r="B249" s="1" t="s">
        <v>1101</v>
      </c>
      <c r="C249" s="2" t="str">
        <f>HYPERLINK("http://4sq.com/989PFv","BITEC (ศูนย์นิทรรศการและการประชุมไบเทค) ")</f>
        <v>BITEC (ศูนย์นิทรรศการและการประชุมไบเทค) </v>
      </c>
    </row>
    <row r="250">
      <c r="A250" s="1" t="s">
        <v>1280</v>
      </c>
      <c r="B250" s="1" t="s">
        <v>1101</v>
      </c>
      <c r="C250" s="2" t="str">
        <f>HYPERLINK("http://4sq.com/aHJWRT","Four Points by Sheraton Bangkok, Sukhumvit 15 ")</f>
        <v>Four Points by Sheraton Bangkok, Sukhumvit 15 </v>
      </c>
    </row>
    <row r="251">
      <c r="A251" s="1" t="s">
        <v>1281</v>
      </c>
      <c r="B251" s="1" t="s">
        <v>1101</v>
      </c>
      <c r="C251" s="2" t="str">
        <f>HYPERLINK("http://4sq.com/fqH930","Belle Grand Rama IX (เบลล์ แกรนด์ พระราม 9) ")</f>
        <v>Belle Grand Rama IX (เบลล์ แกรนด์ พระราม 9) </v>
      </c>
    </row>
    <row r="252">
      <c r="A252" s="1" t="s">
        <v>1282</v>
      </c>
      <c r="B252" s="1" t="s">
        <v>1101</v>
      </c>
      <c r="C252" s="2" t="str">
        <f>HYPERLINK("http://4sq.com/dbOIev","Bangkok Patana School (โรงเรียนบางกอกพัฒนา) ")</f>
        <v>Bangkok Patana School (โรงเรียนบางกอกพัฒนา) </v>
      </c>
    </row>
    <row r="253">
      <c r="A253" s="1" t="s">
        <v>1283</v>
      </c>
      <c r="B253" s="1" t="s">
        <v>1101</v>
      </c>
      <c r="C253" s="2" t="str">
        <f>HYPERLINK("http://4sq.com/1egrGGW","SWAY ")</f>
        <v>SWAY </v>
      </c>
    </row>
    <row r="254">
      <c r="A254" s="1" t="s">
        <v>1284</v>
      </c>
      <c r="B254" s="1" t="s">
        <v>1101</v>
      </c>
      <c r="C254" s="2" t="str">
        <f>HYPERLINK("http://4sq.com/1GSAy7C","Nori's Bar ")</f>
        <v>Nori's Bar </v>
      </c>
    </row>
    <row r="255">
      <c r="A255" s="1" t="s">
        <v>1285</v>
      </c>
      <c r="B255" s="1" t="s">
        <v>1101</v>
      </c>
      <c r="C255" s="2" t="str">
        <f>HYPERLINK("http://4sq.com/aVUyRr","Fortune Town (ฟอร์จูนทาวน์) ")</f>
        <v>Fortune Town (ฟอร์จูนทาวน์) </v>
      </c>
    </row>
    <row r="256">
      <c r="A256" s="1" t="s">
        <v>1286</v>
      </c>
      <c r="B256" s="1" t="s">
        <v>1101</v>
      </c>
      <c r="C256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257">
      <c r="A257" s="1" t="s">
        <v>1287</v>
      </c>
      <c r="B257" s="1" t="s">
        <v>1101</v>
      </c>
      <c r="C257" s="2" t="str">
        <f>HYPERLINK("http://4sq.com/apTk7R","Burger King (เบอร์เกอร์ คิง) ")</f>
        <v>Burger King (เบอร์เกอร์ คิง) </v>
      </c>
    </row>
    <row r="258">
      <c r="A258" s="1" t="s">
        <v>1288</v>
      </c>
      <c r="B258" s="1" t="s">
        <v>1101</v>
      </c>
      <c r="C258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259">
      <c r="A259" s="1" t="s">
        <v>1289</v>
      </c>
      <c r="B259" s="1" t="s">
        <v>1101</v>
      </c>
      <c r="C259" s="2" t="str">
        <f>HYPERLINK("http://4sq.com/a6bcUk","Smoothie Blues ")</f>
        <v>Smoothie Blues </v>
      </c>
    </row>
    <row r="260">
      <c r="A260" s="1" t="s">
        <v>1290</v>
      </c>
      <c r="B260" s="1" t="s">
        <v>1101</v>
      </c>
      <c r="C260" s="2" t="str">
        <f>HYPERLINK("http://4sq.com/dFAgUn","แม่ริมพลาซ่า (Maerim Plaza) ")</f>
        <v>แม่ริมพลาซ่า (Maerim Plaza) </v>
      </c>
    </row>
    <row r="261">
      <c r="A261" s="1" t="s">
        <v>1291</v>
      </c>
      <c r="B261" s="1" t="s">
        <v>1101</v>
      </c>
      <c r="C261" s="2" t="str">
        <f>HYPERLINK("http://4sq.com/URdnBR","ม่อนวิวงาม ")</f>
        <v>ม่อนวิวงาม </v>
      </c>
    </row>
    <row r="262">
      <c r="A262" s="1" t="s">
        <v>1292</v>
      </c>
      <c r="B262" s="1" t="s">
        <v>1101</v>
      </c>
      <c r="C262" s="2" t="str">
        <f>HYPERLINK("http://4sq.com/f5fmXA","Kireethara Boutique Resort ")</f>
        <v>Kireethara Boutique Resort </v>
      </c>
    </row>
    <row r="263">
      <c r="A263" s="1" t="s">
        <v>1293</v>
      </c>
      <c r="B263" s="1" t="s">
        <v>1101</v>
      </c>
      <c r="C263" s="2" t="str">
        <f>HYPERLINK("http://4sq.com/bOhxum","Sibsan Resort &amp; Spa Maetaeng (สิบแสน รีสอร์ท แอนด์ สปา แม่แตง) ")</f>
        <v>Sibsan Resort &amp; Spa Maetaeng (สิบแสน รีสอร์ท แอนด์ สปา แม่แตง) </v>
      </c>
    </row>
    <row r="264">
      <c r="A264" s="1" t="s">
        <v>1294</v>
      </c>
      <c r="B264" s="1" t="s">
        <v>1101</v>
      </c>
      <c r="C264" s="2" t="str">
        <f>HYPERLINK("http://4sq.com/QDtjYV","Rawee Waree Tower ")</f>
        <v>Rawee Waree Tower </v>
      </c>
    </row>
    <row r="265">
      <c r="A265" s="1" t="s">
        <v>1295</v>
      </c>
      <c r="B265" s="1" t="s">
        <v>1101</v>
      </c>
      <c r="C265" s="2" t="str">
        <f>HYPERLINK("http://4sq.com/djBO50","ธนาคารกรุงเทพ (Bangkok Bank) ")</f>
        <v>ธนาคารกรุงเทพ (Bangkok Bank) </v>
      </c>
    </row>
    <row r="266">
      <c r="A266" s="1" t="s">
        <v>1296</v>
      </c>
      <c r="B266" s="1" t="s">
        <v>1101</v>
      </c>
      <c r="C266" s="2" t="str">
        <f>HYPERLINK("http://4sq.com/hUz4k8","สำนักงานที่ดินจังหวัดเชียงใหม่ ")</f>
        <v>สำนักงานที่ดินจังหวัดเชียงใหม่ </v>
      </c>
    </row>
    <row r="267">
      <c r="A267" s="1" t="s">
        <v>1297</v>
      </c>
      <c r="B267" s="1" t="s">
        <v>1101</v>
      </c>
      <c r="C267" s="2" t="str">
        <f>HYPERLINK("http://4sq.com/aCCyTW","The Pub ")</f>
        <v>The Pub </v>
      </c>
    </row>
    <row r="268">
      <c r="A268" s="1" t="s">
        <v>1298</v>
      </c>
      <c r="B268" s="1" t="s">
        <v>1101</v>
      </c>
      <c r="C268" s="2" t="str">
        <f>HYPERLINK("http://4sq.com/9rHN1N","Jirung Health Village Resort Chiang Mai ")</f>
        <v>Jirung Health Village Resort Chiang Mai </v>
      </c>
    </row>
    <row r="269">
      <c r="A269" s="1" t="s">
        <v>1299</v>
      </c>
      <c r="B269" s="1" t="s">
        <v>1101</v>
      </c>
      <c r="C269" s="2" t="str">
        <f>HYPERLINK("http://4sq.com/eVMMiP","NAP (Nimmanhaemin Art &amp; Design Promenade) ")</f>
        <v>NAP (Nimmanhaemin Art &amp; Design Promenade) </v>
      </c>
    </row>
    <row r="270">
      <c r="A270" s="1" t="s">
        <v>1300</v>
      </c>
      <c r="B270" s="1" t="s">
        <v>1101</v>
      </c>
      <c r="C270" s="2" t="str">
        <f>HYPERLINK("http://4sq.com/b7UbPs","MIX (มิกซ์) ")</f>
        <v>MIX (มิกซ์) </v>
      </c>
    </row>
    <row r="271">
      <c r="A271" s="1" t="s">
        <v>1301</v>
      </c>
      <c r="B271" s="1" t="s">
        <v>1101</v>
      </c>
      <c r="C271" s="2" t="str">
        <f>HYPERLINK("http://4sq.com/c8IJRP","ข้าวซอยลําดวน ฟ้าฮ่าม 2 (Khow Soi Lamduan Faharm) ")</f>
        <v>ข้าวซอยลําดวน ฟ้าฮ่าม 2 (Khow Soi Lamduan Faharm) </v>
      </c>
    </row>
    <row r="272">
      <c r="A272" s="1" t="s">
        <v>1302</v>
      </c>
      <c r="B272" s="1" t="s">
        <v>1101</v>
      </c>
      <c r="C272" s="2" t="str">
        <f>HYPERLINK("http://4sq.com/9oQIxh","ศูนย์ราชการจังหวัดเชียงใหม่ ")</f>
        <v>ศูนย์ราชการจังหวัดเชียงใหม่ </v>
      </c>
    </row>
    <row r="273">
      <c r="A273" s="1" t="s">
        <v>1303</v>
      </c>
      <c r="B273" s="1" t="s">
        <v>1101</v>
      </c>
      <c r="C273" s="2" t="str">
        <f>HYPERLINK("http://4sq.com/1PubsvN","SpiceRoads Cycle Tours ")</f>
        <v>SpiceRoads Cycle Tours </v>
      </c>
    </row>
    <row r="274">
      <c r="A274" s="1" t="s">
        <v>1304</v>
      </c>
      <c r="B274" s="1" t="s">
        <v>1305</v>
      </c>
      <c r="C274" s="2" t="str">
        <f>HYPERLINK("http://4sq.com/batEOn","ศูนย์ประชุมและแสดงสินค้านานาชาติฯ (International Convention and Exhibition Centre) ")</f>
        <v>ศูนย์ประชุมและแสดงสินค้านานาชาติฯ (International Convention and Exhibition Centre) </v>
      </c>
    </row>
    <row r="275">
      <c r="A275" s="1" t="s">
        <v>1306</v>
      </c>
      <c r="B275" s="1" t="s">
        <v>1101</v>
      </c>
      <c r="C275" s="2" t="str">
        <f>HYPERLINK("http://4sq.com/1GjmLUZ","Pizza Pasta by Simon ")</f>
        <v>Pizza Pasta by Simon </v>
      </c>
    </row>
    <row r="276">
      <c r="A276" s="1" t="s">
        <v>1307</v>
      </c>
      <c r="B276" s="1" t="s">
        <v>1101</v>
      </c>
      <c r="C276" s="2" t="str">
        <f>HYPERLINK("http://4sq.com/1wWoVRN","T-Station Bar &amp; Restaurant ")</f>
        <v>T-Station Bar &amp; Restaurant </v>
      </c>
    </row>
    <row r="277">
      <c r="A277" s="1" t="s">
        <v>1308</v>
      </c>
      <c r="B277" s="1" t="s">
        <v>1309</v>
      </c>
      <c r="C277" s="2" t="str">
        <f>HYPERLINK("http://4sq.com/1XAEsKt","AIS MAYA ")</f>
        <v>AIS MAYA </v>
      </c>
    </row>
    <row r="278">
      <c r="A278" s="1" t="s">
        <v>1308</v>
      </c>
      <c r="B278" s="1" t="s">
        <v>1101</v>
      </c>
      <c r="C278" s="2" t="str">
        <f>HYPERLINK("http://4sq.com/1izVBv2","CoCoICHIBANYA (โคโค่อิฉิบันยะ) ")</f>
        <v>CoCoICHIBANYA (โคโค่อิฉิบันยะ) </v>
      </c>
    </row>
    <row r="279">
      <c r="A279" s="1" t="s">
        <v>1310</v>
      </c>
      <c r="B279" s="1" t="s">
        <v>1101</v>
      </c>
      <c r="C279" s="2" t="str">
        <f>HYPERLINK("http://4sq.com/1sQE853","Chic 39 ")</f>
        <v>Chic 39 </v>
      </c>
    </row>
    <row r="280">
      <c r="A280" s="1" t="s">
        <v>1311</v>
      </c>
      <c r="B280" s="1" t="s">
        <v>1101</v>
      </c>
      <c r="C280" s="2" t="str">
        <f>HYPERLINK("http://4sq.com/1Fdh640","Hong Fae / โฮง'แฟ ")</f>
        <v>Hong Fae / โฮง'แฟ </v>
      </c>
    </row>
    <row r="281">
      <c r="A281" s="1" t="s">
        <v>1312</v>
      </c>
      <c r="B281" s="1" t="s">
        <v>1101</v>
      </c>
      <c r="C281" s="2" t="str">
        <f>HYPERLINK("http://4sq.com/1EZfTgZ","pansawan ")</f>
        <v>pansawan </v>
      </c>
    </row>
    <row r="282">
      <c r="A282" s="1" t="s">
        <v>1313</v>
      </c>
      <c r="B282" s="1" t="s">
        <v>1101</v>
      </c>
      <c r="C282" s="2" t="str">
        <f>HYPERLINK("http://4sq.com/p3PHB2","NACHA COFFEE ")</f>
        <v>NACHA COFFEE </v>
      </c>
    </row>
    <row r="283">
      <c r="A283" s="1" t="s">
        <v>1314</v>
      </c>
      <c r="B283" s="1" t="s">
        <v>1101</v>
      </c>
      <c r="C283" s="2" t="str">
        <f>HYPERLINK("http://4sq.com/cTCMbh","ปตท. (PTT Jiffy) ")</f>
        <v>ปตท. (PTT Jiffy) </v>
      </c>
    </row>
    <row r="284">
      <c r="A284" s="1" t="s">
        <v>1315</v>
      </c>
      <c r="B284" s="1" t="s">
        <v>1101</v>
      </c>
      <c r="C284" s="2" t="str">
        <f>HYPERLINK("http://4sq.com/x3UlUu","San Pareni (ซาน พาเรนี) ")</f>
        <v>San Pareni (ซาน พาเรนี) </v>
      </c>
    </row>
    <row r="285">
      <c r="A285" s="1" t="s">
        <v>1316</v>
      </c>
      <c r="B285" s="1" t="s">
        <v>1101</v>
      </c>
      <c r="C285" s="2" t="str">
        <f>HYPERLINK("http://4sq.com/1f1Floa","ริมปิง (Rimping Grocery) ")</f>
        <v>ริมปิง (Rimping Grocery) </v>
      </c>
    </row>
    <row r="286">
      <c r="A286" s="1" t="s">
        <v>1317</v>
      </c>
      <c r="B286" s="1" t="s">
        <v>1101</v>
      </c>
      <c r="C286" s="2" t="str">
        <f>HYPERLINK("http://4sq.com/TqhHqQ","Nic's Restaurant &amp; Playground ")</f>
        <v>Nic's Restaurant &amp; Playground </v>
      </c>
    </row>
    <row r="287">
      <c r="A287" s="1" t="s">
        <v>1318</v>
      </c>
      <c r="B287" s="1" t="s">
        <v>1101</v>
      </c>
      <c r="C287" s="2" t="str">
        <f>HYPERLINK("http://4sq.com/x3UlUu","San Pareni (ซาน พาเรนี) ")</f>
        <v>San Pareni (ซาน พาเรนี) </v>
      </c>
    </row>
    <row r="288">
      <c r="A288" s="1" t="s">
        <v>1319</v>
      </c>
      <c r="B288" s="1" t="s">
        <v>1101</v>
      </c>
      <c r="C288" s="2" t="str">
        <f>HYPERLINK("http://4sq.com/1GjmLUZ","Pizza Pasta by Simon ")</f>
        <v>Pizza Pasta by Simon </v>
      </c>
    </row>
    <row r="289">
      <c r="A289" s="1" t="s">
        <v>1320</v>
      </c>
      <c r="B289" s="1" t="s">
        <v>1101</v>
      </c>
      <c r="C289" s="2" t="str">
        <f>HYPERLINK("http://4sq.com/alGf7l","ปตท. (PTT) ")</f>
        <v>ปตท. (PTT) </v>
      </c>
    </row>
    <row r="290">
      <c r="A290" s="1" t="s">
        <v>1321</v>
      </c>
      <c r="B290" s="1" t="s">
        <v>1101</v>
      </c>
      <c r="C290" s="2" t="str">
        <f>HYPERLINK("http://4sq.com/aUycgs","บ้านไร่ยามเย็น (Baan Rai Yarm Yen) ")</f>
        <v>บ้านไร่ยามเย็น (Baan Rai Yarm Yen) </v>
      </c>
    </row>
    <row r="291">
      <c r="A291" s="1" t="s">
        <v>1322</v>
      </c>
      <c r="B291" s="1" t="s">
        <v>1101</v>
      </c>
      <c r="C291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292">
      <c r="A292" s="1" t="s">
        <v>1323</v>
      </c>
      <c r="B292" s="1" t="s">
        <v>1101</v>
      </c>
      <c r="C292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293">
      <c r="A293" s="1" t="s">
        <v>1324</v>
      </c>
      <c r="B293" s="1" t="s">
        <v>1101</v>
      </c>
      <c r="C293" s="2" t="str">
        <f>HYPERLINK("http://4sq.com/1cJMZTp","The Duke's (เดอะดุ๊กส์) ")</f>
        <v>The Duke's (เดอะดุ๊กส์) </v>
      </c>
    </row>
    <row r="294">
      <c r="A294" s="1" t="s">
        <v>1325</v>
      </c>
      <c r="B294" s="1" t="s">
        <v>1101</v>
      </c>
      <c r="C294" s="2" t="str">
        <f>HYPERLINK("http://4sq.com/1GjmLUZ","Pizza Pasta by Simon ")</f>
        <v>Pizza Pasta by Simon </v>
      </c>
    </row>
    <row r="295">
      <c r="A295" s="1" t="s">
        <v>1326</v>
      </c>
      <c r="B295" s="1" t="s">
        <v>1101</v>
      </c>
      <c r="C295" s="2" t="str">
        <f>HYPERLINK("http://4sq.com/myR2lB","Sala Café (ศาลากาแฟ) ")</f>
        <v>Sala Café (ศาลากาแฟ) </v>
      </c>
    </row>
    <row r="296">
      <c r="A296" s="1" t="s">
        <v>1327</v>
      </c>
      <c r="B296" s="1" t="s">
        <v>1101</v>
      </c>
      <c r="C296" s="2" t="str">
        <f>HYPERLINK("http://4sq.com/VuG5rl","Steak Of The Day ")</f>
        <v>Steak Of The Day </v>
      </c>
    </row>
    <row r="297">
      <c r="A297" s="1" t="s">
        <v>1328</v>
      </c>
      <c r="B297" s="1" t="s">
        <v>1101</v>
      </c>
      <c r="C297" s="2" t="str">
        <f>HYPERLINK("http://4sq.com/1CEqIhb","Big Daddy's Diner ")</f>
        <v>Big Daddy's Diner 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" t="s">
        <v>1329</v>
      </c>
      <c r="B1" s="1" t="s">
        <v>1101</v>
      </c>
      <c r="C1" s="2" t="str">
        <f>HYPERLINK("http://4sq.com/dFAgUn","แม่ริมพลาซ่า (Maerim Plaza) ")</f>
        <v>แม่ริมพลาซ่า (Maerim Plaza)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" t="s">
        <v>1330</v>
      </c>
      <c r="B2" s="1" t="s">
        <v>1101</v>
      </c>
      <c r="C2" s="2" t="str">
        <f>HYPERLINK("http://4sq.com/1HUrpXh","ข้าวซอยรสลำ ")</f>
        <v>ข้าวซอยรสลำ </v>
      </c>
      <c r="F2" s="8" t="str">
        <f t="shared" ref="F2:H2" si="1">INDEX(A:C, RANDBETWEEN(1, ROWS(2:117)), RANDBETWEEN(1, COLUMNS(C:C)))</f>
        <v>March 19, 2016 at 02:16PM</v>
      </c>
      <c r="G2" s="8" t="str">
        <f t="shared" si="1"/>
        <v/>
      </c>
      <c r="H2" s="10" t="str">
        <f t="shared" si="1"/>
        <v>Kaffee Bitte </v>
      </c>
      <c r="I2" s="11" t="str">
        <f t="array" ref="I2">INDEX(C:C, RANDBETWEEN(1, ROWS(1:116)), RANDBETWEEN(1, COLUMNS(C:C)))</f>
        <v>Angolo </v>
      </c>
      <c r="J2" s="8" t="str">
        <f>CONCATENATE(F2," ",H2)</f>
        <v>March 19, 2016 at 02:16PM Kaffee Bitte </v>
      </c>
    </row>
    <row r="3">
      <c r="A3" s="1" t="s">
        <v>1331</v>
      </c>
      <c r="B3" s="1" t="s">
        <v>1101</v>
      </c>
      <c r="C3" s="2" t="str">
        <f>HYPERLINK("http://4sq.com/1uTcCs4","Local Cafe (คาเฟ่บ้านนอก) ")</f>
        <v>Local Cafe (คาเฟ่บ้านนอก) </v>
      </c>
    </row>
    <row r="4">
      <c r="A4" s="1" t="s">
        <v>1332</v>
      </c>
      <c r="B4" s="1" t="s">
        <v>1101</v>
      </c>
      <c r="C4" s="2" t="str">
        <f>HYPERLINK("http://4sq.com/o3ZEdO","See Paak Restaurant ")</f>
        <v>See Paak Restaurant </v>
      </c>
    </row>
    <row r="5">
      <c r="A5" s="1" t="s">
        <v>1333</v>
      </c>
      <c r="B5" s="1" t="s">
        <v>1101</v>
      </c>
      <c r="C5" s="2" t="str">
        <f>HYPERLINK("http://4sq.com/1bD7gWe","โรงพยาบาลกรุงเทพเชียงใหม่ (Bangkok Hospital Chiang Mai) ")</f>
        <v>โรงพยาบาลกรุงเทพเชียงใหม่ (Bangkok Hospital Chiang Mai) </v>
      </c>
    </row>
    <row r="6">
      <c r="A6" s="1" t="s">
        <v>1334</v>
      </c>
      <c r="B6" s="1" t="s">
        <v>1101</v>
      </c>
      <c r="C6" s="2" t="str">
        <f>HYPERLINK("http://4sq.com/1nqEUD6","Subway ")</f>
        <v>Subway </v>
      </c>
    </row>
    <row r="7">
      <c r="A7" s="1" t="s">
        <v>1335</v>
      </c>
      <c r="B7" s="1" t="s">
        <v>1101</v>
      </c>
      <c r="C7" s="2" t="str">
        <f>HYPERLINK("http://4sq.com/o3ZEdO","See Paak Restaurant ")</f>
        <v>See Paak Restaurant </v>
      </c>
    </row>
    <row r="8">
      <c r="A8" s="1" t="s">
        <v>1336</v>
      </c>
      <c r="B8" s="1" t="s">
        <v>1101</v>
      </c>
      <c r="C8" s="2" t="str">
        <f>HYPERLINK("http://4sq.com/1bpS1ih","Major Cineplex (เมเจอร์ ซีนีเพล็กซ์) ")</f>
        <v>Major Cineplex (เมเจอร์ ซีนีเพล็กซ์) </v>
      </c>
    </row>
    <row r="9">
      <c r="A9" s="1" t="s">
        <v>1337</v>
      </c>
      <c r="B9" s="1" t="s">
        <v>1101</v>
      </c>
      <c r="C9" s="2" t="str">
        <f>HYPERLINK("http://4sq.com/br00XB","Wing41 Air Force Base Headquater ")</f>
        <v>Wing41 Air Force Base Headquater </v>
      </c>
    </row>
    <row r="10">
      <c r="A10" s="1" t="s">
        <v>1338</v>
      </c>
      <c r="B10" s="1" t="s">
        <v>1101</v>
      </c>
      <c r="C10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11">
      <c r="A11" s="1" t="s">
        <v>1339</v>
      </c>
      <c r="B11" s="1" t="s">
        <v>1101</v>
      </c>
      <c r="C11" s="2" t="str">
        <f>HYPERLINK("http://4sq.com/1jCCPEP","Fuji (ฟูจิ) ")</f>
        <v>Fuji (ฟูจิ) </v>
      </c>
    </row>
    <row r="12">
      <c r="A12" s="1" t="s">
        <v>1340</v>
      </c>
      <c r="B12" s="1" t="s">
        <v>1101</v>
      </c>
      <c r="C12" s="2" t="str">
        <f>HYPERLINK("http://4sq.com/eKzsNz","Chedi Sathan Temple ")</f>
        <v>Chedi Sathan Temple </v>
      </c>
    </row>
    <row r="13">
      <c r="A13" s="1" t="s">
        <v>1341</v>
      </c>
      <c r="B13" s="1" t="s">
        <v>1101</v>
      </c>
      <c r="C13" s="2" t="str">
        <f>HYPERLINK("http://4sq.com/13qrSfI","Kaffee Bitte ")</f>
        <v>Kaffee Bitte </v>
      </c>
    </row>
    <row r="14">
      <c r="A14" s="1" t="s">
        <v>1342</v>
      </c>
      <c r="B14" s="1" t="s">
        <v>1101</v>
      </c>
      <c r="C14" s="2" t="str">
        <f>HYPERLINK("http://4sq.com/1uTcCs4","Local Cafe (คาเฟ่บ้านนอก) ")</f>
        <v>Local Cafe (คาเฟ่บ้านนอก) </v>
      </c>
    </row>
    <row r="15">
      <c r="A15" s="1" t="s">
        <v>1343</v>
      </c>
      <c r="B15" s="1" t="s">
        <v>1101</v>
      </c>
      <c r="C15" s="2" t="str">
        <f>HYPERLINK("http://4sq.com/bRvF9E","Chiang Mai International Airport (CNX) ท่าอากาศยานเชียงใหม่ ")</f>
        <v>Chiang Mai International Airport (CNX) ท่าอากาศยานเชียงใหม่ </v>
      </c>
    </row>
    <row r="16">
      <c r="A16" s="1" t="s">
        <v>1344</v>
      </c>
      <c r="B16" s="1" t="s">
        <v>1101</v>
      </c>
      <c r="C16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17">
      <c r="A17" s="1" t="s">
        <v>1345</v>
      </c>
      <c r="B17" s="1" t="s">
        <v>1101</v>
      </c>
      <c r="C17" s="2" t="str">
        <f>HYPERLINK("http://4sq.com/fqH930","Belle Grand Rama IX (เบลล์ แกรนด์ พระราม 9) ")</f>
        <v>Belle Grand Rama IX (เบลล์ แกรนด์ พระราม 9) </v>
      </c>
    </row>
    <row r="18">
      <c r="A18" s="1" t="s">
        <v>1346</v>
      </c>
      <c r="B18" s="1" t="s">
        <v>1101</v>
      </c>
      <c r="C18" s="2" t="str">
        <f>HYPERLINK("http://4sq.com/JDAKvL","Mix Restaurant &amp; Bar ")</f>
        <v>Mix Restaurant &amp; Bar </v>
      </c>
    </row>
    <row r="19">
      <c r="A19" s="1" t="s">
        <v>1347</v>
      </c>
      <c r="B19" s="1" t="s">
        <v>1101</v>
      </c>
      <c r="C19" s="2" t="str">
        <f>HYPERLINK("http://4sq.com/bAJ7ty","S&amp;P (เอสแอนด์พี) ")</f>
        <v>S&amp;P (เอสแอนด์พี) </v>
      </c>
    </row>
    <row r="20">
      <c r="A20" s="1" t="s">
        <v>1348</v>
      </c>
      <c r="B20" s="1" t="s">
        <v>1101</v>
      </c>
      <c r="C20" s="2" t="str">
        <f>HYPERLINK("http://4sq.com/1frVFQV","Mango Villages ")</f>
        <v>Mango Villages </v>
      </c>
    </row>
    <row r="21">
      <c r="A21" s="1" t="s">
        <v>1349</v>
      </c>
      <c r="B21" s="1" t="s">
        <v>1101</v>
      </c>
      <c r="C21" s="2" t="str">
        <f>HYPERLINK("http://4sq.com/MK0R4n","Fatty's Bar&amp;Diner ")</f>
        <v>Fatty's Bar&amp;Diner </v>
      </c>
    </row>
    <row r="22">
      <c r="A22" s="1" t="s">
        <v>1350</v>
      </c>
      <c r="B22" s="1" t="s">
        <v>1101</v>
      </c>
      <c r="C22" s="2" t="str">
        <f>HYPERLINK("http://4sq.com/fqH930","Belle Grand Rama IX (เบลล์ แกรนด์ พระราม 9) ")</f>
        <v>Belle Grand Rama IX (เบลล์ แกรนด์ พระราม 9) </v>
      </c>
    </row>
    <row r="23">
      <c r="A23" s="1" t="s">
        <v>1351</v>
      </c>
      <c r="B23" s="1" t="s">
        <v>1101</v>
      </c>
      <c r="C23" s="2" t="str">
        <f>HYPERLINK("http://4sq.com/l3OwxX","Angolo ")</f>
        <v>Angolo </v>
      </c>
    </row>
    <row r="24">
      <c r="A24" s="1" t="s">
        <v>1352</v>
      </c>
      <c r="B24" s="1" t="s">
        <v>1101</v>
      </c>
      <c r="C24" s="2" t="str">
        <f>HYPERLINK("http://4sq.com/quP7dM","Smiling Albino ")</f>
        <v>Smiling Albino </v>
      </c>
    </row>
    <row r="25">
      <c r="A25" s="1" t="s">
        <v>1353</v>
      </c>
      <c r="B25" s="1" t="s">
        <v>1101</v>
      </c>
      <c r="C25" s="2" t="str">
        <f>HYPERLINK("http://4sq.com/dbQ83j","Centurion park condo ")</f>
        <v>Centurion park condo </v>
      </c>
    </row>
    <row r="26">
      <c r="A26" s="1" t="s">
        <v>1354</v>
      </c>
      <c r="B26" s="1" t="s">
        <v>1101</v>
      </c>
      <c r="C26" s="2" t="str">
        <f>HYPERLINK("http://4sq.com/9gfpYu","ครัวแม่ปัญญา By ศรีสุดา ")</f>
        <v>ครัวแม่ปัญญา By ศรีสุดา </v>
      </c>
    </row>
    <row r="27">
      <c r="A27" s="1" t="s">
        <v>1355</v>
      </c>
      <c r="B27" s="1" t="s">
        <v>1101</v>
      </c>
      <c r="C27" s="2" t="str">
        <f>HYPERLINK("http://4sq.com/5oqenb","อนุสาวรีย์ชัยสมรภูมิ (Victory Monument) ")</f>
        <v>อนุสาวรีย์ชัยสมรภูมิ (Victory Monument) </v>
      </c>
    </row>
    <row r="28">
      <c r="A28" s="1" t="s">
        <v>1356</v>
      </c>
      <c r="B28" s="1" t="s">
        <v>1101</v>
      </c>
      <c r="C28" s="2" t="str">
        <f>HYPERLINK("http://4sq.com/4xZkKj","Don Mueang International Airport (DMK) ท่าอากาศยานดอนเมือง ")</f>
        <v>Don Mueang International Airport (DMK) ท่าอากาศยานดอนเมือง </v>
      </c>
    </row>
    <row r="29">
      <c r="A29" s="1" t="s">
        <v>1357</v>
      </c>
      <c r="B29" s="1" t="s">
        <v>1101</v>
      </c>
      <c r="C29" s="2" t="str">
        <f>HYPERLINK("http://4sq.com/1ItZRP3","The Coffee Club (เดอะ คอฟฟี่ คลับ) ")</f>
        <v>The Coffee Club (เดอะ คอฟฟี่ คลับ) </v>
      </c>
    </row>
    <row r="30">
      <c r="A30" s="1" t="s">
        <v>1358</v>
      </c>
      <c r="B30" s="1" t="s">
        <v>1101</v>
      </c>
      <c r="C30" s="2" t="str">
        <f>HYPERLINK("http://4sq.com/1GjmLUZ","Pizza Pasta by Simon ")</f>
        <v>Pizza Pasta by Simon </v>
      </c>
    </row>
    <row r="31">
      <c r="A31" s="1" t="s">
        <v>1359</v>
      </c>
      <c r="B31" s="1" t="s">
        <v>1101</v>
      </c>
      <c r="C31" s="2" t="str">
        <f>HYPERLINK("http://4sq.com/1uTcCs4","Local Cafe (คาเฟ่บ้านนอก) ")</f>
        <v>Local Cafe (คาเฟ่บ้านนอก) </v>
      </c>
    </row>
    <row r="32">
      <c r="A32" s="1" t="s">
        <v>1360</v>
      </c>
      <c r="B32" s="1" t="s">
        <v>1101</v>
      </c>
      <c r="C32" s="2" t="str">
        <f>HYPERLINK("http://4sq.com/1ZQBMcT","Jarndiew favorite of Thais ")</f>
        <v>Jarndiew favorite of Thais </v>
      </c>
    </row>
    <row r="33">
      <c r="A33" s="1" t="s">
        <v>1361</v>
      </c>
      <c r="B33" s="1" t="s">
        <v>1101</v>
      </c>
      <c r="C33" s="2" t="str">
        <f>HYPERLINK("http://4sq.com/1GjmLUZ","Pizza Pasta by Simon ")</f>
        <v>Pizza Pasta by Simon </v>
      </c>
    </row>
    <row r="34">
      <c r="A34" s="1" t="s">
        <v>1362</v>
      </c>
      <c r="B34" s="1" t="s">
        <v>1101</v>
      </c>
      <c r="C34" s="2" t="str">
        <f>HYPERLINK("http://4sq.com/9Xt3FL","ห้วยตึงเฒ่า (Huay Tueng Tao) ")</f>
        <v>ห้วยตึงเฒ่า (Huay Tueng Tao) </v>
      </c>
    </row>
    <row r="35">
      <c r="A35" s="1" t="s">
        <v>1363</v>
      </c>
      <c r="B35" s="1" t="s">
        <v>1101</v>
      </c>
      <c r="C35" s="2" t="str">
        <f>HYPERLINK("http://4sq.com/1BjQ2z6","SS1254372 Cafe ")</f>
        <v>SS1254372 Cafe </v>
      </c>
    </row>
    <row r="36">
      <c r="A36" s="1" t="s">
        <v>1364</v>
      </c>
      <c r="B36" s="1" t="s">
        <v>1101</v>
      </c>
      <c r="C36" s="2" t="str">
        <f>HYPERLINK("http://4sq.com/o3ZEdO","See Paak Restaurant ")</f>
        <v>See Paak Restaurant </v>
      </c>
    </row>
    <row r="37">
      <c r="A37" s="1" t="s">
        <v>1365</v>
      </c>
      <c r="B37" s="1" t="s">
        <v>1101</v>
      </c>
      <c r="C37" s="2" t="str">
        <f>HYPERLINK("http://4sq.com/1uTcCs4","Local Cafe (คาเฟ่บ้านนอก) ")</f>
        <v>Local Cafe (คาเฟ่บ้านนอก) </v>
      </c>
    </row>
    <row r="38">
      <c r="A38" s="1" t="s">
        <v>1366</v>
      </c>
      <c r="B38" s="1" t="s">
        <v>1101</v>
      </c>
      <c r="C38" s="2" t="str">
        <f>HYPERLINK("http://4sq.com/aUycgs","บ้านไร่ยามเย็น (Baan Rai Yarm Yen) ")</f>
        <v>บ้านไร่ยามเย็น (Baan Rai Yarm Yen) </v>
      </c>
    </row>
    <row r="39">
      <c r="A39" s="1" t="s">
        <v>1367</v>
      </c>
      <c r="B39" s="1" t="s">
        <v>1101</v>
      </c>
      <c r="C39" s="2" t="str">
        <f>HYPERLINK("http://4sq.com/eF8Lbu","มีโชคพลาซ่า (Meechok Plaza) ")</f>
        <v>มีโชคพลาซ่า (Meechok Plaza) </v>
      </c>
    </row>
    <row r="40">
      <c r="A40" s="1" t="s">
        <v>1368</v>
      </c>
      <c r="B40" s="1" t="s">
        <v>1101</v>
      </c>
      <c r="C40" s="2" t="str">
        <f>HYPERLINK("http://4sq.com/1eCpkTQ","MAYA (เมญ่า) ")</f>
        <v>MAYA (เมญ่า) </v>
      </c>
    </row>
    <row r="41">
      <c r="A41" s="1" t="s">
        <v>1369</v>
      </c>
      <c r="B41" s="1" t="s">
        <v>1370</v>
      </c>
      <c r="C41" s="2" t="str">
        <f>HYPERLINK("http://4sq.com/aBeuqJ","ตรวจคนเข้าเมือง จ.เชียงใหม่ (Chiang Mai Immigration) ")</f>
        <v>ตรวจคนเข้าเมือง จ.เชียงใหม่ (Chiang Mai Immigration) </v>
      </c>
    </row>
    <row r="42">
      <c r="A42" s="1" t="s">
        <v>1371</v>
      </c>
      <c r="B42" s="1" t="s">
        <v>1101</v>
      </c>
      <c r="C42" s="2" t="str">
        <f>HYPERLINK("http://4sq.com/axLFNw","ปตท. (PTT) ")</f>
        <v>ปตท. (PTT) </v>
      </c>
    </row>
    <row r="43">
      <c r="A43" s="1" t="s">
        <v>1372</v>
      </c>
      <c r="B43" s="1" t="s">
        <v>1101</v>
      </c>
      <c r="C43" s="2" t="str">
        <f>HYPERLINK("http://4sq.com/1UAssUD","Mamma Mia ")</f>
        <v>Mamma Mia </v>
      </c>
    </row>
    <row r="44">
      <c r="A44" s="1" t="s">
        <v>1373</v>
      </c>
      <c r="B44" s="1" t="s">
        <v>1101</v>
      </c>
      <c r="C44" s="2" t="str">
        <f>HYPERLINK("http://4sq.com/1GjmLUZ","Pizza Pasta by Simon ")</f>
        <v>Pizza Pasta by Simon </v>
      </c>
    </row>
    <row r="45">
      <c r="A45" s="1" t="s">
        <v>1374</v>
      </c>
      <c r="B45" s="1" t="s">
        <v>1101</v>
      </c>
      <c r="C45" s="2" t="str">
        <f>HYPERLINK("http://4sq.com/o3ZEdO","See Paak Restaurant ")</f>
        <v>See Paak Restaurant </v>
      </c>
    </row>
    <row r="46">
      <c r="A46" s="1" t="s">
        <v>1375</v>
      </c>
      <c r="B46" s="1" t="s">
        <v>1101</v>
      </c>
      <c r="C46" s="2" t="str">
        <f>HYPERLINK("http://4sq.com/1eCpkTQ","MAYA (เมญ่า) ")</f>
        <v>MAYA (เมญ่า) </v>
      </c>
    </row>
    <row r="47">
      <c r="A47" s="1" t="s">
        <v>1376</v>
      </c>
      <c r="B47" s="1" t="s">
        <v>1101</v>
      </c>
      <c r="C47" s="2" t="str">
        <f>HYPERLINK("http://4sq.com/aI08BQ","Four Seasons Resort Chiang Mai ")</f>
        <v>Four Seasons Resort Chiang Mai </v>
      </c>
    </row>
    <row r="48">
      <c r="A48" s="1" t="s">
        <v>1377</v>
      </c>
      <c r="B48" s="1" t="s">
        <v>1101</v>
      </c>
      <c r="C48" s="2" t="str">
        <f>HYPERLINK("http://4sq.com/cxtbt0","สวนพฤกษศาสตร์สมเด็จพระนางเจ้าสิริกิติ์ (Queen Sirikit Botanic Garden) ")</f>
        <v>สวนพฤกษศาสตร์สมเด็จพระนางเจ้าสิริกิติ์ (Queen Sirikit Botanic Garden) </v>
      </c>
    </row>
    <row r="49">
      <c r="A49" s="1" t="s">
        <v>1378</v>
      </c>
      <c r="B49" s="1" t="s">
        <v>1101</v>
      </c>
      <c r="C49" s="2" t="str">
        <f>HYPERLINK("http://4sq.com/1HUrpXh","ข้าวซอยรสลำ ")</f>
        <v>ข้าวซอยรสลำ </v>
      </c>
    </row>
    <row r="50">
      <c r="A50" s="1" t="s">
        <v>1379</v>
      </c>
      <c r="B50" s="1" t="s">
        <v>1101</v>
      </c>
      <c r="C50" s="2" t="str">
        <f>HYPERLINK("http://4sq.com/13qrSfI","Kaffee Bitte at Plai-na (คาฟเฟ บิตเต แอท ปลายนา) ")</f>
        <v>Kaffee Bitte at Plai-na (คาฟเฟ บิตเต แอท ปลายนา) </v>
      </c>
    </row>
    <row r="51">
      <c r="A51" s="1" t="s">
        <v>1380</v>
      </c>
      <c r="B51" s="1" t="s">
        <v>1101</v>
      </c>
      <c r="C51" s="2" t="str">
        <f>HYPERLINK("http://4sq.com/1cafSmt","โป่งเหมืองแร่ ")</f>
        <v>โป่งเหมืองแร่ </v>
      </c>
    </row>
    <row r="52">
      <c r="A52" s="1" t="s">
        <v>1381</v>
      </c>
      <c r="B52" s="1" t="s">
        <v>1101</v>
      </c>
      <c r="C52" s="2" t="str">
        <f>HYPERLINK("http://4sq.com/bA6Dp1","ปาย (Pai) ")</f>
        <v>ปาย (Pai) </v>
      </c>
    </row>
    <row r="53">
      <c r="A53" s="1" t="s">
        <v>1382</v>
      </c>
      <c r="B53" s="1" t="s">
        <v>1101</v>
      </c>
      <c r="C53" s="2" t="str">
        <f>HYPERLINK("http://4sq.com/aABBDM","Baan Suan Rim Pai ")</f>
        <v>Baan Suan Rim Pai </v>
      </c>
    </row>
    <row r="54">
      <c r="A54" s="1" t="s">
        <v>1383</v>
      </c>
      <c r="B54" s="1" t="s">
        <v>1101</v>
      </c>
      <c r="C54" s="2" t="str">
        <f>HYPERLINK("http://4sq.com/aQZ11o","Almost Famous ")</f>
        <v>Almost Famous </v>
      </c>
    </row>
    <row r="55">
      <c r="A55" s="1" t="s">
        <v>1384</v>
      </c>
      <c r="B55" s="1" t="s">
        <v>1101</v>
      </c>
      <c r="C55" s="2" t="str">
        <f>HYPERLINK("http://4sq.com/rciZaO","Big's Little Cafe' ")</f>
        <v>Big's Little Cafe' </v>
      </c>
    </row>
    <row r="56">
      <c r="A56" s="1" t="s">
        <v>1385</v>
      </c>
      <c r="B56" s="1" t="s">
        <v>1101</v>
      </c>
      <c r="C56" s="2" t="str">
        <f>HYPERLINK("http://4sq.com/1MRo2b7","ศาลาไอติม ")</f>
        <v>ศาลาไอติม </v>
      </c>
    </row>
    <row r="57">
      <c r="A57" s="1" t="s">
        <v>1386</v>
      </c>
      <c r="B57" s="1" t="s">
        <v>1101</v>
      </c>
      <c r="C57" s="2" t="str">
        <f>HYPERLINK("http://4sq.com/1uTcCs4","Local Cafe (คาเฟ่บ้านนอก) ")</f>
        <v>Local Cafe (คาเฟ่บ้านนอก) </v>
      </c>
    </row>
    <row r="58">
      <c r="A58" s="1" t="s">
        <v>1387</v>
      </c>
      <c r="B58" s="1" t="s">
        <v>1101</v>
      </c>
      <c r="C58" s="2" t="str">
        <f>HYPERLINK("http://4sq.com/dc0ZyP","โรงพยาบาลเชียงใหม่ ราม (Chiangmai Ram Hospital) ")</f>
        <v>โรงพยาบาลเชียงใหม่ ราม (Chiangmai Ram Hospital) </v>
      </c>
    </row>
    <row r="59">
      <c r="A59" s="1" t="s">
        <v>1388</v>
      </c>
      <c r="B59" s="1" t="s">
        <v>1101</v>
      </c>
      <c r="C59" s="2" t="str">
        <f>HYPERLINK("http://4sq.com/1leydG4","Kaweh Café ")</f>
        <v>Kaweh Café </v>
      </c>
    </row>
    <row r="60">
      <c r="A60" s="1" t="s">
        <v>1389</v>
      </c>
      <c r="B60" s="1" t="s">
        <v>1101</v>
      </c>
      <c r="C60" s="2" t="str">
        <f>HYPERLINK("http://4sq.com/1NMIaul","Cheunjai Coffee&amp;Thai food ")</f>
        <v>Cheunjai Coffee&amp;Thai food </v>
      </c>
    </row>
    <row r="61">
      <c r="A61" s="1" t="s">
        <v>1390</v>
      </c>
      <c r="B61" s="1" t="s">
        <v>1101</v>
      </c>
      <c r="C61" s="2" t="str">
        <f>HYPERLINK("http://4sq.com/o3ZEdO","See Paak Restaurant ")</f>
        <v>See Paak Restaurant </v>
      </c>
    </row>
    <row r="62">
      <c r="A62" s="1" t="s">
        <v>1391</v>
      </c>
      <c r="B62" s="1" t="s">
        <v>1101</v>
      </c>
      <c r="C62" s="2" t="str">
        <f>HYPERLINK("http://4sq.com/u3uj6W","Krapood Farm Kitchen + Pub ")</f>
        <v>Krapood Farm Kitchen + Pub </v>
      </c>
    </row>
    <row r="63">
      <c r="A63" s="1" t="s">
        <v>1392</v>
      </c>
      <c r="B63" s="1" t="s">
        <v>1101</v>
      </c>
      <c r="C63" s="2" t="str">
        <f>HYPERLINK("http://4sq.com/1uTcCs4","Local Cafe (คาเฟ่บ้านนอก) ")</f>
        <v>Local Cafe (คาเฟ่บ้านนอก) </v>
      </c>
    </row>
    <row r="64">
      <c r="A64" s="1" t="s">
        <v>1393</v>
      </c>
      <c r="B64" s="1" t="s">
        <v>1101</v>
      </c>
      <c r="C64" s="2" t="str">
        <f>HYPERLINK("http://4sq.com/clG1h1","กาแฟวาวี (Wawee Coffee) ")</f>
        <v>กาแฟวาวี (Wawee Coffee) </v>
      </c>
    </row>
    <row r="65">
      <c r="A65" s="1" t="s">
        <v>1394</v>
      </c>
      <c r="B65" s="1" t="s">
        <v>1101</v>
      </c>
      <c r="C65" s="2" t="str">
        <f>HYPERLINK("http://4sq.com/VROGQA","กาแฟวาวี (Wawee Coffee) ")</f>
        <v>กาแฟวาวี (Wawee Coffee) </v>
      </c>
    </row>
    <row r="66">
      <c r="A66" s="1" t="s">
        <v>1395</v>
      </c>
      <c r="B66" s="1" t="s">
        <v>1101</v>
      </c>
      <c r="C66" s="2" t="str">
        <f>HYPERLINK("http://4sq.com/9uSYt7","Krung Thai Bank (ธนาคารกรุงไทย) ")</f>
        <v>Krung Thai Bank (ธนาคารกรุงไทย) </v>
      </c>
    </row>
    <row r="67">
      <c r="A67" s="1" t="s">
        <v>1396</v>
      </c>
      <c r="B67" s="1" t="s">
        <v>1101</v>
      </c>
      <c r="C67" s="2" t="str">
        <f>HYPERLINK("http://4sq.com/hjWEPh","Nimseeseng Transport 1988 (นิ่มซี่เส็งขนส่ง 1988) ")</f>
        <v>Nimseeseng Transport 1988 (นิ่มซี่เส็งขนส่ง 1988) </v>
      </c>
    </row>
    <row r="68">
      <c r="A68" s="1" t="s">
        <v>1397</v>
      </c>
      <c r="B68" s="1" t="s">
        <v>1101</v>
      </c>
      <c r="C68" s="2" t="str">
        <f>HYPERLINK("http://4sq.com/1NMIaul","Cheunjai Coffee&amp;Thai food ")</f>
        <v>Cheunjai Coffee&amp;Thai food </v>
      </c>
    </row>
    <row r="69">
      <c r="A69" s="1" t="s">
        <v>1398</v>
      </c>
      <c r="B69" s="1" t="s">
        <v>1101</v>
      </c>
      <c r="C69" s="2" t="str">
        <f>HYPERLINK("http://4sq.com/1GjmLUZ","Pizza Pasta by Simon ")</f>
        <v>Pizza Pasta by Simon </v>
      </c>
    </row>
    <row r="70">
      <c r="A70" s="1" t="s">
        <v>1399</v>
      </c>
      <c r="B70" s="1" t="s">
        <v>1101</v>
      </c>
      <c r="C70" s="2" t="str">
        <f>HYPERLINK("http://4sq.com/o3ZEdO","See Paak Restaurant ")</f>
        <v>See Paak Restaurant </v>
      </c>
    </row>
    <row r="71">
      <c r="A71" s="1" t="s">
        <v>1400</v>
      </c>
      <c r="B71" s="1" t="s">
        <v>1101</v>
      </c>
      <c r="C71" s="2" t="str">
        <f>HYPERLINK("http://4sq.com/I28LVE","Café de Oasis (คาเฟ่ เดอ โอเอซิส) ")</f>
        <v>Café de Oasis (คาเฟ่ เดอ โอเอซิส) </v>
      </c>
    </row>
    <row r="72">
      <c r="A72" s="1" t="s">
        <v>1401</v>
      </c>
      <c r="B72" s="1" t="s">
        <v>1101</v>
      </c>
      <c r="C72" s="2" t="str">
        <f>HYPERLINK("http://4sq.com/u7TQhI","เชียงดาว ")</f>
        <v>เชียงดาว </v>
      </c>
    </row>
    <row r="73">
      <c r="A73" s="1" t="s">
        <v>1402</v>
      </c>
      <c r="B73" s="1" t="s">
        <v>1101</v>
      </c>
      <c r="C73" s="2" t="str">
        <f>HYPERLINK("http://4sq.com/1TAz3is","s service ")</f>
        <v>s service </v>
      </c>
    </row>
    <row r="74">
      <c r="A74" s="1" t="s">
        <v>1403</v>
      </c>
      <c r="B74" s="1" t="s">
        <v>1101</v>
      </c>
      <c r="C74" s="2" t="str">
        <f>HYPERLINK("http://4sq.com/17dbEyl","7/11#5067 บ้านอรุโณทัย อ.เชียงดาว ")</f>
        <v>7/11#5067 บ้านอรุโณทัย อ.เชียงดาว </v>
      </c>
    </row>
    <row r="75">
      <c r="A75" s="1" t="s">
        <v>1404</v>
      </c>
      <c r="B75" s="1" t="s">
        <v>1101</v>
      </c>
      <c r="C75" s="2" t="str">
        <f>HYPERLINK("http://4sq.com/czutcr","รีสอร์ทธรรมชาติอ่างขาง (Angkhang Nature Resort) ")</f>
        <v>รีสอร์ทธรรมชาติอ่างขาง (Angkhang Nature Resort) </v>
      </c>
    </row>
    <row r="76">
      <c r="A76" s="1" t="s">
        <v>1405</v>
      </c>
      <c r="B76" s="1" t="s">
        <v>1101</v>
      </c>
      <c r="C76" s="2" t="str">
        <f>HYPERLINK("http://4sq.com/fQrFrq","สถานีเกษตรหลวงอ่างขาง (Royal Agricultural Station Angkhang) ")</f>
        <v>สถานีเกษตรหลวงอ่างขาง (Royal Agricultural Station Angkhang) </v>
      </c>
    </row>
    <row r="77">
      <c r="A77" s="1" t="s">
        <v>1406</v>
      </c>
      <c r="B77" s="1" t="s">
        <v>1101</v>
      </c>
      <c r="C77" s="2" t="str">
        <f>HYPERLINK("http://4sq.com/o3ZEdO","See Paak Restaurant ")</f>
        <v>See Paak Restaurant </v>
      </c>
    </row>
    <row r="78">
      <c r="A78" s="1" t="s">
        <v>1407</v>
      </c>
      <c r="B78" s="1" t="s">
        <v>1101</v>
      </c>
      <c r="C78" s="2" t="str">
        <f>HYPERLINK("http://4sq.com/djBO50","ธนาคารกรุงเทพ (Bangkok Bank) ")</f>
        <v>ธนาคารกรุงเทพ (Bangkok Bank) </v>
      </c>
    </row>
    <row r="79">
      <c r="A79" s="1" t="s">
        <v>1408</v>
      </c>
      <c r="B79" s="1" t="s">
        <v>1101</v>
      </c>
      <c r="C79" s="2" t="str">
        <f>HYPERLINK("http://4sq.com/hUz4k8","สำนักงานที่ดินจังหวัดเชียงใหม่ ")</f>
        <v>สำนักงานที่ดินจังหวัดเชียงใหม่ </v>
      </c>
    </row>
    <row r="80">
      <c r="A80" s="1" t="s">
        <v>1409</v>
      </c>
      <c r="B80" s="1" t="s">
        <v>1101</v>
      </c>
      <c r="C80" s="2" t="str">
        <f>HYPERLINK("http://4sq.com/1ffg45c","ก๋วยเตี๋ยวเรือฟ้ามุ่ย (@ The Harbour) ")</f>
        <v>ก๋วยเตี๋ยวเรือฟ้ามุ่ย (@ The Harbour) </v>
      </c>
    </row>
    <row r="81">
      <c r="A81" s="1" t="s">
        <v>1410</v>
      </c>
      <c r="B81" s="1" t="s">
        <v>1101</v>
      </c>
      <c r="C81" s="2" t="str">
        <f>HYPERLINK("http://4sq.com/9LdumZ","Think Park (ธิงคพาร์ค) ")</f>
        <v>Think Park (ธิงคพาร์ค) </v>
      </c>
    </row>
    <row r="82">
      <c r="A82" s="1" t="s">
        <v>1411</v>
      </c>
      <c r="B82" s="1" t="s">
        <v>1101</v>
      </c>
      <c r="C82" s="2" t="str">
        <f>HYPERLINK("http://4sq.com/bkqKmM","มหาวิทยาลัยพายัพ (Payap University) ")</f>
        <v>มหาวิทยาลัยพายัพ (Payap University) </v>
      </c>
    </row>
    <row r="83">
      <c r="A83" s="1" t="s">
        <v>1412</v>
      </c>
      <c r="B83" s="1" t="s">
        <v>1101</v>
      </c>
      <c r="C83" s="2" t="str">
        <f>HYPERLINK("http://4sq.com/o3ZEdO","See Paak Restaurant ")</f>
        <v>See Paak Restaurant </v>
      </c>
    </row>
    <row r="84">
      <c r="A84" s="1" t="s">
        <v>1413</v>
      </c>
      <c r="B84" s="1" t="s">
        <v>1414</v>
      </c>
      <c r="C84" s="2" t="str">
        <f>HYPERLINK("http://4sq.com/15MH9YQ","TOM N TOMS COFFEE ")</f>
        <v>TOM N TOMS COFFEE </v>
      </c>
    </row>
    <row r="85">
      <c r="A85" s="1" t="s">
        <v>1415</v>
      </c>
      <c r="B85" s="1" t="s">
        <v>1101</v>
      </c>
      <c r="C85" s="2" t="str">
        <f>HYPERLINK("http://4sq.com/aCCyTW","The Pub ")</f>
        <v>The Pub </v>
      </c>
    </row>
    <row r="86">
      <c r="A86" s="1" t="s">
        <v>1416</v>
      </c>
      <c r="B86" s="1" t="s">
        <v>1101</v>
      </c>
      <c r="C86" s="2" t="str">
        <f>HYPERLINK("http://4sq.com/dwBNev","แกงร้อนบ้านสวน (Kang Ron Baan Suan) ")</f>
        <v>แกงร้อนบ้านสวน (Kang Ron Baan Suan) </v>
      </c>
    </row>
    <row r="87">
      <c r="A87" s="1" t="s">
        <v>1417</v>
      </c>
      <c r="B87" s="1" t="s">
        <v>1101</v>
      </c>
      <c r="C87" s="2" t="str">
        <f>HYPERLINK("http://4sq.com/o3ZEdO","See Paak Restaurant ")</f>
        <v>See Paak Restaurant </v>
      </c>
    </row>
    <row r="88">
      <c r="A88" s="1" t="s">
        <v>1418</v>
      </c>
      <c r="B88" s="1" t="s">
        <v>1101</v>
      </c>
      <c r="C88" s="2" t="str">
        <f>HYPERLINK("http://4sq.com/aBeuqJ","ตรวจคนเข้าเมือง จ.เชียงใหม่ (Chiang Mai Immigration) ")</f>
        <v>ตรวจคนเข้าเมือง จ.เชียงใหม่ (Chiang Mai Immigration) </v>
      </c>
    </row>
    <row r="89">
      <c r="A89" s="1" t="s">
        <v>1419</v>
      </c>
      <c r="B89" s="1" t="s">
        <v>1101</v>
      </c>
      <c r="C89" s="2" t="str">
        <f>HYPERLINK("http://4sq.com/aI08BQ","Four Seasons Resort Chiang Mai ")</f>
        <v>Four Seasons Resort Chiang Mai </v>
      </c>
    </row>
    <row r="90">
      <c r="A90" s="1" t="s">
        <v>1420</v>
      </c>
      <c r="B90" s="1" t="s">
        <v>1101</v>
      </c>
      <c r="C90" s="2" t="str">
        <f>HYPERLINK("http://4sq.com/TqhHqQ","Nic's Restaurant &amp; Playground ")</f>
        <v>Nic's Restaurant &amp; Playground </v>
      </c>
    </row>
    <row r="91">
      <c r="A91" s="1" t="s">
        <v>1421</v>
      </c>
      <c r="B91" s="1" t="s">
        <v>1101</v>
      </c>
      <c r="C91" s="2" t="str">
        <f>HYPERLINK("http://4sq.com/1NMIaul","Cheunjai Coffee&amp;Thai food ")</f>
        <v>Cheunjai Coffee&amp;Thai food </v>
      </c>
    </row>
    <row r="92">
      <c r="A92" s="1" t="s">
        <v>1422</v>
      </c>
      <c r="B92" s="1" t="s">
        <v>1101</v>
      </c>
      <c r="C92" s="2" t="str">
        <f>HYPERLINK("http://4sq.com/VROGQA","กาแฟวาวี (Wawee Coffee) ")</f>
        <v>กาแฟวาวี (Wawee Coffee) </v>
      </c>
    </row>
    <row r="93">
      <c r="A93" s="1" t="s">
        <v>1423</v>
      </c>
      <c r="B93" s="1" t="s">
        <v>1101</v>
      </c>
      <c r="C93" s="2" t="str">
        <f>HYPERLINK("http://4sq.com/1GjmLUZ","Pizza Pasta by Simon ")</f>
        <v>Pizza Pasta by Simon </v>
      </c>
    </row>
    <row r="94">
      <c r="A94" s="1" t="s">
        <v>1424</v>
      </c>
      <c r="B94" s="1" t="s">
        <v>1101</v>
      </c>
      <c r="C94" s="2" t="str">
        <f>HYPERLINK("http://4sq.com/1LwwIEn","Let It Be ")</f>
        <v>Let It Be </v>
      </c>
    </row>
    <row r="95">
      <c r="A95" s="1" t="s">
        <v>1425</v>
      </c>
      <c r="B95" s="1" t="s">
        <v>1101</v>
      </c>
      <c r="C95" s="2" t="str">
        <f>HYPERLINK("http://4sq.com/1T6nsHJ","HAYA ")</f>
        <v>HAYA </v>
      </c>
    </row>
    <row r="96">
      <c r="A96" s="1" t="s">
        <v>1426</v>
      </c>
      <c r="B96" s="1" t="s">
        <v>1101</v>
      </c>
      <c r="C96" s="2" t="str">
        <f>HYPERLINK("http://4sq.com/1oGuMyQ","Yentoufo Bar ")</f>
        <v>Yentoufo Bar </v>
      </c>
    </row>
    <row r="97">
      <c r="A97" s="1" t="s">
        <v>1427</v>
      </c>
      <c r="B97" s="1" t="s">
        <v>1101</v>
      </c>
      <c r="C97" s="2" t="str">
        <f>HYPERLINK("http://4sq.com/1lpaXII","Snowbuff Coffee (สโนว์บั๊ฟ คอฟฟี่) ")</f>
        <v>Snowbuff Coffee (สโนว์บั๊ฟ คอฟฟี่) </v>
      </c>
    </row>
    <row r="98">
      <c r="A98" s="1" t="s">
        <v>1428</v>
      </c>
      <c r="B98" s="1" t="s">
        <v>1101</v>
      </c>
      <c r="C98" s="2" t="str">
        <f>HYPERLINK("http://4sq.com/o3ZEdO","See Paak Restaurant ")</f>
        <v>See Paak Restaurant </v>
      </c>
    </row>
    <row r="99">
      <c r="A99" s="1" t="s">
        <v>1429</v>
      </c>
      <c r="B99" s="1" t="s">
        <v>1101</v>
      </c>
      <c r="C99" s="2" t="str">
        <f>HYPERLINK("http://4sq.com/1rS89V1","Subway 24 Hrs. at Nimmanahaemind ")</f>
        <v>Subway 24 Hrs. at Nimmanahaemind </v>
      </c>
    </row>
    <row r="100">
      <c r="A100" s="1" t="s">
        <v>1430</v>
      </c>
      <c r="B100" s="1" t="s">
        <v>1101</v>
      </c>
      <c r="C100" s="2" t="str">
        <f>HYPERLINK("http://4sq.com/pa8psl","Mac Café ")</f>
        <v>Mac Café </v>
      </c>
    </row>
    <row r="101">
      <c r="A101" s="1" t="s">
        <v>1431</v>
      </c>
      <c r="B101" s="1" t="s">
        <v>1101</v>
      </c>
      <c r="C101" s="2" t="str">
        <f>HYPERLINK("http://4sq.com/vxBDsk","ธ.กสิกรไทย แม่ริมพลาซ่า ")</f>
        <v>ธ.กสิกรไทย แม่ริมพลาซ่า </v>
      </c>
    </row>
    <row r="102">
      <c r="A102" s="1" t="s">
        <v>1432</v>
      </c>
      <c r="B102" s="1" t="s">
        <v>1101</v>
      </c>
      <c r="C102" s="2" t="str">
        <f>HYPERLINK("http://4sq.com/gzBkmg","U.S. Consulate General Chiang Mai (สถานกงสุลสหรัฐอเมริกา) ")</f>
        <v>U.S. Consulate General Chiang Mai (สถานกงสุลสหรัฐอเมริกา) </v>
      </c>
    </row>
    <row r="103">
      <c r="A103" s="1" t="s">
        <v>1433</v>
      </c>
      <c r="B103" s="1" t="s">
        <v>1101</v>
      </c>
      <c r="C103" s="2" t="str">
        <f>HYPERLINK("http://4sq.com/lh3q7w","สุขสถาน Coffee and Bakery ")</f>
        <v>สุขสถาน Coffee and Bakery </v>
      </c>
    </row>
    <row r="104">
      <c r="A104" s="1" t="s">
        <v>1434</v>
      </c>
      <c r="B104" s="1" t="s">
        <v>1101</v>
      </c>
      <c r="C104" s="2" t="str">
        <f>HYPERLINK("http://4sq.com/9dAeh7","Boat (โบ๊ต) ")</f>
        <v>Boat (โบ๊ต) </v>
      </c>
    </row>
    <row r="105">
      <c r="A105" s="1" t="s">
        <v>1435</v>
      </c>
      <c r="B105" s="1" t="s">
        <v>1101</v>
      </c>
      <c r="C105" s="2" t="str">
        <f>HYPERLINK("http://4sq.com/1hRl1pZ","ซุปเปอร์ถูก ")</f>
        <v>ซุปเปอร์ถูก </v>
      </c>
    </row>
    <row r="106">
      <c r="A106" s="1" t="s">
        <v>1436</v>
      </c>
      <c r="B106" s="1" t="s">
        <v>1101</v>
      </c>
      <c r="C106" s="2" t="str">
        <f>HYPERLINK("http://4sq.com/16mMaY2","Musashi Contemporary Sushi Bar ")</f>
        <v>Musashi Contemporary Sushi Bar </v>
      </c>
    </row>
    <row r="107">
      <c r="A107" s="1" t="s">
        <v>1437</v>
      </c>
      <c r="B107" s="1" t="s">
        <v>1101</v>
      </c>
      <c r="C107" s="2" t="str">
        <f>HYPERLINK("http://4sq.com/hInNp6","Esso (เอสโซ่) ")</f>
        <v>Esso (เอสโซ่) </v>
      </c>
    </row>
    <row r="108">
      <c r="A108" s="1" t="s">
        <v>1438</v>
      </c>
      <c r="B108" s="1" t="s">
        <v>1101</v>
      </c>
      <c r="C108" s="2" t="str">
        <f>HYPERLINK("http://4sq.com/ii4BhD","Coffee Wish ")</f>
        <v>Coffee Wish </v>
      </c>
    </row>
    <row r="109">
      <c r="A109" s="1" t="s">
        <v>1439</v>
      </c>
      <c r="B109" s="1" t="s">
        <v>1101</v>
      </c>
      <c r="C109" s="2" t="str">
        <f>HYPERLINK("http://4sq.com/o3ZEdO","See Paak Restaurant ")</f>
        <v>See Paak Restaurant </v>
      </c>
    </row>
    <row r="110">
      <c r="A110" s="1" t="s">
        <v>1440</v>
      </c>
      <c r="B110" s="1" t="s">
        <v>1101</v>
      </c>
      <c r="C110" s="2" t="str">
        <f>HYPERLINK("http://4sq.com/1GjmLUZ","Pizza Pasta by Simon ")</f>
        <v>Pizza Pasta by Simon </v>
      </c>
    </row>
    <row r="111">
      <c r="A111" s="1" t="s">
        <v>1441</v>
      </c>
      <c r="B111" s="1" t="s">
        <v>1101</v>
      </c>
      <c r="C111" s="2" t="str">
        <f>HYPERLINK("http://4sq.com/VfDtuo","เถิน Park 2454 ")</f>
        <v>เถิน Park 2454 </v>
      </c>
    </row>
    <row r="112">
      <c r="A112" s="1" t="s">
        <v>1442</v>
      </c>
      <c r="B112" s="1" t="s">
        <v>1101</v>
      </c>
      <c r="C112" s="2" t="str">
        <f>HYPERLINK("http://4sq.com/kqzwob","Oasis Bar&amp;Restauntrent ")</f>
        <v>Oasis Bar&amp;Restauntrent </v>
      </c>
    </row>
    <row r="113">
      <c r="A113" s="1" t="s">
        <v>1443</v>
      </c>
      <c r="B113" s="1" t="s">
        <v>1101</v>
      </c>
      <c r="C113" s="2" t="str">
        <f>HYPERLINK("http://4sq.com/c31TW4","ปตท.​ (PTT NGV) ")</f>
        <v>ปตท.​ (PTT NGV) </v>
      </c>
    </row>
    <row r="114">
      <c r="A114" s="1" t="s">
        <v>1444</v>
      </c>
      <c r="B114" s="1" t="s">
        <v>1101</v>
      </c>
      <c r="C114" s="2" t="str">
        <f>HYPERLINK("http://4sq.com/MifImD","The Coffee Club (เดอะคอฟฟี่คลับ) ")</f>
        <v>The Coffee Club (เดอะคอฟฟี่คลับ) </v>
      </c>
    </row>
    <row r="115">
      <c r="A115" s="1" t="s">
        <v>1445</v>
      </c>
      <c r="B115" s="1" t="s">
        <v>1101</v>
      </c>
      <c r="C115" s="2" t="str">
        <f>HYPERLINK("http://4sq.com/6faMgT","Siam Paragon (สยามพารากอน) ")</f>
        <v>Siam Paragon (สยามพารากอน) </v>
      </c>
    </row>
    <row r="116">
      <c r="A116" s="1" t="s">
        <v>1446</v>
      </c>
      <c r="B116" s="1" t="s">
        <v>1101</v>
      </c>
      <c r="C116" s="2" t="str">
        <f>HYPERLINK("http://4sq.com/5myePd","Noodle House ")</f>
        <v>Noodle House </v>
      </c>
    </row>
    <row r="117">
      <c r="A117" s="1" t="s">
        <v>1447</v>
      </c>
      <c r="B117" s="1" t="s">
        <v>1101</v>
      </c>
      <c r="C117" s="2" t="str">
        <f>HYPERLINK("http://4sq.com/1mVcFhl","Siam Square One (สยามสแควร์วัน) ")</f>
        <v>Siam Square One (สยามสแควร์วัน) </v>
      </c>
    </row>
    <row r="118">
      <c r="A118" s="1" t="s">
        <v>1448</v>
      </c>
      <c r="B118" s="1" t="s">
        <v>1101</v>
      </c>
      <c r="C118" s="2" t="str">
        <f>HYPERLINK("http://4sq.com/4rr65r","Roadhouse Barbecue ")</f>
        <v>Roadhouse Barbecue </v>
      </c>
    </row>
    <row r="119">
      <c r="A119" s="1" t="s">
        <v>1449</v>
      </c>
      <c r="B119" s="1" t="s">
        <v>1101</v>
      </c>
      <c r="C119" s="2" t="str">
        <f>HYPERLINK("http://4sq.com/fqH930","Belle Grand Rama IX (เบลล์ แกรนด์ พระราม 9) ")</f>
        <v>Belle Grand Rama IX (เบลล์ แกรนด์ พระราม 9) </v>
      </c>
    </row>
    <row r="120">
      <c r="A120" s="1" t="s">
        <v>1450</v>
      </c>
      <c r="B120" s="1" t="s">
        <v>1101</v>
      </c>
      <c r="C120" s="2" t="str">
        <f>HYPERLINK("http://4sq.com/1n0q0sa","Kourakuen (โคราคุเอ็น) 幸楽苑 ")</f>
        <v>Kourakuen (โคราคุเอ็น) 幸楽苑 </v>
      </c>
    </row>
    <row r="121">
      <c r="A121" s="1" t="s">
        <v>1451</v>
      </c>
      <c r="B121" s="1" t="s">
        <v>1101</v>
      </c>
      <c r="C121" s="2" t="str">
        <f>HYPERLINK("http://4sq.com/17AXm5B","Pink Tender (พิ้งค์ เทนเดอร์) ")</f>
        <v>Pink Tender (พิ้งค์ เทนเดอร์) </v>
      </c>
    </row>
    <row r="122">
      <c r="A122" s="1" t="s">
        <v>1452</v>
      </c>
      <c r="B122" s="1" t="s">
        <v>1101</v>
      </c>
      <c r="C122" s="2" t="str">
        <f>HYPERLINK("http://4sq.com/1XulqFC","Starbucks (สตาร์บัคส์) ")</f>
        <v>Starbucks (สตาร์บัคส์) </v>
      </c>
    </row>
    <row r="123">
      <c r="A123" s="1" t="s">
        <v>1453</v>
      </c>
      <c r="B123" s="1" t="s">
        <v>1101</v>
      </c>
      <c r="C123" s="2" t="str">
        <f>HYPERLINK("http://4sq.com/MifImD","The Coffee Club (เดอะคอฟฟี่คลับ) ")</f>
        <v>The Coffee Club (เดอะคอฟฟี่คลับ) </v>
      </c>
    </row>
    <row r="124">
      <c r="A124" s="1" t="s">
        <v>1454</v>
      </c>
      <c r="B124" s="1" t="s">
        <v>1455</v>
      </c>
      <c r="C124" s="2" t="str">
        <f>HYPERLINK("http://4sq.com/Qii9kZ","Starbucks (สตาร์บัคส์) ")</f>
        <v>Starbucks (สตาร์บัคส์) </v>
      </c>
    </row>
    <row r="125">
      <c r="A125" s="1" t="s">
        <v>1456</v>
      </c>
      <c r="B125" s="1" t="s">
        <v>1101</v>
      </c>
      <c r="C125" s="2" t="str">
        <f>HYPERLINK("http://4sq.com/acCCHE","My Resort Hua Hin ")</f>
        <v>My Resort Hua Hin </v>
      </c>
    </row>
    <row r="126">
      <c r="A126" s="1" t="s">
        <v>1457</v>
      </c>
      <c r="B126" s="1" t="s">
        <v>1101</v>
      </c>
      <c r="C126" s="2" t="str">
        <f>HYPERLINK("http://4sq.com/bisbD9","Papa John Grill Restaurant and Beer Garden ")</f>
        <v>Papa John Grill Restaurant and Beer Garden </v>
      </c>
    </row>
    <row r="127">
      <c r="A127" s="1" t="s">
        <v>1458</v>
      </c>
      <c r="B127" s="1" t="s">
        <v>1101</v>
      </c>
      <c r="C127" s="2" t="str">
        <f>HYPERLINK("http://4sq.com/acCCHE","My Resort Hua Hin ")</f>
        <v>My Resort Hua Hin </v>
      </c>
    </row>
    <row r="128">
      <c r="A128" s="1" t="s">
        <v>1459</v>
      </c>
      <c r="B128" s="1" t="s">
        <v>1101</v>
      </c>
      <c r="C128" s="2" t="str">
        <f>HYPERLINK("http://4sq.com/eBDxxv","สุภัทรา ริมทะเล (Supatra-by-the Sea) ")</f>
        <v>สุภัทรา ริมทะเล (Supatra-by-the Sea) </v>
      </c>
    </row>
    <row r="129">
      <c r="A129" s="1" t="s">
        <v>1460</v>
      </c>
      <c r="B129" s="1" t="s">
        <v>1101</v>
      </c>
      <c r="C129" s="2" t="str">
        <f>HYPERLINK("http://4sq.com/96pKvq","เจี้ยเส็ง ")</f>
        <v>เจี้ยเส็ง </v>
      </c>
    </row>
    <row r="130">
      <c r="A130" s="1" t="s">
        <v>1461</v>
      </c>
      <c r="B130" s="1" t="s">
        <v>1101</v>
      </c>
      <c r="C130" s="2" t="str">
        <f>HYPERLINK("http://4sq.com/eBDxxv","สุภัทรา ริมทะเล (Supatra-by-the Sea) ")</f>
        <v>สุภัทรา ริมทะเล (Supatra-by-the Sea) </v>
      </c>
    </row>
    <row r="131">
      <c r="A131" s="1" t="s">
        <v>1462</v>
      </c>
      <c r="B131" s="1" t="s">
        <v>1101</v>
      </c>
      <c r="C131" s="2" t="str">
        <f>HYPERLINK("http://4sq.com/yvtsZB","The Crest Santora ")</f>
        <v>The Crest Santora </v>
      </c>
    </row>
    <row r="132">
      <c r="A132" s="1" t="s">
        <v>1463</v>
      </c>
      <c r="B132" s="1" t="s">
        <v>1464</v>
      </c>
      <c r="C132" s="2" t="str">
        <f>HYPERLINK("http://4sq.com/8nshzI","Cicada Market (ซิเคด้า มาร์เก็ต) ")</f>
        <v>Cicada Market (ซิเคด้า มาร์เก็ต) </v>
      </c>
    </row>
    <row r="133">
      <c r="A133" s="1" t="s">
        <v>1465</v>
      </c>
      <c r="B133" s="1" t="s">
        <v>1101</v>
      </c>
      <c r="C133" s="2" t="str">
        <f>HYPERLINK("http://4sq.com/cZkrxp","The Baguette (เดอะ บักเก็ต) ")</f>
        <v>The Baguette (เดอะ บักเก็ต) </v>
      </c>
    </row>
    <row r="134">
      <c r="A134" s="1" t="s">
        <v>1466</v>
      </c>
      <c r="B134" s="1" t="s">
        <v>1101</v>
      </c>
      <c r="C134" s="2" t="str">
        <f>HYPERLINK("http://4sq.com/kVpZOx","สวนหลวงราชินี (19 ไร่) Hua Hin Queen's Park ")</f>
        <v>สวนหลวงราชินี (19 ไร่) Hua Hin Queen's Park </v>
      </c>
    </row>
    <row r="135">
      <c r="A135" s="1" t="s">
        <v>1467</v>
      </c>
      <c r="B135" s="1" t="s">
        <v>1101</v>
      </c>
      <c r="C135" s="2" t="str">
        <f>HYPERLINK("http://4sq.com/91Xf7Y","Premium Outlet Cha-am (พรีเมี่ยม เอ้าท์เล็ท ชะอำ) ")</f>
        <v>Premium Outlet Cha-am (พรีเมี่ยม เอ้าท์เล็ท ชะอำ) </v>
      </c>
    </row>
    <row r="136">
      <c r="A136" s="1" t="s">
        <v>1468</v>
      </c>
      <c r="B136" s="1" t="s">
        <v>1101</v>
      </c>
      <c r="C136" s="2" t="str">
        <f>HYPERLINK("http://4sq.com/quP7dM","Smiling Albino ")</f>
        <v>Smiling Albino </v>
      </c>
    </row>
    <row r="137">
      <c r="A137" s="1" t="s">
        <v>1469</v>
      </c>
      <c r="B137" s="1" t="s">
        <v>1101</v>
      </c>
      <c r="C137" s="2" t="str">
        <f>HYPERLINK("http://4sq.com/cOayJy","โรงแรมกานต์มณี พาเลซ (Karnmanee Palace) ")</f>
        <v>โรงแรมกานต์มณี พาเลซ (Karnmanee Palace) </v>
      </c>
    </row>
    <row r="138">
      <c r="A138" s="1" t="s">
        <v>1470</v>
      </c>
      <c r="B138" s="1" t="s">
        <v>1101</v>
      </c>
      <c r="C138" s="2" t="str">
        <f>HYPERLINK("http://4sq.com/5gnRsF","MBK Center (เอ็ม บี เค เซ็นเตอร์) ")</f>
        <v>MBK Center (เอ็ม บี เค เซ็นเตอร์) </v>
      </c>
    </row>
    <row r="139">
      <c r="A139" s="1" t="s">
        <v>1471</v>
      </c>
      <c r="B139" s="1" t="s">
        <v>1101</v>
      </c>
      <c r="C139" s="2" t="str">
        <f>HYPERLINK("http://4sq.com/6faMgT","Siam Paragon (สยามพารากอน) ")</f>
        <v>Siam Paragon (สยามพารากอน) </v>
      </c>
    </row>
    <row r="140">
      <c r="A140" s="1" t="s">
        <v>1472</v>
      </c>
      <c r="B140" s="1" t="s">
        <v>1101</v>
      </c>
      <c r="C140" s="2" t="str">
        <f>HYPERLINK("http://4sq.com/eWZfrg","Shell Gas Station ")</f>
        <v>Shell Gas Station </v>
      </c>
    </row>
    <row r="141">
      <c r="A141" s="1" t="s">
        <v>1473</v>
      </c>
      <c r="B141" s="1" t="s">
        <v>1101</v>
      </c>
      <c r="C141" s="2" t="str">
        <f>HYPERLINK("http://4sq.com/1YDokbI","ปั้มน้ำมันเชลล์(กิมปิโตรเลี่ยม) ")</f>
        <v>ปั้มน้ำมันเชลล์(กิมปิโตรเลี่ยม) </v>
      </c>
    </row>
    <row r="142">
      <c r="A142" s="1" t="s">
        <v>1474</v>
      </c>
      <c r="B142" s="1" t="s">
        <v>1101</v>
      </c>
      <c r="C142" s="2" t="str">
        <f>HYPERLINK("http://4sq.com/1DVj7Cf","Foresto Sukhothai Guesthouse ")</f>
        <v>Foresto Sukhothai Guesthouse </v>
      </c>
    </row>
    <row r="143">
      <c r="A143" s="1" t="s">
        <v>1475</v>
      </c>
      <c r="B143" s="1" t="s">
        <v>1101</v>
      </c>
      <c r="C143" s="2" t="str">
        <f>HYPERLINK("http://4sq.com/ao6gIR","อุทยานประวัติศาสตร์สุโขทัย (Historic Town of Sukhothai) ")</f>
        <v>อุทยานประวัติศาสตร์สุโขทัย (Historic Town of Sukhothai) </v>
      </c>
    </row>
    <row r="144">
      <c r="A144" s="1" t="s">
        <v>1476</v>
      </c>
      <c r="B144" s="1" t="s">
        <v>1101</v>
      </c>
      <c r="C144" s="2" t="str">
        <f>HYPERLINK("http://4sq.com/1kHbwLf","บ้านหอมกลิ่นดิน Cafe ")</f>
        <v>บ้านหอมกลิ่นดิน Cafe </v>
      </c>
    </row>
    <row r="145">
      <c r="A145" s="1" t="s">
        <v>1477</v>
      </c>
      <c r="B145" s="1" t="s">
        <v>1101</v>
      </c>
      <c r="C145" s="2" t="str">
        <f>HYPERLINK("http://4sq.com/1GjmLUZ","Pizza Pasta by Simon ")</f>
        <v>Pizza Pasta by Simon </v>
      </c>
    </row>
    <row r="146">
      <c r="A146" s="1" t="s">
        <v>1478</v>
      </c>
      <c r="B146" s="1" t="s">
        <v>1101</v>
      </c>
      <c r="C146" s="2" t="str">
        <f>HYPERLINK("http://4sq.com/1e6LrSS","ธนาคารกสิกรไทย (KASIKORNBANK) ")</f>
        <v>ธนาคารกสิกรไทย (KASIKORNBANK) </v>
      </c>
    </row>
    <row r="147">
      <c r="A147" s="1" t="s">
        <v>1479</v>
      </c>
      <c r="B147" s="1" t="s">
        <v>1101</v>
      </c>
      <c r="C147" s="2" t="str">
        <f>HYPERLINK("http://4sq.com/9rHN1N","Jirung Health Village Resort Chiang Mai ")</f>
        <v>Jirung Health Village Resort Chiang Mai </v>
      </c>
    </row>
    <row r="148">
      <c r="A148" s="1" t="s">
        <v>1480</v>
      </c>
      <c r="B148" s="1" t="s">
        <v>1101</v>
      </c>
      <c r="C148" s="2" t="str">
        <f>HYPERLINK("http://4sq.com/uU597b","Baa Baa Black Cafe ")</f>
        <v>Baa Baa Black Cafe </v>
      </c>
    </row>
    <row r="149">
      <c r="A149" s="1" t="s">
        <v>1481</v>
      </c>
      <c r="B149" s="1" t="s">
        <v>1101</v>
      </c>
      <c r="C149" s="2" t="str">
        <f>HYPERLINK("http://4sq.com/1NMIaul","Cheunjai Coffee&amp;Thai food ")</f>
        <v>Cheunjai Coffee&amp;Thai food </v>
      </c>
    </row>
    <row r="150">
      <c r="A150" s="1" t="s">
        <v>1482</v>
      </c>
      <c r="B150" s="1" t="s">
        <v>1101</v>
      </c>
      <c r="C150" s="2" t="str">
        <f>HYPERLINK("http://4sq.com/1rS89V1","Subway 24 Hrs. at Nimmanahaemind ")</f>
        <v>Subway 24 Hrs. at Nimmanahaemind </v>
      </c>
    </row>
    <row r="151">
      <c r="A151" s="1" t="s">
        <v>1483</v>
      </c>
      <c r="B151" s="1" t="s">
        <v>1101</v>
      </c>
      <c r="C151" s="2" t="str">
        <f>HYPERLINK("http://4sq.com/1WZ0JPr","enoteca ")</f>
        <v>enoteca </v>
      </c>
    </row>
    <row r="152">
      <c r="A152" s="1" t="s">
        <v>1484</v>
      </c>
      <c r="B152" s="1" t="s">
        <v>1101</v>
      </c>
      <c r="C152" s="2" t="str">
        <f>HYPERLINK("http://4sq.com/26zoFO8","PK Bike ")</f>
        <v>PK Bike </v>
      </c>
    </row>
    <row r="153">
      <c r="A153" s="1" t="s">
        <v>1485</v>
      </c>
      <c r="B153" s="1" t="s">
        <v>1101</v>
      </c>
      <c r="C153" s="2" t="str">
        <f>HYPERLINK("http://4sq.com/hjWEPh","Nimseeseng Transport 1988 (นิ่มซี่เส็งขนส่ง 1988) ")</f>
        <v>Nimseeseng Transport 1988 (นิ่มซี่เส็งขนส่ง 1988) </v>
      </c>
    </row>
    <row r="154">
      <c r="A154" s="1" t="s">
        <v>1486</v>
      </c>
      <c r="B154" s="1" t="s">
        <v>1101</v>
      </c>
      <c r="C154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55">
      <c r="A155" s="1" t="s">
        <v>1487</v>
      </c>
      <c r="B155" s="1" t="s">
        <v>1101</v>
      </c>
      <c r="C155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156">
      <c r="A156" s="1" t="s">
        <v>1488</v>
      </c>
      <c r="B156" s="1" t="s">
        <v>1101</v>
      </c>
      <c r="C156" s="2" t="str">
        <f>HYPERLINK("http://4sq.com/1bqZ1Oa","Drink Drank Drunk Minibar ")</f>
        <v>Drink Drank Drunk Minibar </v>
      </c>
    </row>
    <row r="157">
      <c r="A157" s="1" t="s">
        <v>1489</v>
      </c>
      <c r="B157" s="1" t="s">
        <v>1101</v>
      </c>
      <c r="C157" s="2" t="str">
        <f>HYPERLINK("http://4sq.com/4Un8by","BTS Phra Khanong (E8) (BTS พระโขนง) ")</f>
        <v>BTS Phra Khanong (E8) (BTS พระโขนง) </v>
      </c>
    </row>
    <row r="158">
      <c r="A158" s="1" t="s">
        <v>1490</v>
      </c>
      <c r="B158" s="1" t="s">
        <v>1101</v>
      </c>
      <c r="C158" s="2" t="str">
        <f>HYPERLINK("http://4sq.com/85Neg4","Asia Hotel Bangkok (โรงแรมเอเซีย) ")</f>
        <v>Asia Hotel Bangkok (โรงแรมเอเซีย) </v>
      </c>
    </row>
    <row r="159">
      <c r="A159" s="1" t="s">
        <v>1491</v>
      </c>
      <c r="B159" s="1" t="s">
        <v>1101</v>
      </c>
      <c r="C159" s="2" t="str">
        <f>HYPERLINK("http://4sq.com/5gnRsF","MBK Center (เอ็ม บี เค เซ็นเตอร์) ")</f>
        <v>MBK Center (เอ็ม บี เค เซ็นเตอร์) </v>
      </c>
    </row>
    <row r="160">
      <c r="A160" s="1" t="s">
        <v>1492</v>
      </c>
      <c r="B160" s="1" t="s">
        <v>1101</v>
      </c>
      <c r="C160" s="2" t="str">
        <f>HYPERLINK("http://4sq.com/d3Ch3r","True Urban Park &amp; TrueCoffee (ทรู เออร์แบนพาร์ค &amp; ทรูคอฟฟี่) ")</f>
        <v>True Urban Park &amp; TrueCoffee (ทรู เออร์แบนพาร์ค &amp; ทรูคอฟฟี่) </v>
      </c>
    </row>
    <row r="161">
      <c r="A161" s="1" t="s">
        <v>1493</v>
      </c>
      <c r="B161" s="1" t="s">
        <v>1101</v>
      </c>
      <c r="C161" s="2" t="str">
        <f>HYPERLINK("http://4sq.com/Latpkm","Perfect Masterpiece ")</f>
        <v>Perfect Masterpiece </v>
      </c>
    </row>
    <row r="162">
      <c r="A162" s="1" t="s">
        <v>1494</v>
      </c>
      <c r="B162" s="1" t="s">
        <v>1101</v>
      </c>
      <c r="C162" s="2" t="str">
        <f>HYPERLINK("http://4sq.com/aDZ5gt","Paulaner Garden ")</f>
        <v>Paulaner Garden </v>
      </c>
    </row>
    <row r="163">
      <c r="A163" s="1" t="s">
        <v>1495</v>
      </c>
      <c r="B163" s="1" t="s">
        <v>1101</v>
      </c>
      <c r="C163" s="2" t="str">
        <f>HYPERLINK("http://4sq.com/fAWkjh","Chu Chocolate Bar &amp; Café (ชู ช็อคโกแล็ต บาร์ &amp; คาเฟ่) ")</f>
        <v>Chu Chocolate Bar &amp; Café (ชู ช็อคโกแล็ต บาร์ &amp; คาเฟ่) </v>
      </c>
    </row>
    <row r="164">
      <c r="A164" s="1" t="s">
        <v>1496</v>
      </c>
      <c r="B164" s="1" t="s">
        <v>1101</v>
      </c>
      <c r="C164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165">
      <c r="A165" s="1" t="s">
        <v>1497</v>
      </c>
      <c r="B165" s="1" t="s">
        <v>1101</v>
      </c>
      <c r="C165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66">
      <c r="A166" s="1" t="s">
        <v>1498</v>
      </c>
      <c r="B166" s="1" t="s">
        <v>1101</v>
      </c>
      <c r="C166" s="2" t="str">
        <f>HYPERLINK("http://4sq.com/96C3Ox","Mae Sa Waterfall (น้ำตกแม่สา) ")</f>
        <v>Mae Sa Waterfall (น้ำตกแม่สา) </v>
      </c>
    </row>
    <row r="167">
      <c r="A167" s="1" t="s">
        <v>1499</v>
      </c>
      <c r="B167" s="1" t="s">
        <v>1101</v>
      </c>
      <c r="C167" s="2" t="str">
        <f>HYPERLINK("http://4sq.com/1LwwIEn","Let It Be ")</f>
        <v>Let It Be </v>
      </c>
    </row>
    <row r="168">
      <c r="A168" s="1" t="s">
        <v>1500</v>
      </c>
      <c r="B168" s="1" t="s">
        <v>1101</v>
      </c>
      <c r="C168" s="2" t="str">
        <f>HYPERLINK("http://4sq.com/g9twhu","CALTEX สนามม้า ")</f>
        <v>CALTEX สนามม้า </v>
      </c>
    </row>
    <row r="169">
      <c r="A169" s="1" t="s">
        <v>1501</v>
      </c>
      <c r="B169" s="1" t="s">
        <v>1101</v>
      </c>
      <c r="C169" s="2" t="str">
        <f t="shared" ref="C169:C170" si="2">HYPERLINK("http://4sq.com/1uTcCs4","Local Cafe (คาเฟ่บ้านนอก) ")</f>
        <v>Local Cafe (คาเฟ่บ้านนอก) </v>
      </c>
    </row>
    <row r="170">
      <c r="A170" s="4" t="s">
        <v>1502</v>
      </c>
      <c r="B170" s="1"/>
      <c r="C170" s="2" t="str">
        <f t="shared" si="2"/>
        <v>Local Cafe (คาเฟ่บ้านนอก) </v>
      </c>
    </row>
    <row r="171">
      <c r="A171" s="4" t="s">
        <v>1503</v>
      </c>
      <c r="B171" s="1" t="s">
        <v>1101</v>
      </c>
      <c r="C171" s="2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</row>
    <row r="172">
      <c r="A172" s="4" t="s">
        <v>1504</v>
      </c>
      <c r="B172" s="1" t="s">
        <v>1101</v>
      </c>
      <c r="C172" s="2" t="str">
        <f>HYPERLINK("http://4sq.com/1LwwIEn","Let It Be ")</f>
        <v>Let It Be </v>
      </c>
    </row>
    <row r="173">
      <c r="A173" s="4" t="s">
        <v>1505</v>
      </c>
      <c r="B173" s="1" t="s">
        <v>1101</v>
      </c>
      <c r="C173" s="2" t="str">
        <f>HYPERLINK("http://4sq.com/1GjmLUZ","Pizza Pasta by Simon ")</f>
        <v>Pizza Pasta by Simon </v>
      </c>
    </row>
    <row r="174">
      <c r="A174" s="4" t="s">
        <v>1506</v>
      </c>
      <c r="B174" s="1" t="s">
        <v>1101</v>
      </c>
      <c r="C174" s="2" t="str">
        <f>HYPERLINK("http://4sq.com/1jTBwo9","KURTOSH ( the home of chimney cake ) ")</f>
        <v>KURTOSH ( the home of chimney cake ) </v>
      </c>
    </row>
    <row r="175">
      <c r="A175" s="4" t="s">
        <v>1507</v>
      </c>
      <c r="B175" s="1" t="s">
        <v>1101</v>
      </c>
      <c r="C175" s="2" t="str">
        <f>HYPERLINK("http://4sq.com/9adz8k","Susco ")</f>
        <v>Susco </v>
      </c>
    </row>
    <row r="176">
      <c r="A176" s="4" t="s">
        <v>1508</v>
      </c>
      <c r="B176" s="1" t="s">
        <v>1101</v>
      </c>
      <c r="C176" s="2" t="str">
        <f>HYPERLINK("http://4sq.com/1NMIaul","Cheunjai Coffee&amp;Thai food ")</f>
        <v>Cheunjai Coffee&amp;Thai food </v>
      </c>
    </row>
    <row r="177">
      <c r="A177" s="4" t="s">
        <v>1509</v>
      </c>
      <c r="B177" s="1" t="s">
        <v>1101</v>
      </c>
      <c r="C177" s="2" t="str">
        <f>HYPERLINK("http://4sq.com/9Xt3FL","Huay Tueng Tao (ห้วยตึงเฒ่า) ")</f>
        <v>Huay Tueng Tao (ห้วยตึงเฒ่า) </v>
      </c>
    </row>
    <row r="178">
      <c r="A178" s="4" t="s">
        <v>1510</v>
      </c>
      <c r="B178" s="1" t="s">
        <v>1101</v>
      </c>
      <c r="C178" s="2" t="str">
        <f>HYPERLINK("http://4sq.com/1ln165h","Kawasaki แสงสัยธุรกิจยานยนต์ ")</f>
        <v>Kawasaki แสงสัยธุรกิจยานยนต์ </v>
      </c>
    </row>
    <row r="179">
      <c r="A179" s="4" t="s">
        <v>1511</v>
      </c>
      <c r="B179" s="1" t="s">
        <v>1101</v>
      </c>
      <c r="C179" s="2" t="str">
        <f>HYPERLINK("http://4sq.com/9gQjfr","S&amp;P (เอสแอนด์พี) ")</f>
        <v>S&amp;P (เอสแอนด์พี) </v>
      </c>
    </row>
    <row r="180">
      <c r="A180" s="4" t="s">
        <v>1512</v>
      </c>
      <c r="B180" s="1" t="s">
        <v>1101</v>
      </c>
      <c r="C180" s="2" t="str">
        <f>HYPERLINK("http://4sq.com/1U9Ec2j","honda active riding chiang mai ")</f>
        <v>honda active riding chiang mai </v>
      </c>
    </row>
    <row r="181">
      <c r="A181" s="4" t="s">
        <v>1513</v>
      </c>
      <c r="B181" s="1" t="s">
        <v>1101</v>
      </c>
      <c r="C181" s="2" t="str">
        <f>HYPERLINK("http://4sq.com/LVSPnL","ลุงแปด อร่อยไม่รู้จบ ")</f>
        <v>ลุงแปด อร่อยไม่รู้จบ </v>
      </c>
    </row>
    <row r="182">
      <c r="A182" s="4" t="s">
        <v>1514</v>
      </c>
      <c r="B182" s="1" t="s">
        <v>1101</v>
      </c>
      <c r="C182" s="2" t="str">
        <f>HYPERLINK("http://4sq.com/9LgIDQ","PTT (ปตท.) ")</f>
        <v>PTT (ปตท.) </v>
      </c>
    </row>
    <row r="183">
      <c r="A183" s="4" t="s">
        <v>1515</v>
      </c>
      <c r="B183" s="1" t="s">
        <v>1101</v>
      </c>
      <c r="C183" s="2" t="str">
        <f>HYPERLINK("http://4sq.com/dOw1ld","PTT แม่ต๋ำ ")</f>
        <v>PTT แม่ต๋ำ </v>
      </c>
    </row>
    <row r="184">
      <c r="A184" s="4" t="s">
        <v>1516</v>
      </c>
      <c r="B184" s="1" t="s">
        <v>1101</v>
      </c>
      <c r="C184" s="2" t="str">
        <f>HYPERLINK("http://4sq.com/dVKEkx","Nan River (แม่น้ำน่าน) ")</f>
        <v>Nan River (แม่น้ำน่าน) </v>
      </c>
    </row>
    <row r="185">
      <c r="A185" s="4" t="s">
        <v>1517</v>
      </c>
      <c r="B185" s="1" t="s">
        <v>1101</v>
      </c>
      <c r="C185" s="2" t="str">
        <f>HYPERLINK("http://4sq.com/hrdv1r","Ptt. สวนตาล. น่าน ")</f>
        <v>Ptt. สวนตาล. น่าน </v>
      </c>
    </row>
    <row r="186">
      <c r="A186" s="4" t="s">
        <v>1518</v>
      </c>
      <c r="B186" s="1" t="s">
        <v>1101</v>
      </c>
      <c r="C186" s="2" t="str">
        <f>HYPERLINK("http://4sq.com/w2KCFR","ปั๊ม ปตท อ.ปัว | PTT Pua ")</f>
        <v>ปั๊ม ปตท อ.ปัว | PTT Pua </v>
      </c>
    </row>
    <row r="187">
      <c r="A187" s="4" t="s">
        <v>1519</v>
      </c>
      <c r="B187" s="1" t="s">
        <v>1101</v>
      </c>
      <c r="C187" s="2" t="str">
        <f>HYPERLINK("http://4sq.com/dXWZcT","Green Hill Resort ")</f>
        <v>Green Hill Resort </v>
      </c>
    </row>
    <row r="188">
      <c r="A188" s="4" t="s">
        <v>1520</v>
      </c>
      <c r="B188" s="1" t="s">
        <v>1101</v>
      </c>
      <c r="C188" s="2" t="str">
        <f>HYPERLINK("http://4sq.com/1qFLKOF","เชียงบานหมูกระทะ ")</f>
        <v>เชียงบานหมูกระทะ </v>
      </c>
    </row>
    <row r="189">
      <c r="A189" s="4" t="s">
        <v>1521</v>
      </c>
      <c r="B189" s="1" t="s">
        <v>1522</v>
      </c>
      <c r="C189" s="2" t="str">
        <f>HYPERLINK("http://4sq.com/fwbujj","น้ำตกภูซาง ")</f>
        <v>น้ำตกภูซาง </v>
      </c>
    </row>
    <row r="190">
      <c r="A190" s="4" t="s">
        <v>1523</v>
      </c>
      <c r="B190" s="1" t="s">
        <v>1101</v>
      </c>
      <c r="C190" s="2" t="str">
        <f>HYPERLINK("http://4sq.com/hsiuDQ","Phu Chee Fah (ภูชี้ฟ้า) ")</f>
        <v>Phu Chee Fah (ภูชี้ฟ้า) </v>
      </c>
    </row>
    <row r="191">
      <c r="A191" s="4" t="s">
        <v>1524</v>
      </c>
      <c r="B191" s="1" t="s">
        <v>1101</v>
      </c>
      <c r="C191" s="2" t="str">
        <f>HYPERLINK("http://4sq.com/9Hjm7r","Namkhong Riverside Hotel (โรงแรมน้ำโขงริเวอร์ไซด์) ")</f>
        <v>Namkhong Riverside Hotel (โรงแรมน้ำโขงริเวอร์ไซด์) </v>
      </c>
    </row>
    <row r="192">
      <c r="A192" s="4" t="s">
        <v>1525</v>
      </c>
      <c r="B192" s="1" t="s">
        <v>1101</v>
      </c>
      <c r="C192" s="2" t="str">
        <f>HYPERLINK("http://4sq.com/eACzZU","Bambo Snack Bar ")</f>
        <v>Bambo Snack Bar </v>
      </c>
    </row>
    <row r="193">
      <c r="A193" s="4" t="s">
        <v>1526</v>
      </c>
      <c r="B193" s="1" t="s">
        <v>1101</v>
      </c>
      <c r="C193" s="2" t="str">
        <f>HYPERLINK("http://4sq.com/9gVFlF","The Golden Triangle (สามเหลี่ยมทองคำ) ")</f>
        <v>The Golden Triangle (สามเหลี่ยมทองคำ) </v>
      </c>
    </row>
    <row r="194">
      <c r="A194" s="4" t="s">
        <v>1527</v>
      </c>
      <c r="B194" s="1" t="s">
        <v>1101</v>
      </c>
      <c r="C194" s="2" t="str">
        <f>HYPERLINK("http://4sq.com/HpMbPv","7-11 ห้วยไคร้ ")</f>
        <v>7-11 ห้วยไคร้ </v>
      </c>
    </row>
    <row r="195">
      <c r="A195" s="4" t="s">
        <v>1528</v>
      </c>
      <c r="B195" s="1" t="s">
        <v>1101</v>
      </c>
      <c r="C195" s="2" t="str">
        <f>HYPERLINK("http://4sq.com/hjpKVR","กุ้งเต้นบ้านโบราณ ")</f>
        <v>กุ้งเต้นบ้านโบราณ </v>
      </c>
    </row>
    <row r="196">
      <c r="A196" s="4" t="s">
        <v>1529</v>
      </c>
      <c r="B196" s="1" t="s">
        <v>1101</v>
      </c>
      <c r="C196" s="2" t="str">
        <f>HYPERLINK("http://4sq.com/dnp5uA","AUA ")</f>
        <v>AUA </v>
      </c>
    </row>
    <row r="197">
      <c r="A197" s="4" t="s">
        <v>1530</v>
      </c>
      <c r="B197" s="1" t="s">
        <v>1101</v>
      </c>
      <c r="C197" s="2" t="str">
        <f>HYPERLINK("http://4sq.com/abPeFc","Ginger &amp; Kafé ")</f>
        <v>Ginger &amp; Kafé </v>
      </c>
    </row>
    <row r="198">
      <c r="A198" s="4" t="s">
        <v>1531</v>
      </c>
      <c r="B198" s="1" t="s">
        <v>1101</v>
      </c>
      <c r="C198" s="2" t="str">
        <f>HYPERLINK("http://4sq.com/1MkbF74","Black Canyon (แบล็คแคนยอน) ")</f>
        <v>Black Canyon (แบล็คแคนยอน) </v>
      </c>
    </row>
    <row r="199">
      <c r="A199" s="4" t="s">
        <v>1532</v>
      </c>
      <c r="B199" s="1" t="s">
        <v>1101</v>
      </c>
      <c r="C199" s="2" t="str">
        <f>HYPERLINK("http://4sq.com/o3ZEdO","See Paak Restaurant ")</f>
        <v>See Paak Restaurant </v>
      </c>
    </row>
    <row r="200">
      <c r="A200" s="4" t="s">
        <v>1533</v>
      </c>
      <c r="B200" s="1" t="s">
        <v>1101</v>
      </c>
      <c r="C200" s="2" t="str">
        <f>HYPERLINK("http://4sq.com/1uTcCs4","Local Cafe (คาเฟ่บ้านนอก) ")</f>
        <v>Local Cafe (คาเฟ่บ้านนอก) </v>
      </c>
    </row>
    <row r="201">
      <c r="A201" s="4" t="s">
        <v>1534</v>
      </c>
      <c r="B201" s="1" t="s">
        <v>1101</v>
      </c>
      <c r="C201" s="2" t="str">
        <f>HYPERLINK("http://4sq.com/1glAL7r","The Duke's ")</f>
        <v>The Duke's </v>
      </c>
    </row>
    <row r="202">
      <c r="A202" s="4" t="s">
        <v>1535</v>
      </c>
      <c r="B202" s="1" t="s">
        <v>1101</v>
      </c>
      <c r="C202" s="2" t="str">
        <f>HYPERLINK("http://4sq.com/1BjQ2z6","SS1254372 Cafe ")</f>
        <v>SS1254372 Cafe </v>
      </c>
    </row>
    <row r="203">
      <c r="A203" s="4" t="s">
        <v>1536</v>
      </c>
      <c r="B203" s="1" t="s">
        <v>1101</v>
      </c>
      <c r="C203" s="2" t="str">
        <f>HYPERLINK("http://4sq.com/1gKlqYY","PINGGOO ")</f>
        <v>PINGGOO </v>
      </c>
    </row>
    <row r="204">
      <c r="A204" s="4" t="s">
        <v>1537</v>
      </c>
      <c r="B204" s="1" t="s">
        <v>1101</v>
      </c>
      <c r="C204" s="2" t="str">
        <f>HYPERLINK("http://4sq.com/o3ZEdO","See Paak Restaurant ")</f>
        <v>See Paak Restaurant </v>
      </c>
    </row>
    <row r="205">
      <c r="A205" s="4" t="s">
        <v>1538</v>
      </c>
      <c r="B205" s="1" t="s">
        <v>1101</v>
      </c>
      <c r="C205" s="2" t="str">
        <f>HYPERLINK("http://4sq.com/1uTcCs4","Local Cafe (คาเฟ่บ้านนอก) ")</f>
        <v>Local Cafe (คาเฟ่บ้านนอก) </v>
      </c>
    </row>
    <row r="206">
      <c r="A206" s="4" t="s">
        <v>1539</v>
      </c>
      <c r="B206" s="1" t="s">
        <v>1101</v>
      </c>
      <c r="C206" s="2" t="str">
        <f>HYPERLINK("http://4sq.com/9TOlNk","Kamrai Shop (กำไร) ")</f>
        <v>Kamrai Shop (กำไร) </v>
      </c>
    </row>
    <row r="207">
      <c r="A207" s="4" t="s">
        <v>1540</v>
      </c>
      <c r="B207" s="1" t="s">
        <v>1101</v>
      </c>
      <c r="C207" s="2" t="str">
        <f>HYPERLINK("http://4sq.com/1GjmLUZ","Pizza Pasta by Simon ")</f>
        <v>Pizza Pasta by Simon </v>
      </c>
    </row>
    <row r="208">
      <c r="A208" s="4" t="s">
        <v>1541</v>
      </c>
      <c r="B208" s="1" t="s">
        <v>1101</v>
      </c>
      <c r="C208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209">
      <c r="A209" s="4" t="s">
        <v>1542</v>
      </c>
      <c r="B209" s="1" t="s">
        <v>1101</v>
      </c>
      <c r="C209" s="2" t="str">
        <f>HYPERLINK("http://4sq.com/9LZ2kP","Horizon Village And Resort Chiang Mai ")</f>
        <v>Horizon Village And Resort Chiang Mai </v>
      </c>
    </row>
    <row r="210">
      <c r="A210" s="4" t="s">
        <v>1543</v>
      </c>
      <c r="B210" s="1" t="s">
        <v>1101</v>
      </c>
      <c r="C210" s="2" t="str">
        <f>HYPERLINK("http://4sq.com/1NMIaul","Cheunjai Coffee&amp;Thai food ")</f>
        <v>Cheunjai Coffee&amp;Thai food </v>
      </c>
    </row>
    <row r="211">
      <c r="A211" s="4" t="s">
        <v>1544</v>
      </c>
      <c r="B211" s="1" t="s">
        <v>1101</v>
      </c>
      <c r="C211" s="2" t="str">
        <f>HYPERLINK("http://4sq.com/eF8Lbu","Meechok Plaza (มีโชคพลาซ่า) ")</f>
        <v>Meechok Plaza (มีโชคพลาซ่า) </v>
      </c>
    </row>
    <row r="212">
      <c r="A212" s="4" t="s">
        <v>1544</v>
      </c>
      <c r="B212" s="1" t="s">
        <v>1101</v>
      </c>
      <c r="C212" s="2" t="str">
        <f>HYPERLINK("http://4sq.com/fHcaB9","Coffee Bus (คอฟฟี่บัส) ")</f>
        <v>Coffee Bus (คอฟฟี่บัส) </v>
      </c>
    </row>
    <row r="213">
      <c r="A213" s="4" t="s">
        <v>1545</v>
      </c>
      <c r="B213" s="1" t="s">
        <v>1101</v>
      </c>
      <c r="C213" s="2" t="str">
        <f>HYPERLINK("http://4sq.com/N6hvwq","สเปตตูล่าเฮ้าส์ ( Spatula House ) at Cinnamon Hill ")</f>
        <v>สเปตตูล่าเฮ้าส์ ( Spatula House ) at Cinnamon Hill </v>
      </c>
    </row>
    <row r="214">
      <c r="A214" s="4" t="s">
        <v>1546</v>
      </c>
      <c r="B214" s="1" t="s">
        <v>1101</v>
      </c>
      <c r="C214" s="2" t="str">
        <f>HYPERLINK("http://4sq.com/1fLoxhi","Fukuro Japanese Restaurant &amp; Mini Bar ")</f>
        <v>Fukuro Japanese Restaurant &amp; Mini Bar </v>
      </c>
    </row>
    <row r="215">
      <c r="A215" s="4" t="s">
        <v>1547</v>
      </c>
      <c r="B215" s="1" t="s">
        <v>1101</v>
      </c>
      <c r="C215" s="2" t="str">
        <f>HYPERLINK("http://4sq.com/o3ZEdO","See Paak Restaurant ")</f>
        <v>See Paak Restaurant </v>
      </c>
    </row>
    <row r="216">
      <c r="A216" s="4" t="s">
        <v>1548</v>
      </c>
      <c r="B216" s="1" t="s">
        <v>1101</v>
      </c>
      <c r="C216" s="2" t="str">
        <f>HYPERLINK("http://4sq.com/1QBr5FK","นั่งๆนอนๆ Homestyle Kitchen &amp; Bekery ")</f>
        <v>นั่งๆนอนๆ Homestyle Kitchen &amp; Bekery </v>
      </c>
    </row>
    <row r="217">
      <c r="A217" s="4" t="s">
        <v>1549</v>
      </c>
      <c r="B217" s="1" t="s">
        <v>1101</v>
      </c>
      <c r="C217" s="2" t="str">
        <f>HYPERLINK("http://4sq.com/1GjmLUZ","Pizza Pasta by Simon ")</f>
        <v>Pizza Pasta by Simon </v>
      </c>
    </row>
    <row r="218">
      <c r="A218" s="4" t="s">
        <v>1550</v>
      </c>
      <c r="B218" s="1" t="s">
        <v>1101</v>
      </c>
      <c r="C218" s="2" t="str">
        <f>HYPERLINK("http://4sq.com/1uTcCs4","Local Cafe (คาเฟ่บ้านนอก) ")</f>
        <v>Local Cafe (คาเฟ่บ้านนอก) </v>
      </c>
    </row>
    <row r="219">
      <c r="A219" s="4" t="s">
        <v>1551</v>
      </c>
      <c r="B219" s="1" t="s">
        <v>1101</v>
      </c>
      <c r="C219" s="2" t="str">
        <f>HYPERLINK("http://4sq.com/1IdThd4","Beer Lab ")</f>
        <v>Beer Lab </v>
      </c>
    </row>
    <row r="220">
      <c r="A220" s="4" t="s">
        <v>1552</v>
      </c>
      <c r="B220" s="1" t="s">
        <v>1101</v>
      </c>
      <c r="C220" s="2" t="str">
        <f>HYPERLINK("http://4sq.com/1uTcCs4","Local Cafe (คาเฟ่บ้านนอก) ")</f>
        <v>Local Cafe (คาเฟ่บ้านนอก) </v>
      </c>
    </row>
    <row r="221">
      <c r="A221" s="4" t="s">
        <v>1553</v>
      </c>
      <c r="B221" s="1" t="s">
        <v>1101</v>
      </c>
      <c r="C221" s="2" t="str">
        <f>HYPERLINK("http://4sq.com/FPUvKe","สระว่ายน้ำกมลภัทร ")</f>
        <v>สระว่ายน้ำกมลภัทร </v>
      </c>
    </row>
    <row r="222">
      <c r="A222" s="4" t="s">
        <v>1554</v>
      </c>
      <c r="B222" s="1" t="s">
        <v>1101</v>
      </c>
      <c r="C222" s="2" t="str">
        <f>HYPERLINK("http://4sq.com/1uTcCs4","Local Cafe (คาเฟ่บ้านนอก) ")</f>
        <v>Local Cafe (คาเฟ่บ้านนอก) </v>
      </c>
    </row>
    <row r="223">
      <c r="A223" s="4" t="s">
        <v>1555</v>
      </c>
      <c r="B223" s="1" t="s">
        <v>1101</v>
      </c>
      <c r="C223" s="2" t="str">
        <f>HYPERLINK("http://4sq.com/1wWoVRN","T-Station Bar &amp; Restaurant ")</f>
        <v>T-Station Bar &amp; Restaurant </v>
      </c>
    </row>
    <row r="224">
      <c r="A224" s="4" t="s">
        <v>1556</v>
      </c>
      <c r="B224" s="1" t="s">
        <v>1101</v>
      </c>
      <c r="C224" s="2" t="str">
        <f>HYPERLINK("http://4sq.com/dvqkdw","Mad Dog Pizza ")</f>
        <v>Mad Dog Pizza </v>
      </c>
    </row>
    <row r="225">
      <c r="A225" s="4" t="s">
        <v>1557</v>
      </c>
      <c r="B225" s="1" t="s">
        <v>1101</v>
      </c>
      <c r="C225" s="2" t="str">
        <f>HYPERLINK("http://4sq.com/1QBr5FK","นั่งๆนอนๆ Homestyle Kitchen &amp; Bekery ")</f>
        <v>นั่งๆนอนๆ Homestyle Kitchen &amp; Bekery </v>
      </c>
    </row>
    <row r="226">
      <c r="A226" s="4" t="s">
        <v>1558</v>
      </c>
      <c r="B226" s="1" t="s">
        <v>1101</v>
      </c>
      <c r="C226" s="2" t="str">
        <f>HYPERLINK("http://4sq.com/blk1PB","Chiangmai Walking Street (ถนนคนเดินเชียงใหม่) ")</f>
        <v>Chiangmai Walking Street (ถนนคนเดินเชียงใหม่) </v>
      </c>
    </row>
    <row r="227">
      <c r="A227" s="4" t="s">
        <v>1559</v>
      </c>
      <c r="B227" s="1" t="s">
        <v>1101</v>
      </c>
      <c r="C227" s="2" t="str">
        <f>HYPERLINK("http://4sq.com/o3ZEdO","See Paak Restaurant ")</f>
        <v>See Paak Restaurant </v>
      </c>
    </row>
    <row r="228">
      <c r="A228" s="4" t="s">
        <v>1560</v>
      </c>
      <c r="B228" s="1" t="s">
        <v>1101</v>
      </c>
      <c r="C228" s="2" t="str">
        <f>HYPERLINK("http://4sq.com/Y4pNIZ","True Office Chiang Mai ")</f>
        <v>True Office Chiang Mai </v>
      </c>
    </row>
    <row r="229">
      <c r="A229" s="4" t="s">
        <v>1561</v>
      </c>
      <c r="B229" s="1" t="s">
        <v>1101</v>
      </c>
      <c r="C229" s="2" t="str">
        <f>HYPERLINK("http://4sq.com/1NMIaul","Cheunjai Coffee&amp;Thai food ")</f>
        <v>Cheunjai Coffee&amp;Thai food </v>
      </c>
    </row>
    <row r="230">
      <c r="A230" s="4" t="s">
        <v>1562</v>
      </c>
      <c r="B230" s="1" t="s">
        <v>1101</v>
      </c>
      <c r="C230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31">
      <c r="A231" s="4" t="s">
        <v>1563</v>
      </c>
      <c r="B231" s="1" t="s">
        <v>1101</v>
      </c>
      <c r="C231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232">
      <c r="A232" s="4" t="s">
        <v>1564</v>
      </c>
      <c r="B232" s="1" t="s">
        <v>1101</v>
      </c>
      <c r="C232" s="2" t="str">
        <f>HYPERLINK("http://4sq.com/cjk6ix","NIST International School (โรงเรียนนานาชาตินิสท์) ")</f>
        <v>NIST International School (โรงเรียนนานาชาตินิสท์) </v>
      </c>
    </row>
    <row r="233">
      <c r="A233" s="4" t="s">
        <v>1565</v>
      </c>
      <c r="B233" s="1" t="s">
        <v>1101</v>
      </c>
      <c r="C233" s="2" t="str">
        <f>HYPERLINK("http://4sq.com/1oKnupc","The Phyll (เดอะฟิลล์) ")</f>
        <v>The Phyll (เดอะฟิลล์) </v>
      </c>
    </row>
    <row r="234">
      <c r="A234" s="4" t="s">
        <v>1565</v>
      </c>
      <c r="B234" s="1" t="s">
        <v>1101</v>
      </c>
      <c r="C234" s="2" t="str">
        <f>HYPERLINK("http://4sq.com/216m2Q8","Sunrise Tacos ")</f>
        <v>Sunrise Tacos </v>
      </c>
    </row>
    <row r="235">
      <c r="A235" s="4" t="s">
        <v>1566</v>
      </c>
      <c r="B235" s="1" t="s">
        <v>1101</v>
      </c>
      <c r="C235" s="2" t="str">
        <f>HYPERLINK("http://4sq.com/82JPP8","Swissôtel Le Concorde ")</f>
        <v>Swissôtel Le Concorde </v>
      </c>
    </row>
    <row r="236">
      <c r="A236" s="4" t="s">
        <v>1567</v>
      </c>
      <c r="B236" s="1" t="s">
        <v>1101</v>
      </c>
      <c r="C236" s="2" t="str">
        <f>HYPERLINK("http://4sq.com/sNlCQ3","UNIQLO (ยูนิโคล่) ")</f>
        <v>UNIQLO (ยูนิโคล่) </v>
      </c>
    </row>
    <row r="237">
      <c r="A237" s="4" t="s">
        <v>1568</v>
      </c>
      <c r="B237" s="1" t="s">
        <v>1101</v>
      </c>
      <c r="C237" s="2" t="str">
        <f>HYPERLINK("http://4sq.com/aVUyRr","Fortune Town (ฟอร์จูนทาวน์) ")</f>
        <v>Fortune Town (ฟอร์จูนทาวน์) </v>
      </c>
    </row>
    <row r="238">
      <c r="A238" s="4" t="s">
        <v>1569</v>
      </c>
      <c r="B238" s="1" t="s">
        <v>1101</v>
      </c>
      <c r="C238" s="2" t="str">
        <f>HYPERLINK("http://4sq.com/1jecv30","AIA Capital Center (เอไอเอ แคปปิตอล เซ็นเตอร์) ")</f>
        <v>AIA Capital Center (เอไอเอ แคปปิตอล เซ็นเตอร์) </v>
      </c>
    </row>
    <row r="239">
      <c r="A239" s="4" t="s">
        <v>1570</v>
      </c>
      <c r="B239" s="1" t="s">
        <v>1101</v>
      </c>
      <c r="C239" s="2" t="str">
        <f>HYPERLINK("http://4sq.com/vbnctY","CentralPlaza Grand Rama 9 (เซ็นทรัลพลาซา แกรนด์ พระราม 9) ")</f>
        <v>CentralPlaza Grand Rama 9 (เซ็นทรัลพลาซา แกรนด์ พระราม 9) </v>
      </c>
    </row>
    <row r="240">
      <c r="A240" s="4" t="s">
        <v>1571</v>
      </c>
      <c r="B240" s="1" t="s">
        <v>1101</v>
      </c>
      <c r="C240" s="2" t="str">
        <f>HYPERLINK("http://4sq.com/6faMgT","Siam Paragon (สยามพารากอน) ")</f>
        <v>Siam Paragon (สยามพารากอน) </v>
      </c>
    </row>
    <row r="241">
      <c r="A241" s="4" t="s">
        <v>1571</v>
      </c>
      <c r="B241" s="1" t="s">
        <v>1101</v>
      </c>
      <c r="C241" s="2" t="str">
        <f>HYPERLINK("http://4sq.com/cmaF9D","KASIKORNBANK (ธนาคารกสิกรไทย) ")</f>
        <v>KASIKORNBANK (ธนาคารกสิกรไทย) </v>
      </c>
    </row>
    <row r="242">
      <c r="A242" s="4" t="s">
        <v>1572</v>
      </c>
      <c r="B242" s="1" t="s">
        <v>1101</v>
      </c>
      <c r="C242" s="2" t="str">
        <f>HYPERLINK("http://4sq.com/8BxMuu","True Tower (อาคารทรู ทาวเวอร์) ")</f>
        <v>True Tower (อาคารทรู ทาวเวอร์) </v>
      </c>
    </row>
    <row r="243">
      <c r="A243" s="4" t="s">
        <v>1573</v>
      </c>
      <c r="B243" s="1" t="s">
        <v>1101</v>
      </c>
      <c r="C243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244">
      <c r="A244" s="4" t="s">
        <v>1574</v>
      </c>
      <c r="B244" s="1" t="s">
        <v>1101</v>
      </c>
      <c r="C244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45">
      <c r="A245" s="4" t="s">
        <v>1575</v>
      </c>
      <c r="B245" s="1" t="s">
        <v>1101</v>
      </c>
      <c r="C245" s="2" t="str">
        <f>HYPERLINK("http://4sq.com/1uTcCs4","Local Cafe (คาเฟ่บ้านนอก) ")</f>
        <v>Local Cafe (คาเฟ่บ้านนอก) </v>
      </c>
    </row>
    <row r="246">
      <c r="A246" s="4" t="s">
        <v>1576</v>
      </c>
      <c r="B246" s="1" t="s">
        <v>1101</v>
      </c>
      <c r="C246" s="2" t="str">
        <f>HYPERLINK("http://4sq.com/1CE8RZo","Daily One ")</f>
        <v>Daily One </v>
      </c>
    </row>
    <row r="247">
      <c r="A247" s="4" t="s">
        <v>1577</v>
      </c>
      <c r="B247" s="1" t="s">
        <v>1101</v>
      </c>
      <c r="C247" s="2" t="str">
        <f>HYPERLINK("http://4sq.com/1NMIaul","Cheunjai Coffee&amp;Thai food ")</f>
        <v>Cheunjai Coffee&amp;Thai food </v>
      </c>
    </row>
    <row r="248">
      <c r="A248" s="4" t="s">
        <v>1578</v>
      </c>
      <c r="B248" s="1" t="s">
        <v>1101</v>
      </c>
      <c r="C248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249">
      <c r="A249" s="4" t="s">
        <v>1579</v>
      </c>
      <c r="B249" s="1" t="s">
        <v>1101</v>
      </c>
      <c r="C249" s="2" t="str">
        <f>HYPERLINK("http://4sq.com/1QBr5FK","นั่งๆนอนๆ Homestyle Kitchen &amp; Bekery ")</f>
        <v>นั่งๆนอนๆ Homestyle Kitchen &amp; Bekery </v>
      </c>
    </row>
    <row r="250">
      <c r="A250" s="4" t="s">
        <v>1580</v>
      </c>
      <c r="B250" s="1" t="s">
        <v>1101</v>
      </c>
      <c r="C250" s="2" t="str">
        <f>HYPERLINK("http://4sq.com/1s1D3bW","HomePro (โฮมโปร) ")</f>
        <v>HomePro (โฮมโปร) </v>
      </c>
    </row>
    <row r="251">
      <c r="A251" s="4" t="s">
        <v>1581</v>
      </c>
      <c r="B251" s="1" t="s">
        <v>1101</v>
      </c>
      <c r="C251" s="2" t="str">
        <f>HYPERLINK("http://4sq.com/20112gJ","sit a while ")</f>
        <v>sit a while </v>
      </c>
    </row>
    <row r="252">
      <c r="A252" s="4" t="s">
        <v>1582</v>
      </c>
      <c r="B252" s="1" t="s">
        <v>1101</v>
      </c>
      <c r="C252" s="2" t="str">
        <f>HYPERLINK("http://4sq.com/9rHN1N","Jirung Health Village Resort Chiang Mai ")</f>
        <v>Jirung Health Village Resort Chiang Mai </v>
      </c>
    </row>
    <row r="253">
      <c r="A253" s="4" t="s">
        <v>1583</v>
      </c>
      <c r="B253" s="1" t="s">
        <v>1101</v>
      </c>
      <c r="C253" s="2" t="str">
        <f>HYPERLINK("http://4sq.com/1NMIaul","Cheunjai Coffee&amp;Thai food ")</f>
        <v>Cheunjai Coffee&amp;Thai food </v>
      </c>
    </row>
    <row r="254">
      <c r="A254" s="4" t="s">
        <v>1584</v>
      </c>
      <c r="B254" s="1" t="s">
        <v>1101</v>
      </c>
      <c r="C254" s="2" t="str">
        <f>HYPERLINK("http://4sq.com/1LwwIEn","Let It Be ")</f>
        <v>Let It Be </v>
      </c>
    </row>
    <row r="255">
      <c r="A255" s="4" t="s">
        <v>1585</v>
      </c>
      <c r="B255" s="1" t="s">
        <v>1101</v>
      </c>
      <c r="C255" s="2" t="str">
        <f>HYPERLINK("http://4sq.com/myR2lB","Sala Café (ศาลากาแฟ) ")</f>
        <v>Sala Café (ศาลากาแฟ) </v>
      </c>
    </row>
    <row r="256">
      <c r="A256" s="4" t="s">
        <v>1586</v>
      </c>
      <c r="B256" s="1" t="s">
        <v>1101</v>
      </c>
      <c r="C256" s="2" t="str">
        <f>HYPERLINK("http://4sq.com/SKoRCj","Anchan Vegetarian Restaurant ")</f>
        <v>Anchan Vegetarian Restaurant </v>
      </c>
    </row>
    <row r="257">
      <c r="A257" s="4" t="s">
        <v>1587</v>
      </c>
      <c r="B257" s="1" t="s">
        <v>1101</v>
      </c>
      <c r="C257" s="2" t="str">
        <f>HYPERLINK("http://4sq.com/29DgRHA","ROXPRESSO COFFEE CRAFT ")</f>
        <v>ROXPRESSO COFFEE CRAFT </v>
      </c>
    </row>
    <row r="258">
      <c r="A258" s="4" t="s">
        <v>1588</v>
      </c>
      <c r="B258" s="1" t="s">
        <v>1101</v>
      </c>
      <c r="C258" s="2" t="str">
        <f>HYPERLINK("http://4sq.com/9dAeh7","Boat (โบ๊ต) ")</f>
        <v>Boat (โบ๊ต) </v>
      </c>
    </row>
    <row r="259">
      <c r="A259" s="4" t="s">
        <v>1589</v>
      </c>
      <c r="B259" s="1" t="s">
        <v>1101</v>
      </c>
      <c r="C259" s="2" t="str">
        <f>HYPERLINK("http://4sq.com/d7CAnk","น้ำพุเจ็ดสี - น้ำตกบัวตอง ")</f>
        <v>น้ำพุเจ็ดสี - น้ำตกบัวตอง </v>
      </c>
    </row>
    <row r="260">
      <c r="A260" s="4" t="s">
        <v>1590</v>
      </c>
      <c r="B260" s="1" t="s">
        <v>1101</v>
      </c>
      <c r="C260" s="2" t="str">
        <f>HYPERLINK("http://4sq.com/aBEaDG","PTT Gas Station (สถานีบริการน้ำมัน ปตท.) ")</f>
        <v>PTT Gas Station (สถานีบริการน้ำมัน ปตท.) </v>
      </c>
    </row>
    <row r="261">
      <c r="A261" s="4" t="s">
        <v>1591</v>
      </c>
      <c r="B261" s="1" t="s">
        <v>1101</v>
      </c>
      <c r="C261" s="2" t="str">
        <f>HYPERLINK("http://4sq.com/ePLpP5","จุดชมวิว กว๊านพะเยา ")</f>
        <v>จุดชมวิว กว๊านพะเยา </v>
      </c>
    </row>
    <row r="262">
      <c r="A262" s="4" t="s">
        <v>1592</v>
      </c>
      <c r="B262" s="1" t="s">
        <v>1101</v>
      </c>
      <c r="C262" s="2" t="str">
        <f>HYPERLINK("http://4sq.com/hjpKVR","กุ้งเต้นบ้านโบราณ ")</f>
        <v>กุ้งเต้นบ้านโบราณ </v>
      </c>
    </row>
    <row r="263">
      <c r="A263" s="4" t="s">
        <v>1593</v>
      </c>
      <c r="B263" s="1" t="s">
        <v>1101</v>
      </c>
      <c r="C263" s="2" t="str">
        <f>HYPERLINK("http://4sq.com/d4e7JZ","Kwan Phayao (กว๊านพะเยา) ")</f>
        <v>Kwan Phayao (กว๊านพะเยา) </v>
      </c>
    </row>
    <row r="264">
      <c r="A264" s="4" t="s">
        <v>1594</v>
      </c>
      <c r="B264" s="1" t="s">
        <v>1101</v>
      </c>
      <c r="C264" s="2" t="str">
        <f>HYPERLINK("http://4sq.com/1ZCsTjd","PHOON Cafe Phayao ")</f>
        <v>PHOON Cafe Phayao </v>
      </c>
    </row>
    <row r="265">
      <c r="A265" s="4" t="s">
        <v>1595</v>
      </c>
      <c r="B265" s="1" t="s">
        <v>1101</v>
      </c>
      <c r="C265" s="2" t="str">
        <f>HYPERLINK("http://4sq.com/1PKCHFH","กิน-เต็ก-กัน steak&amp;salad ")</f>
        <v>กิน-เต็ก-กัน steak&amp;salad </v>
      </c>
    </row>
    <row r="266">
      <c r="A266" s="4" t="s">
        <v>1596</v>
      </c>
      <c r="B266" s="1" t="s">
        <v>1101</v>
      </c>
      <c r="C266" s="2" t="str">
        <f>HYPERLINK("http://4sq.com/1h4fU8v","Rico Resort Chiang Kham ")</f>
        <v>Rico Resort Chiang Kham </v>
      </c>
    </row>
    <row r="267">
      <c r="A267" s="4" t="s">
        <v>1597</v>
      </c>
      <c r="B267" s="1" t="s">
        <v>1101</v>
      </c>
      <c r="C267" s="2" t="str">
        <f>HYPERLINK("http://4sq.com/dPXi9d","PTT Huay Lan ")</f>
        <v>PTT Huay Lan </v>
      </c>
    </row>
    <row r="268">
      <c r="A268" s="4" t="s">
        <v>1598</v>
      </c>
      <c r="B268" s="1" t="s">
        <v>1101</v>
      </c>
      <c r="C268" s="2" t="str">
        <f>HYPERLINK("http://4sq.com/bfm5iv","Mae Khachan Hot Spring (น้ำพุร้อนแม่ขะจาน) ")</f>
        <v>Mae Khachan Hot Spring (น้ำพุร้อนแม่ขะจาน) </v>
      </c>
    </row>
    <row r="269">
      <c r="A269" s="4" t="s">
        <v>1599</v>
      </c>
      <c r="B269" s="1" t="s">
        <v>1101</v>
      </c>
      <c r="C269" s="2" t="str">
        <f>HYPERLINK("http://4sq.com/1UAssUD","Mamma Mia ")</f>
        <v>Mamma Mia </v>
      </c>
    </row>
    <row r="270">
      <c r="A270" s="4" t="s">
        <v>1600</v>
      </c>
      <c r="B270" s="1" t="s">
        <v>1101</v>
      </c>
      <c r="C270" s="2" t="str">
        <f>HYPERLINK("http://4sq.com/mhapeD","Gerard Habitat Hotel &amp; Apartment Service ")</f>
        <v>Gerard Habitat Hotel &amp; Apartment Service </v>
      </c>
    </row>
    <row r="271">
      <c r="A271" s="4" t="s">
        <v>1601</v>
      </c>
      <c r="B271" s="1" t="s">
        <v>1101</v>
      </c>
      <c r="C271" s="2" t="str">
        <f>HYPERLINK("http://4sq.com/1X5UJoI","Betta Cafe ")</f>
        <v>Betta Cafe </v>
      </c>
    </row>
    <row r="272">
      <c r="A272" s="4" t="s">
        <v>1602</v>
      </c>
      <c r="B272" s="1" t="s">
        <v>1101</v>
      </c>
      <c r="C272" s="2" t="str">
        <f>HYPERLINK("http://4sq.com/o2p9Ve","Robinson (โรบินสัน) ")</f>
        <v>Robinson (โรบินสัน) </v>
      </c>
    </row>
    <row r="273">
      <c r="A273" s="4" t="s">
        <v>1603</v>
      </c>
      <c r="B273" s="1" t="s">
        <v>1101</v>
      </c>
      <c r="C273" s="2" t="str">
        <f>HYPERLINK("http://4sq.com/fR0x6i","Wat Phrathat Chum Mueang (วัดพระธาตุชุ่มเมือง) ")</f>
        <v>Wat Phrathat Chum Mueang (วัดพระธาตุชุ่มเมือง) </v>
      </c>
    </row>
    <row r="274">
      <c r="A274" s="4" t="s">
        <v>1604</v>
      </c>
      <c r="B274" s="1" t="s">
        <v>1101</v>
      </c>
      <c r="C274" s="2" t="str">
        <f>HYPERLINK("http://4sq.com/1GjmLUZ","Pizza Pasta by Simon ")</f>
        <v>Pizza Pasta by Simon </v>
      </c>
    </row>
    <row r="275">
      <c r="A275" s="4" t="s">
        <v>1605</v>
      </c>
      <c r="B275" s="1" t="s">
        <v>1101</v>
      </c>
      <c r="C275" s="2" t="str">
        <f>HYPERLINK("http://4sq.com/1ln165h","Kawasaki แสงสัยธุรกิจยานยนต์ ")</f>
        <v>Kawasaki แสงสัยธุรกิจยานยนต์ </v>
      </c>
    </row>
    <row r="276">
      <c r="A276" s="4" t="s">
        <v>1606</v>
      </c>
      <c r="B276" s="1" t="s">
        <v>1101</v>
      </c>
      <c r="C276" s="2" t="str">
        <f>HYPERLINK("http://4sq.com/1uTcCs4","Local Cafe (คาเฟ่บ้านนอก) ")</f>
        <v>Local Cafe (คาเฟ่บ้านนอก) </v>
      </c>
    </row>
    <row r="277">
      <c r="A277" s="4" t="s">
        <v>1607</v>
      </c>
      <c r="B277" s="1" t="s">
        <v>1101</v>
      </c>
      <c r="C277" s="2" t="str">
        <f>HYPERLINK("http://4sq.com/1ln165h","Kawasaki แสงสัยธุรกิจยานยนต์ ")</f>
        <v>Kawasaki แสงสัยธุรกิจยานยนต์ </v>
      </c>
    </row>
    <row r="278">
      <c r="A278" s="4" t="s">
        <v>1608</v>
      </c>
      <c r="B278" s="1" t="s">
        <v>1101</v>
      </c>
      <c r="C278" s="2" t="str">
        <f>HYPERLINK("http://4sq.com/VxOScK","Curry Scoop ")</f>
        <v>Curry Scoop </v>
      </c>
    </row>
    <row r="279">
      <c r="A279" s="4" t="s">
        <v>1609</v>
      </c>
      <c r="B279" s="1" t="s">
        <v>1101</v>
      </c>
      <c r="C279" s="2" t="str">
        <f>HYPERLINK("http://4sq.com/cMQrOm","Mango Tango ")</f>
        <v>Mango Tango </v>
      </c>
    </row>
    <row r="280">
      <c r="A280" s="4" t="s">
        <v>1610</v>
      </c>
      <c r="B280" s="1" t="s">
        <v>1101</v>
      </c>
      <c r="C280" s="2" t="str">
        <f>HYPERLINK("http://4sq.com/gzBkmg","U.S. Consulate General Chiang Mai (สถานกงสุลสหรัฐอเมริกา) ")</f>
        <v>U.S. Consulate General Chiang Mai (สถานกงสุลสหรัฐอเมริกา) </v>
      </c>
    </row>
    <row r="281">
      <c r="A281" s="4" t="s">
        <v>1611</v>
      </c>
      <c r="B281" s="1" t="s">
        <v>1101</v>
      </c>
      <c r="C281" s="2" t="str">
        <f t="shared" ref="C281:C282" si="3">HYPERLINK("http://4sq.com/1NMIaul","Cheunjai Coffee&amp;Thai food ")</f>
        <v>Cheunjai Coffee&amp;Thai food </v>
      </c>
    </row>
    <row r="282">
      <c r="A282" s="4" t="s">
        <v>1612</v>
      </c>
      <c r="B282" s="1" t="s">
        <v>1101</v>
      </c>
      <c r="C282" s="2" t="str">
        <f t="shared" si="3"/>
        <v>Cheunjai Coffee&amp;Thai food </v>
      </c>
    </row>
    <row r="283">
      <c r="A283" s="4" t="s">
        <v>1613</v>
      </c>
      <c r="B283" s="1" t="s">
        <v>1101</v>
      </c>
      <c r="C283" s="2" t="str">
        <f>HYPERLINK("http://4sq.com/1uTcCs4","Local Cafe (คาเฟ่บ้านนอก) ")</f>
        <v>Local Cafe (คาเฟ่บ้านนอก) </v>
      </c>
    </row>
    <row r="284">
      <c r="A284" s="4" t="s">
        <v>1614</v>
      </c>
      <c r="B284" s="1" t="s">
        <v>1101</v>
      </c>
      <c r="C284" s="2" t="str">
        <f>HYPERLINK("http://4sq.com/2bIJz8b","Lamona View Swimming Pool ")</f>
        <v>Lamona View Swimming Pool </v>
      </c>
    </row>
    <row r="285">
      <c r="A285" s="4" t="s">
        <v>1615</v>
      </c>
      <c r="B285" s="1" t="s">
        <v>1101</v>
      </c>
      <c r="C285" s="2" t="str">
        <f>HYPERLINK("http://4sq.com/o3ZEdO","See Paak Restaurant ")</f>
        <v>See Paak Restaurant </v>
      </c>
    </row>
    <row r="286">
      <c r="A286" s="4" t="s">
        <v>1616</v>
      </c>
      <c r="B286" s="1" t="s">
        <v>1101</v>
      </c>
      <c r="C286" s="2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287">
      <c r="A287" s="4" t="s">
        <v>1617</v>
      </c>
      <c r="B287" s="1" t="s">
        <v>1101</v>
      </c>
      <c r="C287" s="2" t="str">
        <f>HYPERLINK("http://4sq.com/1uTcCs4","Local Cafe (คาเฟ่บ้านนอก) ")</f>
        <v>Local Cafe (คาเฟ่บ้านนอก) </v>
      </c>
    </row>
    <row r="288">
      <c r="A288" s="4" t="s">
        <v>1618</v>
      </c>
      <c r="B288" s="1" t="s">
        <v>1101</v>
      </c>
      <c r="C288" s="2" t="str">
        <f>HYPERLINK("http://4sq.com/1TCKINo","Ojisan warehouse ")</f>
        <v>Ojisan warehouse </v>
      </c>
    </row>
    <row r="289">
      <c r="A289" s="4" t="s">
        <v>1619</v>
      </c>
      <c r="B289" s="1" t="s">
        <v>1101</v>
      </c>
      <c r="C289" s="2" t="str">
        <f>HYPERLINK("http://4sq.com/1NMIaul","Cheunjai Coffee&amp;Thai food ")</f>
        <v>Cheunjai Coffee&amp;Thai food </v>
      </c>
    </row>
    <row r="290">
      <c r="A290" s="4" t="s">
        <v>1620</v>
      </c>
      <c r="B290" s="1" t="s">
        <v>1101</v>
      </c>
      <c r="C290" s="2" t="str">
        <f>HYPERLINK("http://4sq.com/2bIJz8b","Lamona View Swimming Pool ")</f>
        <v>Lamona View Swimming Pool </v>
      </c>
    </row>
    <row r="291">
      <c r="A291" s="4" t="s">
        <v>1621</v>
      </c>
      <c r="B291" s="1" t="s">
        <v>1101</v>
      </c>
      <c r="C291" s="2" t="str">
        <f>HYPERLINK("http://4sq.com/21X1Am7","Taste cafe (เทสทคาเฟ่) ")</f>
        <v>Taste cafe (เทสทคาเฟ่) </v>
      </c>
    </row>
    <row r="292">
      <c r="A292" s="4" t="s">
        <v>1622</v>
      </c>
      <c r="B292" s="1" t="s">
        <v>1101</v>
      </c>
      <c r="C292" s="2" t="str">
        <f>HYPERLINK("http://4sq.com/VuG5rl","Steak Of The Day ")</f>
        <v>Steak Of The Day </v>
      </c>
    </row>
    <row r="293">
      <c r="A293" s="4" t="s">
        <v>1623</v>
      </c>
      <c r="B293" s="1" t="s">
        <v>1101</v>
      </c>
      <c r="C293" s="2" t="str">
        <f>HYPERLINK("http://4sq.com/o3ZEdO","See Paak Restaurant ")</f>
        <v>See Paak Restaurant </v>
      </c>
    </row>
    <row r="294">
      <c r="A294" s="4" t="s">
        <v>1624</v>
      </c>
      <c r="B294" s="1" t="s">
        <v>1101</v>
      </c>
      <c r="C294" s="2" t="str">
        <f>HYPERLINK("http://4sq.com/1uTcCs4","Local Cafe (คาเฟ่บ้านนอก) ")</f>
        <v>Local Cafe (คาเฟ่บ้านนอก) </v>
      </c>
    </row>
    <row r="295">
      <c r="A295" s="4" t="s">
        <v>1625</v>
      </c>
      <c r="B295" s="1" t="s">
        <v>1101</v>
      </c>
      <c r="C295" s="2" t="str">
        <f>HYPERLINK("http://4sq.com/2cixGXk","Hug café &amp; bar ")</f>
        <v>Hug café &amp; bar </v>
      </c>
    </row>
    <row r="296">
      <c r="A296" s="4" t="s">
        <v>1626</v>
      </c>
      <c r="B296" s="1" t="s">
        <v>1101</v>
      </c>
      <c r="C296" s="2" t="str">
        <f>HYPERLINK("http://4sq.com/1QBr5FK","นั่งๆนอนๆ Homestyle Kitchen &amp; Bekery ")</f>
        <v>นั่งๆนอนๆ Homestyle Kitchen &amp; Bekery </v>
      </c>
    </row>
    <row r="297">
      <c r="A297" s="4" t="s">
        <v>1627</v>
      </c>
      <c r="B297" s="1" t="s">
        <v>1101</v>
      </c>
      <c r="C297" s="2" t="str">
        <f>HYPERLINK("http://4sq.com/di0WBH","Kasikornbank (ธนาคารกสิกรไทย) ")</f>
        <v>Kasikornbank (ธนาคารกสิกรไทย) </v>
      </c>
    </row>
    <row r="298">
      <c r="A298" s="4" t="s">
        <v>1628</v>
      </c>
      <c r="B298" s="1" t="s">
        <v>1101</v>
      </c>
      <c r="C298" s="2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299">
      <c r="A299" s="4" t="s">
        <v>1629</v>
      </c>
      <c r="B299" s="1" t="s">
        <v>1101</v>
      </c>
      <c r="C299" s="2" t="str">
        <f>HYPERLINK("http://4sq.com/1VSEaLF","Ristr8to Lab (รีสเตรสโต้ แลป) ")</f>
        <v>Ristr8to Lab (รีสเตรสโต้ แลป) </v>
      </c>
    </row>
    <row r="300">
      <c r="A300" s="4" t="s">
        <v>1630</v>
      </c>
      <c r="B300" s="1" t="s">
        <v>1101</v>
      </c>
      <c r="C300" s="2" t="str">
        <f>HYPERLINK("http://4sq.com/llZ74P","HOME MALL ")</f>
        <v>HOME MALL </v>
      </c>
    </row>
    <row r="301">
      <c r="A301" s="4" t="s">
        <v>1631</v>
      </c>
      <c r="B301" s="1" t="s">
        <v>1101</v>
      </c>
      <c r="C301" s="2" t="str">
        <f>HYPERLINK("http://4sq.com/o3ZEdO","See Paak Restaurant ")</f>
        <v>See Paak Restaurant </v>
      </c>
    </row>
    <row r="302">
      <c r="A302" s="4" t="s">
        <v>1632</v>
      </c>
      <c r="B302" s="1" t="s">
        <v>1101</v>
      </c>
      <c r="C302" s="2" t="str">
        <f>HYPERLINK("http://4sq.com/a3WF57","Pizza Mania ")</f>
        <v>Pizza Mania </v>
      </c>
    </row>
    <row r="303">
      <c r="A303" s="4" t="s">
        <v>1633</v>
      </c>
      <c r="B303" s="1" t="s">
        <v>1101</v>
      </c>
      <c r="C303" s="2" t="str">
        <f>HYPERLINK("http://4sq.com/2cNlYpD","Ciao Ciao ")</f>
        <v>Ciao Ciao </v>
      </c>
    </row>
    <row r="304">
      <c r="A304" s="4" t="s">
        <v>1634</v>
      </c>
      <c r="B304" s="1" t="s">
        <v>1101</v>
      </c>
      <c r="C304" s="2" t="str">
        <f>HYPERLINK("http://4sq.com/HWGxfb","B2S (บีทูเอส) ")</f>
        <v>B2S (บีทูเอส) </v>
      </c>
    </row>
    <row r="305">
      <c r="A305" s="4" t="s">
        <v>1635</v>
      </c>
      <c r="B305" s="1" t="s">
        <v>1101</v>
      </c>
      <c r="C305" s="2" t="str">
        <f>HYPERLINK("http://4sq.com/ehYcFx","ผัดไทยห้ารสท่าแพ@หน้าแม็คคอร์มิค ")</f>
        <v>ผัดไทยห้ารสท่าแพ@หน้าแม็คคอร์มิค </v>
      </c>
    </row>
    <row r="306">
      <c r="A306" s="4" t="s">
        <v>1636</v>
      </c>
      <c r="B306" s="1" t="s">
        <v>1101</v>
      </c>
      <c r="C306" s="2" t="str">
        <f>HYPERLINK("http://4sq.com/o3ZEdO","See Paak Restaurant ")</f>
        <v>See Paak Restaurant </v>
      </c>
    </row>
    <row r="307">
      <c r="A307" s="4" t="s">
        <v>1637</v>
      </c>
      <c r="B307" s="1" t="s">
        <v>1101</v>
      </c>
      <c r="C307" s="2" t="str">
        <f>HYPERLINK("http://4sq.com/1BjQ2z6","SS1254372 Cafe ")</f>
        <v>SS1254372 Cafe </v>
      </c>
    </row>
    <row r="308">
      <c r="A308" s="4" t="s">
        <v>1638</v>
      </c>
      <c r="B308" s="1" t="s">
        <v>1101</v>
      </c>
      <c r="C308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09">
      <c r="A309" s="4" t="s">
        <v>1639</v>
      </c>
      <c r="B309" s="1" t="s">
        <v>1101</v>
      </c>
      <c r="C309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10">
      <c r="A310" s="4" t="s">
        <v>1640</v>
      </c>
      <c r="B310" s="1" t="s">
        <v>1101</v>
      </c>
      <c r="C310" s="2" t="str">
        <f>HYPERLINK("http://4sq.com/cc8upi","Check Inn Regency Park ")</f>
        <v>Check Inn Regency Park </v>
      </c>
    </row>
    <row r="311">
      <c r="A311" s="4" t="s">
        <v>1641</v>
      </c>
      <c r="B311" s="1" t="s">
        <v>1101</v>
      </c>
      <c r="C311" s="2" t="str">
        <f>HYPERLINK("http://4sq.com/NKeRdP","Buddy's Bar &amp; Grill ")</f>
        <v>Buddy's Bar &amp; Grill </v>
      </c>
    </row>
    <row r="312">
      <c r="A312" s="4" t="s">
        <v>1642</v>
      </c>
      <c r="B312" s="1" t="s">
        <v>1101</v>
      </c>
      <c r="C312" s="2" t="str">
        <f>HYPERLINK("http://4sq.com/nTluGY","Terminal 2 (อาคาร 2) ")</f>
        <v>Terminal 2 (อาคาร 2) </v>
      </c>
    </row>
    <row r="313">
      <c r="A313" s="4" t="s">
        <v>1643</v>
      </c>
      <c r="B313" s="1" t="s">
        <v>1101</v>
      </c>
      <c r="C313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14">
      <c r="A314" s="4" t="s">
        <v>1644</v>
      </c>
      <c r="B314" s="1" t="s">
        <v>1101</v>
      </c>
      <c r="C314" s="2" t="str">
        <f>HYPERLINK("http://4sq.com/11nzEX7","เฮือนลูกหลาน ")</f>
        <v>เฮือนลูกหลาน </v>
      </c>
    </row>
    <row r="315">
      <c r="A315" s="4" t="s">
        <v>1645</v>
      </c>
      <c r="B315" s="1" t="s">
        <v>1101</v>
      </c>
      <c r="C315" s="2" t="str">
        <f>HYPERLINK("http://4sq.com/1uTcCs4","Local Cafe (คาเฟ่บ้านนอก) ")</f>
        <v>Local Cafe (คาเฟ่บ้านนอก) </v>
      </c>
    </row>
    <row r="316">
      <c r="A316" s="4" t="s">
        <v>1646</v>
      </c>
      <c r="B316" s="1" t="s">
        <v>1101</v>
      </c>
      <c r="C316" s="2" t="str">
        <f>HYPERLINK("http://4sq.com/bnrusa","Eco Resort Chiang Mai (อีโค รีสอร์ท เชียงใหม่) ")</f>
        <v>Eco Resort Chiang Mai (อีโค รีสอร์ท เชียงใหม่) </v>
      </c>
    </row>
    <row r="317">
      <c r="A317" s="4" t="s">
        <v>1647</v>
      </c>
      <c r="B317" s="1" t="s">
        <v>1101</v>
      </c>
      <c r="C317" s="2" t="str">
        <f>HYPERLINK("http://4sq.com/1gyTULZ","Tumlum Yumzaap (ตำลำ ยำแซ่บ) ")</f>
        <v>Tumlum Yumzaap (ตำลำ ยำแซ่บ) </v>
      </c>
    </row>
    <row r="318">
      <c r="A318" s="4" t="s">
        <v>1648</v>
      </c>
      <c r="B318" s="1" t="s">
        <v>1101</v>
      </c>
      <c r="C318" s="2" t="str">
        <f>HYPERLINK("http://4sq.com/12JZOTi","Street Pizza Wood Fired Oven ")</f>
        <v>Street Pizza Wood Fired Oven </v>
      </c>
    </row>
    <row r="319">
      <c r="A319" s="4" t="s">
        <v>1649</v>
      </c>
      <c r="B319" s="1" t="s">
        <v>1101</v>
      </c>
      <c r="C319" s="2" t="str">
        <f>HYPERLINK("http://4sq.com/1EZfTgZ","pansawan ")</f>
        <v>pansawan </v>
      </c>
    </row>
    <row r="320">
      <c r="A320" s="4" t="s">
        <v>1650</v>
      </c>
      <c r="B320" s="1" t="s">
        <v>1101</v>
      </c>
      <c r="C320" s="2" t="str">
        <f>HYPERLINK("http://4sq.com/o3ZEdO","See Paak Restaurant ")</f>
        <v>See Paak Restaurant </v>
      </c>
    </row>
    <row r="321">
      <c r="A321" s="4" t="s">
        <v>1651</v>
      </c>
      <c r="B321" s="1" t="s">
        <v>1101</v>
      </c>
      <c r="C321" s="2" t="str">
        <f>HYPERLINK("http://4sq.com/1uTcCs4","Local Cafe (คาเฟ่บ้านนอก) ")</f>
        <v>Local Cafe (คาเฟ่บ้านนอก) </v>
      </c>
    </row>
    <row r="322">
      <c r="A322" s="4" t="s">
        <v>1652</v>
      </c>
      <c r="B322" s="1" t="s">
        <v>1101</v>
      </c>
      <c r="C322" s="2" t="str">
        <f>HYPERLINK("http://4sq.com/1cbUJew","ริมธาร นั่งเล่น ")</f>
        <v>ริมธาร นั่งเล่น </v>
      </c>
    </row>
    <row r="323">
      <c r="A323" s="4" t="s">
        <v>1653</v>
      </c>
      <c r="B323" s="1" t="s">
        <v>1101</v>
      </c>
      <c r="C323" s="2" t="str">
        <f>HYPERLINK("http://4sq.com/1GjmLUZ","Pizza Pasta by Simon ")</f>
        <v>Pizza Pasta by Simon </v>
      </c>
    </row>
    <row r="324">
      <c r="A324" s="4" t="s">
        <v>1654</v>
      </c>
      <c r="B324" s="1" t="s">
        <v>1101</v>
      </c>
      <c r="C324" s="2" t="str">
        <f>HYPERLINK("http://4sq.com/llZ74P","HOME MALL ")</f>
        <v>HOME MALL </v>
      </c>
    </row>
    <row r="325">
      <c r="A325" s="4" t="s">
        <v>1655</v>
      </c>
      <c r="B325" s="1" t="s">
        <v>1101</v>
      </c>
      <c r="C325" s="2" t="str">
        <f>HYPERLINK("http://4sq.com/fHcaB9","Coffee Bus (คอฟฟี่บัส) ")</f>
        <v>Coffee Bus (คอฟฟี่บัส) </v>
      </c>
    </row>
    <row r="326">
      <c r="A326" s="4" t="s">
        <v>1656</v>
      </c>
      <c r="B326" s="1" t="s">
        <v>1101</v>
      </c>
      <c r="C326" s="2" t="str">
        <f>HYPERLINK("http://4sq.com/1dHOYY4","Pizzeria Giotto ")</f>
        <v>Pizzeria Giotto </v>
      </c>
    </row>
    <row r="327">
      <c r="A327" s="4" t="s">
        <v>1657</v>
      </c>
      <c r="B327" s="1" t="s">
        <v>1101</v>
      </c>
      <c r="C327" s="2" t="str">
        <f>HYPERLINK("http://4sq.com/1oOhJur","Beast Burger ")</f>
        <v>Beast Burger </v>
      </c>
    </row>
    <row r="328">
      <c r="A328" s="4" t="s">
        <v>1658</v>
      </c>
      <c r="B328" s="1" t="s">
        <v>1101</v>
      </c>
      <c r="C328" s="2" t="str">
        <f>HYPERLINK("http://4sq.com/1GjmLUZ","Pizza Pasta by Simon ")</f>
        <v>Pizza Pasta by Simon </v>
      </c>
    </row>
    <row r="329">
      <c r="A329" s="4" t="s">
        <v>1659</v>
      </c>
      <c r="B329" s="1" t="s">
        <v>1101</v>
      </c>
      <c r="C329" s="2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330">
      <c r="A330" s="4" t="s">
        <v>1660</v>
      </c>
      <c r="B330" s="1" t="s">
        <v>1101</v>
      </c>
      <c r="C330" s="2" t="str">
        <f>HYPERLINK("http://4sq.com/229WRwg","ตึงเปา ตึงเปี๊ยะ ")</f>
        <v>ตึงเปา ตึงเปี๊ยะ </v>
      </c>
    </row>
    <row r="331">
      <c r="A331" s="4" t="s">
        <v>1661</v>
      </c>
      <c r="B331" s="1" t="s">
        <v>1101</v>
      </c>
      <c r="C331" s="2" t="str">
        <f>HYPERLINK("http://4sq.com/1gyTULZ","Tumlum Yumzaap (ตำลำ ยำแซ่บ) ")</f>
        <v>Tumlum Yumzaap (ตำลำ ยำแซ่บ) </v>
      </c>
    </row>
    <row r="332">
      <c r="A332" s="4" t="s">
        <v>1662</v>
      </c>
      <c r="B332" s="1" t="s">
        <v>1101</v>
      </c>
      <c r="C332" s="2" t="str">
        <f>HYPERLINK("http://4sq.com/1QBr5FK","นั่งๆนอนๆ Homestyle Kitchen &amp; Bekery ")</f>
        <v>นั่งๆนอนๆ Homestyle Kitchen &amp; Bekery </v>
      </c>
    </row>
    <row r="333">
      <c r="A333" s="4" t="s">
        <v>1663</v>
      </c>
      <c r="B333" s="1" t="s">
        <v>1101</v>
      </c>
      <c r="C333" s="2" t="str">
        <f>HYPERLINK("http://4sq.com/9v5uys","Mon Cham (ม่อนแจ่ม) ")</f>
        <v>Mon Cham (ม่อนแจ่ม) </v>
      </c>
    </row>
    <row r="334">
      <c r="A334" s="4" t="s">
        <v>1664</v>
      </c>
      <c r="B334" s="1" t="s">
        <v>1101</v>
      </c>
      <c r="C334" s="2" t="str">
        <f>HYPERLINK("http://4sq.com/1EZfTgZ","pansawan ")</f>
        <v>pansawan </v>
      </c>
    </row>
    <row r="335">
      <c r="A335" s="4" t="s">
        <v>1665</v>
      </c>
      <c r="B335" s="1" t="s">
        <v>1101</v>
      </c>
      <c r="C335" s="2" t="str">
        <f>HYPERLINK("http://4sq.com/1PAmsuG","mont blanc garden kitchen ")</f>
        <v>mont blanc garden kitchen </v>
      </c>
    </row>
    <row r="336">
      <c r="A336" s="4" t="s">
        <v>1666</v>
      </c>
      <c r="B336" s="1" t="s">
        <v>1101</v>
      </c>
      <c r="C336" s="2" t="str">
        <f>HYPERLINK("http://4sq.com/hf17HB","คันคลอง ")</f>
        <v>คันคลอง </v>
      </c>
    </row>
    <row r="337">
      <c r="A337" s="4" t="s">
        <v>1667</v>
      </c>
      <c r="B337" s="1" t="s">
        <v>1101</v>
      </c>
      <c r="C337" s="2" t="str">
        <f>HYPERLINK("http://4sq.com/1UN2yN3","Mont Blanc Sweet Cafe ")</f>
        <v>Mont Blanc Sweet Cafe </v>
      </c>
    </row>
    <row r="338">
      <c r="A338" s="4" t="s">
        <v>1668</v>
      </c>
      <c r="B338" s="1" t="s">
        <v>1101</v>
      </c>
      <c r="C338" s="2" t="str">
        <f>HYPERLINK("http://4sq.com/1NMIaul","Cheunjai Coffee&amp;Thai food ")</f>
        <v>Cheunjai Coffee&amp;Thai food </v>
      </c>
    </row>
    <row r="339">
      <c r="A339" s="4" t="s">
        <v>1669</v>
      </c>
      <c r="B339" s="1" t="s">
        <v>1101</v>
      </c>
      <c r="C339" s="2" t="str">
        <f>HYPERLINK("http://4sq.com/1gyTULZ","Tumlum Yumzaap (ตำลำ ยำแซ่บ) ")</f>
        <v>Tumlum Yumzaap (ตำลำ ยำแซ่บ) </v>
      </c>
    </row>
    <row r="340">
      <c r="A340" s="4" t="s">
        <v>1670</v>
      </c>
      <c r="B340" s="1" t="s">
        <v>1101</v>
      </c>
      <c r="C340" s="2" t="str">
        <f>HYPERLINK("http://4sq.com/cDbPYP","Ton Nam Pla Pao (ต้นน้ำปลาเผา) ")</f>
        <v>Ton Nam Pla Pao (ต้นน้ำปลาเผา) </v>
      </c>
    </row>
    <row r="341">
      <c r="A341" s="4" t="s">
        <v>1671</v>
      </c>
      <c r="B341" s="1" t="s">
        <v>1101</v>
      </c>
      <c r="C341" s="2" t="str">
        <f>HYPERLINK("http://4sq.com/1uTcCs4","Local Cafe (คาเฟ่บ้านนอก) ")</f>
        <v>Local Cafe (คาเฟ่บ้านนอก) </v>
      </c>
    </row>
    <row r="342">
      <c r="A342" s="4" t="s">
        <v>1672</v>
      </c>
      <c r="B342" s="1" t="s">
        <v>1101</v>
      </c>
      <c r="C342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343">
      <c r="A343" s="4" t="s">
        <v>1673</v>
      </c>
      <c r="B343" s="1" t="s">
        <v>1101</v>
      </c>
      <c r="C343" s="2" t="str">
        <f>HYPERLINK("http://4sq.com/1bpS1ih","Major Cineplex (เมเจอร์ ซีนีเพล็กซ์) ")</f>
        <v>Major Cineplex (เมเจอร์ ซีนีเพล็กซ์) </v>
      </c>
    </row>
    <row r="344">
      <c r="A344" s="4" t="s">
        <v>1674</v>
      </c>
      <c r="B344" s="1" t="s">
        <v>1101</v>
      </c>
      <c r="C344" s="2" t="str">
        <f>HYPERLINK("http://4sq.com/9Xt3FL","Huay Tueng Tao (ห้วยตึงเฒ่า) ")</f>
        <v>Huay Tueng Tao (ห้วยตึงเฒ่า) </v>
      </c>
    </row>
    <row r="345">
      <c r="A345" s="4" t="s">
        <v>1675</v>
      </c>
      <c r="B345" s="1" t="s">
        <v>1101</v>
      </c>
      <c r="C345" s="2" t="str">
        <f>HYPERLINK("http://4sq.com/1LwwIEn","Let It Be ")</f>
        <v>Let It Be </v>
      </c>
    </row>
    <row r="346">
      <c r="A346" s="4" t="s">
        <v>1676</v>
      </c>
      <c r="B346" s="1" t="s">
        <v>1101</v>
      </c>
      <c r="C346" s="2" t="str">
        <f>HYPERLINK("http://4sq.com/1QUOUcj","German Beer Garden ")</f>
        <v>German Beer Garden </v>
      </c>
    </row>
    <row r="347">
      <c r="A347" s="4" t="s">
        <v>1677</v>
      </c>
      <c r="B347" s="1" t="s">
        <v>1101</v>
      </c>
      <c r="C347" s="2" t="str">
        <f>HYPERLINK("http://4sq.com/jYNlpe","The Lost Hut ")</f>
        <v>The Lost Hut </v>
      </c>
    </row>
    <row r="348">
      <c r="A348" s="4" t="s">
        <v>1678</v>
      </c>
      <c r="B348" s="1" t="s">
        <v>1101</v>
      </c>
      <c r="C348" s="2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349">
      <c r="A349" s="4" t="s">
        <v>1679</v>
      </c>
      <c r="B349" s="1" t="s">
        <v>1101</v>
      </c>
      <c r="C349" s="2" t="str">
        <f>HYPERLINK("http://4sq.com/2bIJz8b","Lamona View Swimming Pool ")</f>
        <v>Lamona View Swimming Pool </v>
      </c>
    </row>
    <row r="350">
      <c r="A350" s="4" t="s">
        <v>1680</v>
      </c>
      <c r="B350" s="1" t="s">
        <v>1101</v>
      </c>
      <c r="C350" s="2" t="str">
        <f>HYPERLINK("http://4sq.com/o3ZEdO","See Paak Restaurant ")</f>
        <v>See Paak Restaurant </v>
      </c>
    </row>
    <row r="351">
      <c r="A351" s="4" t="s">
        <v>1681</v>
      </c>
      <c r="B351" s="1" t="s">
        <v>1101</v>
      </c>
      <c r="C351" s="2" t="str">
        <f>HYPERLINK("http://4sq.com/u3uj6W","Krapood Farm Kitchen + Pub ")</f>
        <v>Krapood Farm Kitchen + Pub </v>
      </c>
    </row>
    <row r="352">
      <c r="A352" s="4" t="s">
        <v>1682</v>
      </c>
      <c r="B352" s="1" t="s">
        <v>1101</v>
      </c>
      <c r="C352" s="2" t="str">
        <f>HYPERLINK("http://4sq.com/1QBr5FK","นั่งๆนอนๆ Homestyle Kitchen &amp; Bekery ")</f>
        <v>นั่งๆนอนๆ Homestyle Kitchen &amp; Bekery </v>
      </c>
    </row>
    <row r="353">
      <c r="A353" s="4" t="s">
        <v>1683</v>
      </c>
      <c r="B353" s="1" t="s">
        <v>1101</v>
      </c>
      <c r="C353" s="2" t="str">
        <f>HYPERLINK("http://4sq.com/2fnKg6A","Mae Rim Resto ")</f>
        <v>Mae Rim Resto </v>
      </c>
    </row>
    <row r="354">
      <c r="A354" s="4" t="s">
        <v>1684</v>
      </c>
      <c r="B354" s="1" t="s">
        <v>1101</v>
      </c>
      <c r="C354" s="2" t="str">
        <f>HYPERLINK("http://4sq.com/UHDUB0","The Chai Lai Orchid ")</f>
        <v>The Chai Lai Orchid </v>
      </c>
    </row>
    <row r="355">
      <c r="A355" s="4" t="s">
        <v>1685</v>
      </c>
      <c r="B355" s="1" t="s">
        <v>1101</v>
      </c>
      <c r="C355" s="2" t="str">
        <f>HYPERLINK("http://4sq.com/1dpQIFZ","The Chai Lai Orchid Cafe' ")</f>
        <v>The Chai Lai Orchid Cafe' </v>
      </c>
    </row>
    <row r="356">
      <c r="A356" s="4" t="s">
        <v>1686</v>
      </c>
      <c r="B356" s="1" t="s">
        <v>1101</v>
      </c>
      <c r="C356" s="2" t="str">
        <f>HYPERLINK("http://4sq.com/vR2jCG","Baan-Suan-Ka-Fé (บ้านสวนกาแฟ) ")</f>
        <v>Baan-Suan-Ka-Fé (บ้านสวนกาแฟ) </v>
      </c>
    </row>
    <row r="357">
      <c r="A357" s="4" t="s">
        <v>1687</v>
      </c>
      <c r="B357" s="1" t="s">
        <v>1101</v>
      </c>
      <c r="C357" s="2" t="str">
        <f>HYPERLINK("http://4sq.com/12JZOTi","Street Pizza Wood Fired Oven ")</f>
        <v>Street Pizza Wood Fired Oven </v>
      </c>
    </row>
    <row r="358">
      <c r="A358" s="4" t="s">
        <v>1688</v>
      </c>
      <c r="B358" s="1" t="s">
        <v>1101</v>
      </c>
      <c r="C358" s="2" t="str">
        <f>HYPERLINK("http://4sq.com/sm7fyN","ทับริมธาร ")</f>
        <v>ทับริมธาร </v>
      </c>
    </row>
    <row r="359">
      <c r="A359" s="4" t="s">
        <v>1689</v>
      </c>
      <c r="B359" s="1" t="s">
        <v>1101</v>
      </c>
      <c r="C359" s="2" t="str">
        <f>HYPERLINK("http://4sq.com/17EOSdj","The Larder Cafe and Bar ")</f>
        <v>The Larder Cafe and Bar </v>
      </c>
    </row>
    <row r="360">
      <c r="A360" s="4" t="s">
        <v>1690</v>
      </c>
      <c r="B360" s="1" t="s">
        <v>1101</v>
      </c>
      <c r="C360" s="2" t="str">
        <f>HYPERLINK("http://4sq.com/1WzNUez","Crossroad ")</f>
        <v>Crossroad </v>
      </c>
    </row>
    <row r="361">
      <c r="A361" s="4" t="s">
        <v>1691</v>
      </c>
      <c r="B361" s="1" t="s">
        <v>1101</v>
      </c>
      <c r="C361" s="2" t="str">
        <f>HYPERLINK("http://4sq.com/9rHN1N","Jirung Health Village Resort Chiang Mai ")</f>
        <v>Jirung Health Village Resort Chiang Mai </v>
      </c>
    </row>
    <row r="362">
      <c r="A362" s="4" t="s">
        <v>1692</v>
      </c>
      <c r="B362" s="1" t="s">
        <v>1101</v>
      </c>
      <c r="C362" s="2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363">
      <c r="A363" s="4" t="s">
        <v>1693</v>
      </c>
      <c r="B363" s="1" t="s">
        <v>1101</v>
      </c>
      <c r="C363" s="2" t="str">
        <f>HYPERLINK("http://4sq.com/1LwwIEn","Let It Be ")</f>
        <v>Let It Be </v>
      </c>
    </row>
    <row r="364">
      <c r="A364" s="4" t="s">
        <v>1694</v>
      </c>
      <c r="B364" s="1" t="s">
        <v>1101</v>
      </c>
      <c r="C364" s="2" t="str">
        <f>HYPERLINK("http://4sq.com/a3WF57","Pizza Mania ")</f>
        <v>Pizza Mania </v>
      </c>
    </row>
    <row r="365">
      <c r="A365" s="4" t="s">
        <v>1695</v>
      </c>
      <c r="B365" s="1" t="s">
        <v>1101</v>
      </c>
      <c r="C365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</row>
    <row r="366">
      <c r="A366" s="4" t="s">
        <v>1696</v>
      </c>
      <c r="B366" s="1" t="s">
        <v>1101</v>
      </c>
      <c r="C366" s="2" t="str">
        <f>HYPERLINK("http://4sq.com/1MGHxNq","ระเบียง ณ แม่ริม ")</f>
        <v>ระเบียง ณ แม่ริม </v>
      </c>
    </row>
    <row r="367">
      <c r="A367" s="4" t="s">
        <v>1697</v>
      </c>
      <c r="B367" s="1" t="s">
        <v>1101</v>
      </c>
      <c r="C367" s="2" t="str">
        <f>HYPERLINK("http://4sq.com/b5BzeX","Le Méridien Chiang Mai ")</f>
        <v>Le Méridien Chiang Mai </v>
      </c>
    </row>
    <row r="368">
      <c r="A368" s="4" t="s">
        <v>1698</v>
      </c>
      <c r="B368" s="1" t="s">
        <v>1101</v>
      </c>
      <c r="C368" s="2" t="str">
        <f>HYPERLINK("http://4sq.com/2heQwl8","Noodle Coffee Fruit juice ")</f>
        <v>Noodle Coffee Fruit juice </v>
      </c>
    </row>
    <row r="369">
      <c r="A369" s="4" t="s">
        <v>1699</v>
      </c>
      <c r="B369" s="1" t="s">
        <v>1101</v>
      </c>
      <c r="C369" s="2" t="str">
        <f>HYPERLINK("http://4sq.com/fePnsz","Hill Lodge ")</f>
        <v>Hill Lodge </v>
      </c>
    </row>
    <row r="370">
      <c r="A370" s="4" t="s">
        <v>1700</v>
      </c>
      <c r="B370" s="1" t="s">
        <v>1101</v>
      </c>
      <c r="C370" s="2" t="str">
        <f>HYPERLINK("http://4sq.com/s8bKps","ก๋วยเตี๋ยว ด๊อกเตอร์ ")</f>
        <v>ก๋วยเตี๋ยว ด๊อกเตอร์ </v>
      </c>
    </row>
    <row r="371">
      <c r="A371" s="4" t="s">
        <v>1701</v>
      </c>
      <c r="B371" s="1" t="s">
        <v>1101</v>
      </c>
      <c r="C371" s="2" t="str">
        <f>HYPERLINK("http://4sq.com/1dHOYY4","Pizzeria Giotto ")</f>
        <v>Pizzeria Giotto </v>
      </c>
    </row>
    <row r="372">
      <c r="A372" s="4" t="s">
        <v>1702</v>
      </c>
      <c r="B372" s="1" t="s">
        <v>1101</v>
      </c>
      <c r="C372" s="2" t="str">
        <f>HYPERLINK("http://4sq.com/heBbsQ","Chiang Mai Night Safari (เชียงใหม่ไนท์ซาฟารี) ")</f>
        <v>Chiang Mai Night Safari (เชียงใหม่ไนท์ซาฟารี) </v>
      </c>
    </row>
    <row r="373">
      <c r="A373" s="4" t="s">
        <v>1703</v>
      </c>
      <c r="B373" s="1" t="s">
        <v>1101</v>
      </c>
      <c r="C373" s="2" t="str">
        <f>HYPERLINK("http://4sq.com/1tS4isq","Thapae Loft ")</f>
        <v>Thapae Loft </v>
      </c>
    </row>
    <row r="374">
      <c r="A374" s="4" t="s">
        <v>1704</v>
      </c>
      <c r="B374" s="1" t="s">
        <v>1101</v>
      </c>
      <c r="C374" s="2" t="str">
        <f>HYPERLINK("http://4sq.com/hUO8aV","Girasole Ristorante Italiano ")</f>
        <v>Girasole Ristorante Italiano </v>
      </c>
    </row>
    <row r="375">
      <c r="A375" s="4" t="s">
        <v>1705</v>
      </c>
      <c r="B375" s="1" t="s">
        <v>1101</v>
      </c>
      <c r="C375" s="2" t="str">
        <f>HYPERLINK("http://4sq.com/1ehxHbW","Pakhinai Cafe ")</f>
        <v>Pakhinai Cafe </v>
      </c>
    </row>
    <row r="376">
      <c r="A376" s="4" t="s">
        <v>1706</v>
      </c>
      <c r="B376" s="1" t="s">
        <v>1101</v>
      </c>
      <c r="C376" s="2" t="str">
        <f>HYPERLINK("http://4sq.com/nJDAw8","HugYou (ฮักยู) ลำปางหนาวมาก ")</f>
        <v>HugYou (ฮักยู) ลำปางหนาวมาก </v>
      </c>
    </row>
    <row r="377">
      <c r="A377" s="4" t="s">
        <v>1707</v>
      </c>
      <c r="B377" s="1" t="s">
        <v>1101</v>
      </c>
      <c r="C377" s="2" t="str">
        <f>HYPERLINK("http://4sq.com/1sL1bRN","Tak Treehouse ")</f>
        <v>Tak Treehouse </v>
      </c>
    </row>
    <row r="378">
      <c r="A378" s="4" t="s">
        <v>1708</v>
      </c>
      <c r="B378" s="1" t="s">
        <v>1101</v>
      </c>
      <c r="C378" s="2" t="str">
        <f>HYPERLINK("http://4sq.com/IIuaBU","ชมทิวทัศน์ริมปิง ")</f>
        <v>ชมทิวทัศน์ริมปิง </v>
      </c>
    </row>
    <row r="379">
      <c r="A379" s="4" t="s">
        <v>1709</v>
      </c>
      <c r="B379" s="1" t="s">
        <v>1101</v>
      </c>
      <c r="C379" s="2" t="str">
        <f>HYPERLINK("http://4sq.com/aqReOw","PTT (ปตท.) ")</f>
        <v>PTT (ปตท.) </v>
      </c>
    </row>
    <row r="380">
      <c r="A380" s="4" t="s">
        <v>1710</v>
      </c>
      <c r="B380" s="1" t="s">
        <v>1101</v>
      </c>
      <c r="C380" s="2" t="str">
        <f>HYPERLINK("http://4sq.com/kqzwob","Oasis Bar&amp;Restauntrent ")</f>
        <v>Oasis Bar&amp;Restauntrent </v>
      </c>
    </row>
    <row r="381">
      <c r="A381" s="4" t="s">
        <v>1711</v>
      </c>
      <c r="B381" s="1" t="s">
        <v>1101</v>
      </c>
      <c r="C381" s="2" t="str">
        <f>HYPERLINK("http://4sq.com/fqH930","Belle Grand Rama IX (เบลล์ แกรนด์ พระราม 9) ")</f>
        <v>Belle Grand Rama IX (เบลล์ แกรนด์ พระราม 9) </v>
      </c>
    </row>
    <row r="382">
      <c r="A382" s="4" t="s">
        <v>1712</v>
      </c>
      <c r="B382" s="1" t="s">
        <v>1101</v>
      </c>
      <c r="C382" s="2" t="str">
        <f>HYPERLINK("http://4sq.com/d3oJxD","GMM Grammy Place (อาคาร จีเอ็มเอ็ม แกรมมี่ เพลส) ")</f>
        <v>GMM Grammy Place (อาคาร จีเอ็มเอ็ม แกรมมี่ เพลส) </v>
      </c>
    </row>
    <row r="383">
      <c r="A383" s="4" t="s">
        <v>1713</v>
      </c>
      <c r="B383" s="1" t="s">
        <v>1101</v>
      </c>
      <c r="C383" s="2" t="str">
        <f>HYPERLINK("http://4sq.com/vbnctY","CentralPlaza Grand Rama 9 (เซ็นทรัลพลาซา แกรนด์ พระราม 9) ")</f>
        <v>CentralPlaza Grand Rama 9 (เซ็นทรัลพลาซา แกรนด์ พระราม 9) </v>
      </c>
    </row>
    <row r="384">
      <c r="A384" s="4" t="s">
        <v>1714</v>
      </c>
      <c r="B384" s="1" t="s">
        <v>1101</v>
      </c>
      <c r="C384" s="2" t="str">
        <f>HYPERLINK("http://4sq.com/bKD2nC","PTT (ปตท.) ")</f>
        <v>PTT (ปตท.) </v>
      </c>
    </row>
    <row r="385">
      <c r="A385" s="4" t="s">
        <v>1715</v>
      </c>
      <c r="B385" s="1" t="s">
        <v>1101</v>
      </c>
      <c r="C385" s="2" t="str">
        <f>HYPERLINK("http://4sq.com/g0H0R9","Sam Roi Yot Beach (หาดสามร้อยยอด) ")</f>
        <v>Sam Roi Yot Beach (หาดสามร้อยยอด) </v>
      </c>
    </row>
    <row r="386">
      <c r="A386" s="4" t="s">
        <v>1716</v>
      </c>
      <c r="B386" s="1" t="s">
        <v>1101</v>
      </c>
      <c r="C386" s="2" t="str">
        <f>HYPERLINK("http://4sq.com/aJM955","Hua Hin Airport (HHQ) ท่าอากาศยานหัวหิน ")</f>
        <v>Hua Hin Airport (HHQ) ท่าอากาศยานหัวหิน </v>
      </c>
    </row>
    <row r="387">
      <c r="A387" s="4" t="s">
        <v>1717</v>
      </c>
      <c r="B387" s="1" t="s">
        <v>1101</v>
      </c>
      <c r="C387" s="2" t="str">
        <f>HYPERLINK("http://4sq.com/Zj0oYO","thai thai ")</f>
        <v>thai thai </v>
      </c>
    </row>
    <row r="388">
      <c r="A388" s="4" t="s">
        <v>1718</v>
      </c>
      <c r="B388" s="1" t="s">
        <v>1101</v>
      </c>
      <c r="C388" s="2" t="str">
        <f>HYPERLINK("http://4sq.com/biiRgX","วนอุทยานท้าวโกษา ")</f>
        <v>วนอุทยานท้าวโกษา </v>
      </c>
    </row>
    <row r="389">
      <c r="A389" s="4" t="s">
        <v>1719</v>
      </c>
      <c r="B389" s="1" t="s">
        <v>1101</v>
      </c>
      <c r="C389" s="2" t="str">
        <f>HYPERLINK("http://4sq.com/ifN947","Ley Cafe' Pranburi เล คาเฟ่ ปราณบุรี ")</f>
        <v>Ley Cafe' Pranburi เล คาเฟ่ ปราณบุรี </v>
      </c>
    </row>
    <row r="390">
      <c r="A390" s="4" t="s">
        <v>1720</v>
      </c>
      <c r="B390" s="1" t="s">
        <v>1101</v>
      </c>
      <c r="C390" s="2" t="str">
        <f>HYPERLINK("http://4sq.com/biiRgX","วนอุทยานท้าวโกษา ")</f>
        <v>วนอุทยานท้าวโกษา </v>
      </c>
    </row>
    <row r="391">
      <c r="A391" s="4" t="s">
        <v>1721</v>
      </c>
      <c r="B391" s="1" t="s">
        <v>1101</v>
      </c>
      <c r="C391" s="2" t="str">
        <f>HYPERLINK("http://4sq.com/2hMZmUk","Six Palms Saloon ")</f>
        <v>Six Palms Saloon </v>
      </c>
    </row>
    <row r="392">
      <c r="A392" s="4" t="s">
        <v>1722</v>
      </c>
      <c r="B392" s="1" t="s">
        <v>1101</v>
      </c>
      <c r="C392" s="2" t="str">
        <f>HYPERLINK("http://4sq.com/2az1KK2","AIR SPACE ")</f>
        <v>AIR SPACE </v>
      </c>
    </row>
    <row r="393">
      <c r="A393" s="4" t="s">
        <v>1723</v>
      </c>
      <c r="B393" s="1" t="s">
        <v>1101</v>
      </c>
      <c r="C393" s="2" t="str">
        <f>HYPERLINK("http://4sq.com/1hszucr","PTT Chukiart Phetburi ")</f>
        <v>PTT Chukiart Phetburi </v>
      </c>
    </row>
    <row r="394">
      <c r="A394" s="4" t="s">
        <v>1724</v>
      </c>
      <c r="B394" s="1" t="s">
        <v>1101</v>
      </c>
      <c r="C394" s="2" t="str">
        <f>HYPERLINK("http://4sq.com/fqH930","Belle Grand Rama IX (เบลล์ แกรนด์ พระราม 9) ")</f>
        <v>Belle Grand Rama IX (เบลล์ แกรนด์ พระราม 9) </v>
      </c>
    </row>
    <row r="395">
      <c r="A395" s="4" t="s">
        <v>1725</v>
      </c>
      <c r="B395" s="1" t="s">
        <v>1101</v>
      </c>
      <c r="C395" s="2" t="str">
        <f>HYPERLINK("http://4sq.com/b9d8Vj","The Nine (เดอะไนน์) ")</f>
        <v>The Nine (เดอะไนน์) </v>
      </c>
    </row>
    <row r="396">
      <c r="A396" s="4" t="s">
        <v>1726</v>
      </c>
      <c r="B396" s="1" t="s">
        <v>1101</v>
      </c>
      <c r="C396" s="2" t="str">
        <f>HYPERLINK("http://4sq.com/10rLs8F","KASIKORNBANK (ธนาคารกสิกรไทย) ")</f>
        <v>KASIKORNBANK (ธนาคารกสิกรไทย) </v>
      </c>
    </row>
    <row r="397">
      <c r="A397" s="4" t="s">
        <v>1727</v>
      </c>
      <c r="B397" s="1" t="s">
        <v>1101</v>
      </c>
      <c r="C397" s="2" t="str">
        <f>HYPERLINK("http://4sq.com/YxzGhR","Palm 18 ")</f>
        <v>Palm 18 </v>
      </c>
    </row>
    <row r="398">
      <c r="A398" s="4" t="s">
        <v>1728</v>
      </c>
      <c r="B398" s="1" t="s">
        <v>1101</v>
      </c>
      <c r="C398" s="2" t="str">
        <f>HYPERLINK("http://4sq.com/9NPVTz","Thainakarin Hospital (โรงพยาบาลไทยนครินทร์) ")</f>
        <v>Thainakarin Hospital (โรงพยาบาลไทยนครินทร์) </v>
      </c>
    </row>
    <row r="399">
      <c r="A399" s="4" t="s">
        <v>1729</v>
      </c>
      <c r="B399" s="1" t="s">
        <v>1730</v>
      </c>
      <c r="C399" s="2" t="str">
        <f>HYPERLINK("http://4sq.com/2hyvVnU","Burger King ")</f>
        <v>Burger King </v>
      </c>
    </row>
    <row r="400">
      <c r="A400" s="4" t="s">
        <v>1731</v>
      </c>
      <c r="B400" s="1" t="s">
        <v>1732</v>
      </c>
      <c r="C400" s="2" t="str">
        <f>HYPERLINK("http://4sq.com/ppZDWG","IKEA (อิเกีย บางนา) ")</f>
        <v>IKEA (อิเกีย บางนา) </v>
      </c>
    </row>
    <row r="401">
      <c r="A401" s="4" t="s">
        <v>1733</v>
      </c>
      <c r="B401" s="1" t="s">
        <v>1101</v>
      </c>
      <c r="C401" s="2" t="str">
        <f>HYPERLINK("http://4sq.com/cUFnUS","4dinner (ฟอร์ดินเนอร์) ")</f>
        <v>4dinner (ฟอร์ดินเนอร์) 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1734</v>
      </c>
      <c r="B1" s="1" t="s">
        <v>1101</v>
      </c>
      <c r="C1" s="2" t="str">
        <f>HYPERLINK("http://4sq.com/b6bhdW","PTT NGV/Petrol Station (ปตท.) ")</f>
        <v>PTT NGV/Petrol Station (ปตท.)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4" t="s">
        <v>1735</v>
      </c>
      <c r="B2" s="1" t="s">
        <v>1101</v>
      </c>
      <c r="C2" s="2" t="str">
        <f>HYPERLINK("http://4sq.com/93ZXkI","Bangnamphung Floating Market (ตลาดน้ำบางน้ำผึ้ง) ")</f>
        <v>Bangnamphung Floating Market (ตลาดน้ำบางน้ำผึ้ง) </v>
      </c>
      <c r="F2" s="8" t="str">
        <f t="shared" ref="F2:H2" si="1">INDEX(A:C, RANDBETWEEN(1, ROWS(2:117)), RANDBETWEEN(1, COLUMNS(C:C)))</f>
        <v>February 02, 2017 at 10:08AM</v>
      </c>
      <c r="G2" s="8" t="str">
        <f t="shared" si="1"/>
        <v/>
      </c>
      <c r="H2" s="10" t="str">
        <f t="shared" si="1"/>
        <v>PTT (ปตท.) </v>
      </c>
      <c r="I2" s="11" t="str">
        <f t="array" ref="I2">INDEX(C:C, RANDBETWEEN(1, ROWS(1:116)), RANDBETWEEN(1, COLUMNS(C:C)))</f>
        <v>Khaosoi House (ข้าวซอยเฮ้าส์) </v>
      </c>
      <c r="J2" s="8" t="str">
        <f>CONCATENATE(F2," ",H2)</f>
        <v>February 02, 2017 at 10:08AM PTT (ปตท.) </v>
      </c>
    </row>
    <row r="3">
      <c r="A3" s="4" t="s">
        <v>1736</v>
      </c>
      <c r="B3" s="1" t="s">
        <v>1101</v>
      </c>
      <c r="C3" s="2" t="str">
        <f>HYPERLINK("http://4sq.com/cA9Hkp","Siamese Fighting Fish Gallery (พิพิธภัณฑ์ปลากัดไทย) ")</f>
        <v>Siamese Fighting Fish Gallery (พิพิธภัณฑ์ปลากัดไทย) </v>
      </c>
    </row>
    <row r="4">
      <c r="A4" s="4" t="s">
        <v>1737</v>
      </c>
      <c r="B4" s="1" t="s">
        <v>1101</v>
      </c>
      <c r="C4" s="2" t="str">
        <f>HYPERLINK("http://4sq.com/bGUdf8","Suan Thip Baan Chaopraya (สวนทิพย์ บ้านเจ้าพระยา) ")</f>
        <v>Suan Thip Baan Chaopraya (สวนทิพย์ บ้านเจ้าพระยา) </v>
      </c>
    </row>
    <row r="5">
      <c r="A5" s="4" t="s">
        <v>1738</v>
      </c>
      <c r="B5" s="1" t="s">
        <v>1101</v>
      </c>
      <c r="C5" s="2" t="str">
        <f>HYPERLINK("http://4sq.com/aCfoyY","The Tavern ")</f>
        <v>The Tavern </v>
      </c>
    </row>
    <row r="6">
      <c r="A6" s="4" t="s">
        <v>1739</v>
      </c>
      <c r="B6" s="1" t="s">
        <v>1101</v>
      </c>
      <c r="C6" s="2" t="str">
        <f>HYPERLINK("http://4sq.com/Q4p6LZ","Gateway Ekamai (เกตเวย์ เอกมัย) ")</f>
        <v>Gateway Ekamai (เกตเวย์ เอกมัย) </v>
      </c>
    </row>
    <row r="7">
      <c r="A7" s="4" t="s">
        <v>1740</v>
      </c>
      <c r="B7" s="1" t="s">
        <v>1101</v>
      </c>
      <c r="C7" s="2" t="str">
        <f>HYPERLINK("http://4sq.com/1l7jqOG","PTT (ปตท.) ")</f>
        <v>PTT (ปตท.) </v>
      </c>
    </row>
    <row r="8">
      <c r="A8" s="4" t="s">
        <v>1741</v>
      </c>
      <c r="B8" s="1" t="s">
        <v>1101</v>
      </c>
      <c r="C8" s="2" t="str">
        <f>HYPERLINK("http://4sq.com/2iDk0cV","Soleq Solar Power plant ")</f>
        <v>Soleq Solar Power plant </v>
      </c>
    </row>
    <row r="9">
      <c r="A9" s="4" t="s">
        <v>1742</v>
      </c>
      <c r="B9" s="1" t="s">
        <v>1101</v>
      </c>
      <c r="C9" s="2" t="str">
        <f>HYPERLINK("http://4sq.com/10QOCd0","The Mexican Grill ")</f>
        <v>The Mexican Grill </v>
      </c>
    </row>
    <row r="10">
      <c r="A10" s="4" t="s">
        <v>1743</v>
      </c>
      <c r="B10" s="1" t="s">
        <v>1101</v>
      </c>
      <c r="C10" s="2" t="str">
        <f>HYPERLINK("http://4sq.com/1NMIaul","Cheunjai Coffee&amp;Thai food ")</f>
        <v>Cheunjai Coffee&amp;Thai food </v>
      </c>
    </row>
    <row r="11">
      <c r="A11" s="4" t="s">
        <v>1744</v>
      </c>
      <c r="B11" s="1" t="s">
        <v>1101</v>
      </c>
      <c r="C11" s="2" t="str">
        <f>HYPERLINK("http://4sq.com/1MGHxNq","ระเบียง ณ แม่ริม ")</f>
        <v>ระเบียง ณ แม่ริม </v>
      </c>
    </row>
    <row r="12">
      <c r="A12" s="4" t="s">
        <v>1745</v>
      </c>
      <c r="B12" s="1" t="s">
        <v>1101</v>
      </c>
      <c r="C12" s="2" t="str">
        <f>HYPERLINK("http://4sq.com/VROGQA","Wawee Coffee (กาแฟวาวี) ")</f>
        <v>Wawee Coffee (กาแฟวาวี) </v>
      </c>
    </row>
    <row r="13">
      <c r="A13" s="4" t="s">
        <v>1746</v>
      </c>
      <c r="B13" s="1" t="s">
        <v>1101</v>
      </c>
      <c r="C13" s="2" t="str">
        <f>HYPERLINK("http://4sq.com/1BjQ2z6","SS1254372 Cafe ")</f>
        <v>SS1254372 Cafe </v>
      </c>
    </row>
    <row r="14">
      <c r="A14" s="4" t="s">
        <v>1747</v>
      </c>
      <c r="B14" s="1" t="s">
        <v>1101</v>
      </c>
      <c r="C14" s="2" t="str">
        <f>HYPERLINK("http://4sq.com/1glAL7r","The Duke's ")</f>
        <v>The Duke's </v>
      </c>
    </row>
    <row r="15">
      <c r="A15" s="4" t="s">
        <v>1748</v>
      </c>
      <c r="B15" s="1" t="s">
        <v>1101</v>
      </c>
      <c r="C15" s="2" t="str">
        <f>HYPERLINK("http://4sq.com/1u8lyYP","Subway at Meechok Plaza ")</f>
        <v>Subway at Meechok Plaza </v>
      </c>
    </row>
    <row r="16">
      <c r="A16" s="4" t="s">
        <v>1749</v>
      </c>
      <c r="B16" s="1" t="s">
        <v>1101</v>
      </c>
      <c r="C16" s="2" t="str">
        <f>HYPERLINK("http://4sq.com/nVMkQQ","Royal Park Rajapruek (อุทยานหลวงราชพฤกษ์) ")</f>
        <v>Royal Park Rajapruek (อุทยานหลวงราชพฤกษ์) </v>
      </c>
    </row>
    <row r="17">
      <c r="A17" s="4" t="s">
        <v>1750</v>
      </c>
      <c r="B17" s="1" t="s">
        <v>1101</v>
      </c>
      <c r="C17" s="2" t="str">
        <f>HYPERLINK("http://4sq.com/TqhHqQ","Nic's Restaurant &amp; Playground ")</f>
        <v>Nic's Restaurant &amp; Playground </v>
      </c>
    </row>
    <row r="18">
      <c r="A18" s="4" t="s">
        <v>1751</v>
      </c>
      <c r="B18" s="1" t="s">
        <v>1101</v>
      </c>
      <c r="C18" s="2" t="str">
        <f>HYPERLINK("http://4sq.com/9adz8k","Susco ")</f>
        <v>Susco </v>
      </c>
    </row>
    <row r="19">
      <c r="A19" s="4" t="s">
        <v>1752</v>
      </c>
      <c r="B19" s="1" t="s">
        <v>1101</v>
      </c>
      <c r="C19" s="2" t="str">
        <f>HYPERLINK("http://4sq.com/cTCMbh","PTT Jiffy (ปตท.) ")</f>
        <v>PTT Jiffy (ปตท.) </v>
      </c>
    </row>
    <row r="20">
      <c r="A20" s="4" t="s">
        <v>1753</v>
      </c>
      <c r="B20" s="1" t="s">
        <v>1101</v>
      </c>
      <c r="C20" s="2" t="str">
        <f>HYPERLINK("http://4sq.com/m2Vu8c","kiddee house ")</f>
        <v>kiddee house </v>
      </c>
    </row>
    <row r="21">
      <c r="A21" s="4" t="s">
        <v>1754</v>
      </c>
      <c r="B21" s="1" t="s">
        <v>1101</v>
      </c>
      <c r="C21" s="2" t="str">
        <f>HYPERLINK("http://4sq.com/1QBr5FK","นั่งๆนอนๆ Homestyle Kitchen &amp; Bekery ")</f>
        <v>นั่งๆนอนๆ Homestyle Kitchen &amp; Bekery </v>
      </c>
    </row>
    <row r="22">
      <c r="A22" s="4" t="s">
        <v>1755</v>
      </c>
      <c r="B22" s="1" t="s">
        <v>1101</v>
      </c>
      <c r="C22" s="2" t="str">
        <f>HYPERLINK("http://4sq.com/1LwwIEn","Let It Be ")</f>
        <v>Let It Be </v>
      </c>
    </row>
    <row r="23">
      <c r="A23" s="4" t="s">
        <v>1756</v>
      </c>
      <c r="B23" s="1" t="s">
        <v>1101</v>
      </c>
      <c r="C23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4">
      <c r="A24" s="4" t="s">
        <v>1757</v>
      </c>
      <c r="B24" s="1" t="s">
        <v>1101</v>
      </c>
      <c r="C24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25">
      <c r="A25" s="4" t="s">
        <v>1758</v>
      </c>
      <c r="B25" s="1" t="s">
        <v>1101</v>
      </c>
      <c r="C25" s="2" t="str">
        <f>HYPERLINK("http://4sq.com/KIagX1","The Amazon's Embrace ")</f>
        <v>The Amazon's Embrace </v>
      </c>
    </row>
    <row r="26">
      <c r="A26" s="4" t="s">
        <v>1759</v>
      </c>
      <c r="B26" s="1" t="s">
        <v>1101</v>
      </c>
      <c r="C26" s="2" t="str">
        <f>HYPERLINK("http://4sq.com/eQf8YP","สำนักงานคณะกรรมการส่งเสริมการลงทุน (Office of The Board of Investment -BOI) ")</f>
        <v>สำนักงานคณะกรรมการส่งเสริมการลงทุน (Office of The Board of Investment -BOI) </v>
      </c>
    </row>
    <row r="27">
      <c r="A27" s="4" t="s">
        <v>1760</v>
      </c>
      <c r="B27" s="1" t="s">
        <v>1101</v>
      </c>
      <c r="C27" s="2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28">
      <c r="A28" s="4" t="s">
        <v>1761</v>
      </c>
      <c r="B28" s="1" t="s">
        <v>1101</v>
      </c>
      <c r="C28" s="2" t="str">
        <f>HYPERLINK("http://4sq.com/fzzwqZ","PTT (ปตท.) ")</f>
        <v>PTT (ปตท.) </v>
      </c>
    </row>
    <row r="29">
      <c r="A29" s="4" t="s">
        <v>1762</v>
      </c>
      <c r="B29" s="1" t="s">
        <v>1101</v>
      </c>
      <c r="C29" s="2" t="str">
        <f>HYPERLINK("http://4sq.com/ULkJCj","Café Chez Nous (คาเฟ่ เช นู) ")</f>
        <v>Café Chez Nous (คาเฟ่ เช นู) </v>
      </c>
    </row>
    <row r="30">
      <c r="A30" s="4" t="s">
        <v>1763</v>
      </c>
      <c r="B30" s="1" t="s">
        <v>1101</v>
      </c>
      <c r="C30" s="2" t="str">
        <f>HYPERLINK("http://4sq.com/b7UbPs","MIX (มิกซ์) ")</f>
        <v>MIX (มิกซ์) </v>
      </c>
    </row>
    <row r="31">
      <c r="A31" s="4" t="s">
        <v>1764</v>
      </c>
      <c r="B31" s="1" t="s">
        <v>1101</v>
      </c>
      <c r="C31" s="2" t="str">
        <f>HYPERLINK("http://4sq.com/1QBr5FK","นั่งๆนอนๆ Homestyle Kitchen &amp; Bekery ")</f>
        <v>นั่งๆนอนๆ Homestyle Kitchen &amp; Bekery </v>
      </c>
    </row>
    <row r="32">
      <c r="A32" s="4" t="s">
        <v>1765</v>
      </c>
      <c r="B32" s="1" t="s">
        <v>1101</v>
      </c>
      <c r="C32" s="2" t="str">
        <f>HYPERLINK("http://4sq.com/1Tmz5J6","myamar consulate ")</f>
        <v>myamar consulate </v>
      </c>
    </row>
    <row r="33">
      <c r="A33" s="4" t="s">
        <v>1766</v>
      </c>
      <c r="B33" s="1" t="s">
        <v>1101</v>
      </c>
      <c r="C33" s="2" t="str">
        <f>HYPERLINK("http://4sq.com/I28LVE","Café de Oasis (คาเฟ่ เดอ โอเอซิส) ")</f>
        <v>Café de Oasis (คาเฟ่ เดอ โอเอซิส) </v>
      </c>
    </row>
    <row r="34">
      <c r="A34" s="4" t="s">
        <v>1767</v>
      </c>
      <c r="B34" s="1" t="s">
        <v>1101</v>
      </c>
      <c r="C34" s="2" t="str">
        <f>HYPERLINK("http://4sq.com/1a6WsSl","Sizzler (ซิซซ์เล่อร์) ")</f>
        <v>Sizzler (ซิซซ์เล่อร์) </v>
      </c>
    </row>
    <row r="35">
      <c r="A35" s="4" t="s">
        <v>1768</v>
      </c>
      <c r="B35" s="1" t="s">
        <v>1101</v>
      </c>
      <c r="C35" s="2" t="str">
        <f>HYPERLINK("http://4sq.com/96C3Ox","Mae Sa Waterfall (น้ำตกแม่สา) ")</f>
        <v>Mae Sa Waterfall (น้ำตกแม่สา) </v>
      </c>
    </row>
    <row r="36">
      <c r="A36" s="4" t="s">
        <v>1769</v>
      </c>
      <c r="B36" s="1" t="s">
        <v>1101</v>
      </c>
      <c r="C36" s="2" t="str">
        <f>HYPERLINK("http://4sq.com/1oOzchM","Rustic &amp; Blue ")</f>
        <v>Rustic &amp; Blue </v>
      </c>
    </row>
    <row r="37">
      <c r="A37" s="4" t="s">
        <v>1770</v>
      </c>
      <c r="B37" s="1" t="s">
        <v>1101</v>
      </c>
      <c r="C37" s="2" t="str">
        <f>HYPERLINK("http://4sq.com/1Tmz5J6","myamar consulate ")</f>
        <v>myamar consulate </v>
      </c>
    </row>
    <row r="38">
      <c r="A38" s="4" t="s">
        <v>1771</v>
      </c>
      <c r="B38" s="1" t="s">
        <v>1101</v>
      </c>
      <c r="C38" s="2" t="str">
        <f>HYPERLINK("http://4sq.com/1LwwIEn","Let It Be ")</f>
        <v>Let It Be </v>
      </c>
    </row>
    <row r="39">
      <c r="A39" s="4" t="s">
        <v>1772</v>
      </c>
      <c r="B39" s="1" t="s">
        <v>1101</v>
      </c>
      <c r="C39" s="2" t="str">
        <f>HYPERLINK("http://4sq.com/nJDAw8","HugYou (ฮักยู) ลำปางหนาวมาก ")</f>
        <v>HugYou (ฮักยู) ลำปางหนาวมาก </v>
      </c>
    </row>
    <row r="40">
      <c r="A40" s="4" t="s">
        <v>1773</v>
      </c>
      <c r="B40" s="1" t="s">
        <v>1101</v>
      </c>
      <c r="C40" s="2" t="str">
        <f>HYPERLINK("http://4sq.com/VGd0XL","Tesco Lotus Extra (เทสโก้ โลตัส เอ็กซ์ตร้า) ")</f>
        <v>Tesco Lotus Extra (เทสโก้ โลตัส เอ็กซ์ตร้า) </v>
      </c>
    </row>
    <row r="41">
      <c r="A41" s="4" t="s">
        <v>1774</v>
      </c>
      <c r="B41" s="1" t="s">
        <v>1101</v>
      </c>
      <c r="C41" s="2" t="str">
        <f>HYPERLINK("http://4sq.com/blLUqQ","Thai-Myanmar Friendship Bridge (สะพานมิตรภาพไทย-พม่า) ")</f>
        <v>Thai-Myanmar Friendship Bridge (สะพานมิตรภาพไทย-พม่า) </v>
      </c>
    </row>
    <row r="42">
      <c r="A42" s="4" t="s">
        <v>1775</v>
      </c>
      <c r="B42" s="1" t="s">
        <v>1101</v>
      </c>
      <c r="C42" s="2" t="str">
        <f>HYPERLINK("http://4sq.com/WsbHuY","Myawaddy Immigration Office ")</f>
        <v>Myawaddy Immigration Office </v>
      </c>
    </row>
    <row r="43">
      <c r="A43" s="4" t="s">
        <v>1776</v>
      </c>
      <c r="B43" s="1" t="s">
        <v>1101</v>
      </c>
      <c r="C43" s="2" t="str">
        <f>HYPERLINK("http://4sq.com/atfs6x","Centara Mae Sot Hill Resort ")</f>
        <v>Centara Mae Sot Hill Resort </v>
      </c>
    </row>
    <row r="44">
      <c r="A44" s="4" t="s">
        <v>1777</v>
      </c>
      <c r="B44" s="1" t="s">
        <v>1101</v>
      </c>
      <c r="C44" s="2" t="str">
        <f>HYPERLINK("http://4sq.com/aS5rXB","PTT Measod ")</f>
        <v>PTT Measod </v>
      </c>
    </row>
    <row r="45">
      <c r="A45" s="4" t="s">
        <v>1778</v>
      </c>
      <c r="B45" s="1" t="s">
        <v>1101</v>
      </c>
      <c r="C45" s="2" t="str">
        <f>HYPERLINK("http://4sq.com/cqAyc5","Bhumibol Dam (เขื่อนภูมิพล) ")</f>
        <v>Bhumibol Dam (เขื่อนภูมิพล) </v>
      </c>
    </row>
    <row r="46">
      <c r="A46" s="4" t="s">
        <v>1779</v>
      </c>
      <c r="B46" s="1" t="s">
        <v>1101</v>
      </c>
      <c r="C46" s="2" t="str">
        <f>HYPERLINK("http://4sq.com/17LXiXp","ภูอันนา อีโค่ เฮ้าส์ Phu-Anna Eco House ")</f>
        <v>ภูอันนา อีโค่ เฮ้าส์ Phu-Anna Eco House </v>
      </c>
    </row>
    <row r="47">
      <c r="A47" s="4" t="s">
        <v>1780</v>
      </c>
      <c r="B47" s="1" t="s">
        <v>1101</v>
      </c>
      <c r="C47" s="2" t="str">
        <f>HYPERLINK("http://4sq.com/yuhjpT","ครัวจ่ากร ")</f>
        <v>ครัวจ่ากร </v>
      </c>
    </row>
    <row r="48">
      <c r="A48" s="4" t="s">
        <v>1781</v>
      </c>
      <c r="B48" s="1" t="s">
        <v>1101</v>
      </c>
      <c r="C48" s="2" t="str">
        <f>HYPERLINK("http://4sq.com/1sf48N2","Mae Ya Check Point ")</f>
        <v>Mae Ya Check Point </v>
      </c>
    </row>
    <row r="49">
      <c r="A49" s="4" t="s">
        <v>1782</v>
      </c>
      <c r="B49" s="1" t="s">
        <v>1101</v>
      </c>
      <c r="C49" s="2" t="str">
        <f>HYPERLINK("http://4sq.com/bPn9S3","Mae Ya Waterfall (น้ำตกแม่ยะ) ")</f>
        <v>Mae Ya Waterfall (น้ำตกแม่ยะ) </v>
      </c>
    </row>
    <row r="50">
      <c r="A50" s="4" t="s">
        <v>1783</v>
      </c>
      <c r="B50" s="1" t="s">
        <v>1101</v>
      </c>
      <c r="C50" s="2" t="str">
        <f>HYPERLINK("http://4sq.com/k7YSBd","PTT จอมทอง ")</f>
        <v>PTT จอมทอง </v>
      </c>
    </row>
    <row r="51">
      <c r="A51" s="4" t="s">
        <v>1784</v>
      </c>
      <c r="B51" s="1" t="s">
        <v>1101</v>
      </c>
      <c r="C51" s="2" t="str">
        <f>HYPERLINK("http://4sq.com/1f1Floa","Rimping Grocery (ริมปิง) ")</f>
        <v>Rimping Grocery (ริมปิง) </v>
      </c>
    </row>
    <row r="52">
      <c r="A52" s="4" t="s">
        <v>1785</v>
      </c>
      <c r="B52" s="1" t="s">
        <v>1101</v>
      </c>
      <c r="C52" s="2" t="str">
        <f>HYPERLINK("http://4sq.com/1K2l4NI","Teak Table (ทีค เทเบิล) ")</f>
        <v>Teak Table (ทีค เทเบิล) </v>
      </c>
    </row>
    <row r="53">
      <c r="A53" s="4" t="s">
        <v>1786</v>
      </c>
      <c r="B53" s="1" t="s">
        <v>1101</v>
      </c>
      <c r="C53" s="2" t="str">
        <f>HYPERLINK("http://4sq.com/myR2lB","Sala Café (ศาลากาแฟ) ")</f>
        <v>Sala Café (ศาลากาแฟ) </v>
      </c>
    </row>
    <row r="54">
      <c r="A54" s="4" t="s">
        <v>1787</v>
      </c>
      <c r="B54" s="1" t="s">
        <v>1101</v>
      </c>
      <c r="C54" s="2" t="str">
        <f>HYPERLINK("http://4sq.com/dwbrHe","The Salad Concept ")</f>
        <v>The Salad Concept </v>
      </c>
    </row>
    <row r="55">
      <c r="A55" s="4" t="s">
        <v>1788</v>
      </c>
      <c r="B55" s="1" t="s">
        <v>1101</v>
      </c>
      <c r="C55" s="2" t="str">
        <f>HYPERLINK("http://4sq.com/1qGuR69","Ohlanla Coffee ")</f>
        <v>Ohlanla Coffee </v>
      </c>
    </row>
    <row r="56">
      <c r="A56" s="4" t="s">
        <v>1789</v>
      </c>
      <c r="B56" s="1" t="s">
        <v>1101</v>
      </c>
      <c r="C56" s="2" t="str">
        <f>HYPERLINK("http://4sq.com/1NMIaul","Cheunjai Coffee&amp;Thai food ")</f>
        <v>Cheunjai Coffee&amp;Thai food </v>
      </c>
    </row>
    <row r="57">
      <c r="A57" s="4" t="s">
        <v>1790</v>
      </c>
      <c r="B57" s="1" t="s">
        <v>1101</v>
      </c>
      <c r="C57" s="2" t="str">
        <f>HYPERLINK("http://4sq.com/1QBr5FK","นั่งๆนอนๆ Homestyle Kitchen &amp; Bekery ")</f>
        <v>นั่งๆนอนๆ Homestyle Kitchen &amp; Bekery </v>
      </c>
    </row>
    <row r="58">
      <c r="A58" s="4" t="s">
        <v>1791</v>
      </c>
      <c r="B58" s="1" t="s">
        <v>1101</v>
      </c>
      <c r="C58" s="2" t="str">
        <f>HYPERLINK("http://4sq.com/1NMIaul","Cheunjai Coffee&amp;Thai food ")</f>
        <v>Cheunjai Coffee&amp;Thai food </v>
      </c>
    </row>
    <row r="59">
      <c r="A59" s="4" t="s">
        <v>1792</v>
      </c>
      <c r="B59" s="1" t="s">
        <v>1101</v>
      </c>
      <c r="C59" s="2" t="str">
        <f>HYPERLINK("http://4sq.com/1dHOYY4","Pizzeria Giotto ")</f>
        <v>Pizzeria Giotto </v>
      </c>
    </row>
    <row r="60">
      <c r="A60" s="4" t="s">
        <v>1793</v>
      </c>
      <c r="B60" s="1" t="s">
        <v>1101</v>
      </c>
      <c r="C60" s="2" t="str">
        <f>HYPERLINK("http://4sq.com/12weN37","คาเฟ่ ดินดิน Cafe DinDin ")</f>
        <v>คาเฟ่ ดินดิน Cafe DinDin </v>
      </c>
    </row>
    <row r="61">
      <c r="A61" s="4" t="s">
        <v>1794</v>
      </c>
      <c r="B61" s="1" t="s">
        <v>1101</v>
      </c>
      <c r="C61" s="2" t="str">
        <f>HYPERLINK("http://4sq.com/1uMOgm1","ก๋วยเตี๋ยวเรือ อองตอง ")</f>
        <v>ก๋วยเตี๋ยวเรือ อองตอง </v>
      </c>
    </row>
    <row r="62">
      <c r="A62" s="4" t="s">
        <v>1795</v>
      </c>
      <c r="B62" s="1" t="s">
        <v>1101</v>
      </c>
      <c r="C62" s="2" t="str">
        <f>HYPERLINK("http://4sq.com/1LwwIEn","Let It Be ")</f>
        <v>Let It Be </v>
      </c>
    </row>
    <row r="63">
      <c r="A63" s="4" t="s">
        <v>1796</v>
      </c>
      <c r="B63" s="1" t="s">
        <v>1101</v>
      </c>
      <c r="C63" s="2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</row>
    <row r="64">
      <c r="A64" s="4" t="s">
        <v>1797</v>
      </c>
      <c r="B64" s="1" t="s">
        <v>1101</v>
      </c>
      <c r="C64" s="2" t="str">
        <f>HYPERLINK("http://4sq.com/1K2l4NI","Teak Table (ทีค เทเบิล) ")</f>
        <v>Teak Table (ทีค เทเบิล) </v>
      </c>
    </row>
    <row r="65">
      <c r="A65" s="4" t="s">
        <v>1798</v>
      </c>
      <c r="B65" s="1" t="s">
        <v>1101</v>
      </c>
      <c r="C65" s="2" t="str">
        <f>HYPERLINK("http://4sq.com/12weN37","คาเฟ่ ดินดิน Cafe DinDin ")</f>
        <v>คาเฟ่ ดินดิน Cafe DinDin </v>
      </c>
    </row>
    <row r="66">
      <c r="A66" s="4" t="s">
        <v>1799</v>
      </c>
      <c r="B66" s="1" t="s">
        <v>1101</v>
      </c>
      <c r="C66" s="2" t="str">
        <f>HYPERLINK("http://4sq.com/a3WF57","Pizza Mania ")</f>
        <v>Pizza Mania </v>
      </c>
    </row>
    <row r="67">
      <c r="A67" s="4" t="s">
        <v>1800</v>
      </c>
      <c r="B67" s="1" t="s">
        <v>1101</v>
      </c>
      <c r="C67" s="2" t="str">
        <f>HYPERLINK("http://4sq.com/9QlUf2","Tesco Lotus (เทสโก้ โลตัส) ")</f>
        <v>Tesco Lotus (เทสโก้ โลตัส) </v>
      </c>
    </row>
    <row r="68">
      <c r="A68" s="4" t="s">
        <v>1801</v>
      </c>
      <c r="B68" s="1" t="s">
        <v>1101</v>
      </c>
      <c r="C68" s="2" t="str">
        <f>HYPERLINK("http://4sq.com/1VSEaLF","Ristr8to Lab (รีสเตรสโต้ แลป) ")</f>
        <v>Ristr8to Lab (รีสเตรสโต้ แลป) </v>
      </c>
    </row>
    <row r="69">
      <c r="A69" s="4" t="s">
        <v>1802</v>
      </c>
      <c r="B69" s="1" t="s">
        <v>1101</v>
      </c>
      <c r="C69" s="2" t="str">
        <f>HYPERLINK("http://4sq.com/VZ4JV5","Baan Kang Wat (บ้านข้างวัด) ")</f>
        <v>Baan Kang Wat (บ้านข้างวัด) </v>
      </c>
    </row>
    <row r="70">
      <c r="A70" s="4" t="s">
        <v>1803</v>
      </c>
      <c r="B70" s="1" t="s">
        <v>1101</v>
      </c>
      <c r="C70" s="2" t="str">
        <f>HYPERLINK("http://4sq.com/10QOCd0","The Mexican Grill ")</f>
        <v>The Mexican Grill </v>
      </c>
    </row>
    <row r="71">
      <c r="A71" s="4" t="s">
        <v>1804</v>
      </c>
      <c r="B71" s="1" t="s">
        <v>1101</v>
      </c>
      <c r="C71" s="2" t="str">
        <f>HYPERLINK("http://4sq.com/1NMIaul","Cheunjai Coffee&amp;Thai food ")</f>
        <v>Cheunjai Coffee&amp;Thai food </v>
      </c>
    </row>
    <row r="72">
      <c r="A72" s="4" t="s">
        <v>1805</v>
      </c>
      <c r="B72" s="1" t="s">
        <v>1101</v>
      </c>
      <c r="C72" s="2" t="str">
        <f>HYPERLINK("http://4sq.com/12weN37","คาเฟ่ ดินดิน Cafe DinDin ")</f>
        <v>คาเฟ่ ดินดิน Cafe DinDin </v>
      </c>
    </row>
    <row r="73">
      <c r="A73" s="4" t="s">
        <v>1806</v>
      </c>
      <c r="B73" s="1" t="s">
        <v>1101</v>
      </c>
      <c r="C73" s="2" t="str">
        <f>HYPERLINK("http://4sq.com/hH9kmE","Sweet Garden ")</f>
        <v>Sweet Garden </v>
      </c>
    </row>
    <row r="74">
      <c r="A74" s="4" t="s">
        <v>1807</v>
      </c>
      <c r="B74" s="1" t="s">
        <v>1101</v>
      </c>
      <c r="C74" s="2" t="str">
        <f>HYPERLINK("http://4sq.com/1dHOYY4","Pizzeria Giotto ")</f>
        <v>Pizzeria Giotto </v>
      </c>
    </row>
    <row r="75">
      <c r="A75" s="4" t="s">
        <v>1808</v>
      </c>
      <c r="B75" s="1" t="s">
        <v>1101</v>
      </c>
      <c r="C75" s="2" t="str">
        <f>HYPERLINK("http://4sq.com/9Xt3FL","Huay Tueng Tao (ห้วยตึงเฒ่า) ")</f>
        <v>Huay Tueng Tao (ห้วยตึงเฒ่า) </v>
      </c>
    </row>
    <row r="76">
      <c r="A76" s="4" t="s">
        <v>1809</v>
      </c>
      <c r="B76" s="1" t="s">
        <v>1101</v>
      </c>
      <c r="C76" s="2" t="str">
        <f>HYPERLINK("http://4sq.com/1uTcCs4","Local Cafe (คาเฟ่บ้านนอก) ")</f>
        <v>Local Cafe (คาเฟ่บ้านนอก) </v>
      </c>
    </row>
    <row r="77">
      <c r="A77" s="4" t="s">
        <v>1810</v>
      </c>
      <c r="B77" s="1" t="s">
        <v>1101</v>
      </c>
      <c r="C77" s="2" t="str">
        <f>HYPERLINK("http://4sq.com/1UN2yN3","Mont Blanc Sweet Cafe ")</f>
        <v>Mont Blanc Sweet Cafe </v>
      </c>
    </row>
    <row r="78">
      <c r="A78" s="4" t="s">
        <v>1811</v>
      </c>
      <c r="B78" s="1" t="s">
        <v>1101</v>
      </c>
      <c r="C78" s="2" t="str">
        <f>HYPERLINK("http://4sq.com/kGK8x1","ร้านกอเซี้ยม แม่ริมพลาซ่า ")</f>
        <v>ร้านกอเซี้ยม แม่ริมพลาซ่า </v>
      </c>
    </row>
    <row r="79">
      <c r="A79" s="4" t="s">
        <v>1812</v>
      </c>
      <c r="B79" s="1" t="s">
        <v>1101</v>
      </c>
      <c r="C79" s="2" t="str">
        <f>HYPERLINK("http://4sq.com/2iDiV23","Zombie Cafe ")</f>
        <v>Zombie Cafe </v>
      </c>
    </row>
    <row r="80">
      <c r="A80" s="4" t="s">
        <v>1813</v>
      </c>
      <c r="B80" s="1" t="s">
        <v>1101</v>
      </c>
      <c r="C80" s="2" t="str">
        <f>HYPERLINK("http://4sq.com/1uTcCs4","Local Cafe (คาเฟ่บ้านนอก) ")</f>
        <v>Local Cafe (คาเฟ่บ้านนอก) </v>
      </c>
    </row>
    <row r="81">
      <c r="A81" s="4" t="s">
        <v>1814</v>
      </c>
      <c r="B81" s="1" t="s">
        <v>1101</v>
      </c>
      <c r="C81" s="2" t="str">
        <f>HYPERLINK("http://4sq.com/2nYZcMa","TUBE TREK WATER PARK CHIANGMAI ")</f>
        <v>TUBE TREK WATER PARK CHIANGMAI </v>
      </c>
    </row>
    <row r="82">
      <c r="A82" s="4" t="s">
        <v>1815</v>
      </c>
      <c r="B82" s="1" t="s">
        <v>1101</v>
      </c>
      <c r="C82" s="2" t="str">
        <f>HYPERLINK("http://4sq.com/10JNogt","Lumdee Te Khuadang (ลำดีตี้ขัวแดง) ")</f>
        <v>Lumdee Te Khuadang (ลำดีตี้ขัวแดง) </v>
      </c>
    </row>
    <row r="83">
      <c r="A83" s="4" t="s">
        <v>1816</v>
      </c>
      <c r="B83" s="1" t="s">
        <v>1101</v>
      </c>
      <c r="C83" s="2" t="str">
        <f>HYPERLINK("http://4sq.com/1LwwIEn","Let It Be ")</f>
        <v>Let It Be </v>
      </c>
    </row>
    <row r="84">
      <c r="A84" s="4" t="s">
        <v>1817</v>
      </c>
      <c r="B84" s="1" t="s">
        <v>1101</v>
      </c>
      <c r="C84" s="2" t="str">
        <f>HYPERLINK("http://4sq.com/1qmeXs8","The First Residents &amp; Cafe' ")</f>
        <v>The First Residents &amp; Cafe' </v>
      </c>
    </row>
    <row r="85">
      <c r="A85" s="4" t="s">
        <v>1818</v>
      </c>
      <c r="B85" s="1" t="s">
        <v>1101</v>
      </c>
      <c r="C85" s="2" t="str">
        <f>HYPERLINK("http://4sq.com/kGK8x1","ร้านกอเซี้ยม แม่ริมพลาซ่า ")</f>
        <v>ร้านกอเซี้ยม แม่ริมพลาซ่า </v>
      </c>
    </row>
    <row r="86">
      <c r="A86" s="4" t="s">
        <v>1819</v>
      </c>
      <c r="B86" s="1" t="s">
        <v>1101</v>
      </c>
      <c r="C86" s="2" t="str">
        <f>HYPERLINK("http://4sq.com/MC8BlK","Tianna Garden Village ")</f>
        <v>Tianna Garden Village </v>
      </c>
    </row>
    <row r="87">
      <c r="A87" s="4" t="s">
        <v>1820</v>
      </c>
      <c r="B87" s="1" t="s">
        <v>1101</v>
      </c>
      <c r="C87" s="2" t="str">
        <f>HYPERLINK("http://4sq.com/1ePI1Wp","Wine Connection (ไวน์คอนเนคชั่น) ")</f>
        <v>Wine Connection (ไวน์คอนเนคชั่น) </v>
      </c>
    </row>
    <row r="88">
      <c r="A88" s="4" t="s">
        <v>1821</v>
      </c>
      <c r="B88" s="1" t="s">
        <v>1101</v>
      </c>
      <c r="C88" s="2" t="str">
        <f>HYPERLINK("http://4sq.com/10JNogt","Lumdee Te Khuadang (ลำดีตี้ขัวแดง) ")</f>
        <v>Lumdee Te Khuadang (ลำดีตี้ขัวแดง) </v>
      </c>
    </row>
    <row r="89">
      <c r="A89" s="4" t="s">
        <v>1822</v>
      </c>
      <c r="B89" s="1" t="s">
        <v>1101</v>
      </c>
      <c r="C89" s="2" t="str">
        <f>HYPERLINK("http://4sq.com/amzSVo","Rimping Supermarket (ริมปิง) ")</f>
        <v>Rimping Supermarket (ริมปิง) </v>
      </c>
    </row>
    <row r="90">
      <c r="A90" s="4" t="s">
        <v>1823</v>
      </c>
      <c r="B90" s="1" t="s">
        <v>1101</v>
      </c>
      <c r="C90" s="2" t="str">
        <f>HYPERLINK("http://4sq.com/1uTcCs4","Local Cafe (คาเฟ่บ้านนอก) ")</f>
        <v>Local Cafe (คาเฟ่บ้านนอก) </v>
      </c>
    </row>
    <row r="91">
      <c r="A91" s="4" t="s">
        <v>1824</v>
      </c>
      <c r="B91" s="1" t="s">
        <v>1101</v>
      </c>
      <c r="C91" s="2" t="str">
        <f>HYPERLINK("http://4sq.com/12weN37","คาเฟ่ ดินดิน Cafe DinDin ")</f>
        <v>คาเฟ่ ดินดิน Cafe DinDin </v>
      </c>
    </row>
    <row r="92">
      <c r="A92" s="4" t="s">
        <v>1825</v>
      </c>
      <c r="B92" s="1" t="s">
        <v>1101</v>
      </c>
      <c r="C92" s="2" t="str">
        <f>HYPERLINK("http://4sq.com/p8J1iG","ไปรษณีย์แม่ริม Post office ")</f>
        <v>ไปรษณีย์แม่ริม Post office </v>
      </c>
    </row>
    <row r="93">
      <c r="A93" s="4" t="s">
        <v>1826</v>
      </c>
      <c r="B93" s="1" t="s">
        <v>1101</v>
      </c>
      <c r="C93" s="2" t="str">
        <f>HYPERLINK("http://4sq.com/RXHHa6","Nakara Jardin (นครา จาร์แด็ง) ")</f>
        <v>Nakara Jardin (นครา จาร์แด็ง) </v>
      </c>
    </row>
    <row r="94">
      <c r="A94" s="4" t="s">
        <v>1827</v>
      </c>
      <c r="B94" s="1" t="s">
        <v>1101</v>
      </c>
      <c r="C94" s="2" t="str">
        <f>HYPERLINK("http://4sq.com/1uTcCs4","Local Cafe (คาเฟ่บ้านนอก) ")</f>
        <v>Local Cafe (คาเฟ่บ้านนอก) </v>
      </c>
    </row>
    <row r="95">
      <c r="A95" s="4" t="s">
        <v>1828</v>
      </c>
      <c r="B95" s="1" t="s">
        <v>1101</v>
      </c>
      <c r="C95" s="2" t="str">
        <f>HYPERLINK("http://4sq.com/kGK8x1","ร้านกอเซี้ยม แม่ริมพลาซ่า ")</f>
        <v>ร้านกอเซี้ยม แม่ริมพลาซ่า </v>
      </c>
    </row>
    <row r="96">
      <c r="A96" s="4" t="s">
        <v>1829</v>
      </c>
      <c r="B96" s="1" t="s">
        <v>1101</v>
      </c>
      <c r="C96" s="2" t="str">
        <f>HYPERLINK("http://4sq.com/12weN37","คาเฟ่ ดินดิน Cafe DinDin ")</f>
        <v>คาเฟ่ ดินดิน Cafe DinDin </v>
      </c>
    </row>
    <row r="97">
      <c r="A97" s="4" t="s">
        <v>1830</v>
      </c>
      <c r="B97" s="1" t="s">
        <v>1101</v>
      </c>
      <c r="C97" s="2" t="str">
        <f>HYPERLINK("http://4sq.com/nbQ3ST","Blue Café by Coffee Blue (บลูคาเฟ่) ")</f>
        <v>Blue Café by Coffee Blue (บลูคาเฟ่) </v>
      </c>
    </row>
    <row r="98">
      <c r="A98" s="4" t="s">
        <v>1831</v>
      </c>
      <c r="B98" s="1" t="s">
        <v>1101</v>
      </c>
      <c r="C98" s="2" t="str">
        <f>HYPERLINK("http://4sq.com/1GjmLUZ","Pizza Pasta by Simon ")</f>
        <v>Pizza Pasta by Simon </v>
      </c>
    </row>
    <row r="99">
      <c r="A99" s="4" t="s">
        <v>1832</v>
      </c>
      <c r="B99" s="1" t="s">
        <v>1101</v>
      </c>
      <c r="C99" s="2" t="str">
        <f>HYPERLINK("http://4sq.com/fxwtgf","Jia Jia Sport Club ")</f>
        <v>Jia Jia Sport Club </v>
      </c>
    </row>
    <row r="100">
      <c r="A100" s="4" t="s">
        <v>1833</v>
      </c>
      <c r="B100" s="1" t="s">
        <v>1101</v>
      </c>
      <c r="C100" s="2" t="str">
        <f>HYPERLINK("http://4sq.com/a3WF57","Pizza Mania ")</f>
        <v>Pizza Mania </v>
      </c>
    </row>
    <row r="101">
      <c r="A101" s="4" t="s">
        <v>1834</v>
      </c>
      <c r="B101" s="1" t="s">
        <v>1101</v>
      </c>
      <c r="C101" s="2" t="str">
        <f>HYPERLINK("http://4sq.com/hH9kmE","Sweet Garden ")</f>
        <v>Sweet Garden </v>
      </c>
    </row>
    <row r="102">
      <c r="A102" s="4" t="s">
        <v>1835</v>
      </c>
      <c r="B102" s="1" t="s">
        <v>1101</v>
      </c>
      <c r="C102" s="2" t="str">
        <f>HYPERLINK("http://4sq.com/29h1DE4","MAIIAM ")</f>
        <v>MAIIAM </v>
      </c>
    </row>
    <row r="103">
      <c r="A103" s="4" t="s">
        <v>1836</v>
      </c>
      <c r="B103" s="1" t="s">
        <v>1101</v>
      </c>
      <c r="C103" s="2" t="str">
        <f>HYPERLINK("http://4sq.com/9v7H1W","Extreme Sport Center ")</f>
        <v>Extreme Sport Center </v>
      </c>
    </row>
    <row r="104">
      <c r="A104" s="4" t="s">
        <v>1837</v>
      </c>
      <c r="B104" s="1" t="s">
        <v>1101</v>
      </c>
      <c r="C104" s="2" t="str">
        <f>HYPERLINK("http://4sq.com/sEnrif","Cheunjai Coffee, Food &amp; Drinks (กาแฟชื่นใจ) ")</f>
        <v>Cheunjai Coffee, Food &amp; Drinks (กาแฟชื่นใจ) </v>
      </c>
    </row>
    <row r="105">
      <c r="A105" s="4" t="s">
        <v>1838</v>
      </c>
      <c r="B105" s="1" t="s">
        <v>1101</v>
      </c>
      <c r="C105" s="2" t="str">
        <f>HYPERLINK("http://4sq.com/kGK8x1","ร้านกอเซี้ยม แม่ริมพลาซ่า ")</f>
        <v>ร้านกอเซี้ยม แม่ริมพลาซ่า </v>
      </c>
    </row>
    <row r="106">
      <c r="A106" s="4" t="s">
        <v>1839</v>
      </c>
      <c r="B106" s="1" t="s">
        <v>1101</v>
      </c>
      <c r="C106" s="2" t="str">
        <f>HYPERLINK("http://4sq.com/12weN37","คาเฟ่ ดินดิน Cafe DinDin ")</f>
        <v>คาเฟ่ ดินดิน Cafe DinDin </v>
      </c>
    </row>
    <row r="107">
      <c r="A107" s="4" t="s">
        <v>1840</v>
      </c>
      <c r="B107" s="1" t="s">
        <v>1101</v>
      </c>
      <c r="C107" s="2" t="str">
        <f>HYPERLINK("http://4sq.com/1dHOYY4","Pizzeria Giotto ")</f>
        <v>Pizzeria Giotto </v>
      </c>
    </row>
    <row r="108">
      <c r="A108" s="4" t="s">
        <v>1841</v>
      </c>
      <c r="B108" s="1" t="s">
        <v>1101</v>
      </c>
      <c r="C108" s="2" t="str">
        <f>HYPERLINK("http://4sq.com/I28LVE","Café de Oasis (คาเฟ่ เดอ โอเอซิส) ")</f>
        <v>Café de Oasis (คาเฟ่ เดอ โอเอซิส) </v>
      </c>
    </row>
    <row r="109">
      <c r="A109" s="4" t="s">
        <v>1842</v>
      </c>
      <c r="B109" s="1" t="s">
        <v>1101</v>
      </c>
      <c r="C109" s="2" t="str">
        <f>HYPERLINK("http://4sq.com/19hdlvT","Beer Lab ")</f>
        <v>Beer Lab </v>
      </c>
    </row>
    <row r="110">
      <c r="A110" s="4" t="s">
        <v>1843</v>
      </c>
      <c r="B110" s="1" t="s">
        <v>1101</v>
      </c>
      <c r="C110" s="2" t="str">
        <f>HYPERLINK("http://4sq.com/aI08BQ","Four Seasons Resort Chiang Mai ")</f>
        <v>Four Seasons Resort Chiang Mai </v>
      </c>
    </row>
    <row r="111">
      <c r="A111" s="4" t="s">
        <v>1844</v>
      </c>
      <c r="B111" s="1" t="s">
        <v>1101</v>
      </c>
      <c r="C111" s="2" t="str">
        <f>HYPERLINK("http://4sq.com/hsPRl4","Khaosoi House (ข้าวซอยเฮ้าส์) ")</f>
        <v>Khaosoi House (ข้าวซอยเฮ้าส์) </v>
      </c>
    </row>
    <row r="112">
      <c r="A112" s="4" t="s">
        <v>1845</v>
      </c>
      <c r="B112" s="1" t="s">
        <v>1101</v>
      </c>
      <c r="C112" s="2" t="str">
        <f>HYPERLINK("http://4sq.com/fHcaB9","Coffee Bus (คอฟฟี่บัส) ")</f>
        <v>Coffee Bus (คอฟฟี่บัส) </v>
      </c>
    </row>
    <row r="113">
      <c r="A113" s="4" t="s">
        <v>1846</v>
      </c>
      <c r="B113" s="1" t="s">
        <v>1101</v>
      </c>
      <c r="C113" s="2" t="str">
        <f>HYPERLINK("http://4sq.com/1uTcCs4","Local Cafe (คาเฟ่บ้านนอก) ")</f>
        <v>Local Cafe (คาเฟ่บ้านนอก) </v>
      </c>
    </row>
    <row r="114">
      <c r="A114" s="4" t="s">
        <v>1847</v>
      </c>
      <c r="B114" s="1" t="s">
        <v>1101</v>
      </c>
      <c r="C114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115">
      <c r="A115" s="4" t="s">
        <v>1848</v>
      </c>
      <c r="B115" s="1" t="s">
        <v>1101</v>
      </c>
      <c r="C115" s="2" t="str">
        <f>HYPERLINK("http://4sq.com/fHcaB9","Coffee Bus (คอฟฟี่บัส) ")</f>
        <v>Coffee Bus (คอฟฟี่บัส) </v>
      </c>
    </row>
    <row r="116">
      <c r="A116" s="4" t="s">
        <v>1849</v>
      </c>
      <c r="B116" s="1" t="s">
        <v>1101</v>
      </c>
      <c r="C116" s="2" t="str">
        <f>HYPERLINK("http://4sq.com/alGf7l","PTT (ปตท.) ")</f>
        <v>PTT (ปตท.) </v>
      </c>
    </row>
    <row r="117">
      <c r="A117" s="4" t="s">
        <v>1850</v>
      </c>
      <c r="B117" s="1" t="s">
        <v>1101</v>
      </c>
      <c r="C117" s="2" t="str">
        <f>HYPERLINK("http://4sq.com/9K7ydH","Bake &amp; Bite (เบ๊คแอนด์ไบท์) ")</f>
        <v>Bake &amp; Bite (เบ๊คแอนด์ไบท์) </v>
      </c>
    </row>
    <row r="118">
      <c r="A118" s="4" t="s">
        <v>1851</v>
      </c>
      <c r="B118" s="1" t="s">
        <v>1101</v>
      </c>
      <c r="C118" s="2" t="str">
        <f>HYPERLINK("http://4sq.com/2iDiV23","Zombie Cafe ")</f>
        <v>Zombie Cafe </v>
      </c>
    </row>
    <row r="119">
      <c r="A119" s="4" t="s">
        <v>1852</v>
      </c>
      <c r="B119" s="1" t="s">
        <v>1101</v>
      </c>
      <c r="C119" s="2" t="str">
        <f>HYPERLINK("http://4sq.com/1GjmLUZ","Pizza Pasta by Simon ")</f>
        <v>Pizza Pasta by Simon </v>
      </c>
    </row>
    <row r="120">
      <c r="A120" s="4" t="s">
        <v>1853</v>
      </c>
      <c r="B120" s="1" t="s">
        <v>1101</v>
      </c>
      <c r="C120" s="2" t="str">
        <f>HYPERLINK("http://4sq.com/W63u29","BOAT BAKERY since 1970 ")</f>
        <v>BOAT BAKERY since 1970 </v>
      </c>
    </row>
    <row r="121">
      <c r="A121" s="4" t="s">
        <v>1854</v>
      </c>
      <c r="B121" s="1" t="s">
        <v>1101</v>
      </c>
      <c r="C121" s="2" t="str">
        <f>HYPERLINK("http://4sq.com/2bIJz8b","Lamona View Swimming Pool ")</f>
        <v>Lamona View Swimming Pool </v>
      </c>
    </row>
    <row r="122">
      <c r="A122" s="4" t="s">
        <v>1855</v>
      </c>
      <c r="B122" s="1" t="s">
        <v>1101</v>
      </c>
      <c r="C122" s="2" t="str">
        <f>HYPERLINK("http://4sq.com/10JNogt","Lumdee Te Khuadang (ลำดีตี้ขัวแดง) ")</f>
        <v>Lumdee Te Khuadang (ลำดีตี้ขัวแดง) </v>
      </c>
    </row>
    <row r="123">
      <c r="A123" s="4" t="s">
        <v>1856</v>
      </c>
      <c r="B123" s="1" t="s">
        <v>1101</v>
      </c>
      <c r="C123" s="2" t="str">
        <f>HYPERLINK("http://4sq.com/2iDiV23","Zombie Cafe ")</f>
        <v>Zombie Cafe </v>
      </c>
    </row>
    <row r="124">
      <c r="A124" s="4" t="s">
        <v>1857</v>
      </c>
      <c r="B124" s="1" t="s">
        <v>1101</v>
      </c>
      <c r="C124" s="2" t="str">
        <f>HYPERLINK("http://4sq.com/1pPrmIP","นภาภัณฑ์โลหะกิจ ")</f>
        <v>นภาภัณฑ์โลหะกิจ </v>
      </c>
    </row>
    <row r="125">
      <c r="A125" s="4" t="s">
        <v>1858</v>
      </c>
      <c r="B125" s="1" t="s">
        <v>1101</v>
      </c>
      <c r="C125" s="2" t="str">
        <f>HYPERLINK("http://4sq.com/kGK8x1","ร้านกอเซี้ยม แม่ริมพลาซ่า ")</f>
        <v>ร้านกอเซี้ยม แม่ริมพลาซ่า </v>
      </c>
    </row>
    <row r="126">
      <c r="A126" s="4" t="s">
        <v>1859</v>
      </c>
      <c r="B126" s="1" t="s">
        <v>1101</v>
      </c>
      <c r="C126" s="2" t="str">
        <f>HYPERLINK("http://4sq.com/2iDiV23","Zombie Cafe ")</f>
        <v>Zombie Cafe </v>
      </c>
    </row>
    <row r="127">
      <c r="A127" s="4" t="s">
        <v>1860</v>
      </c>
      <c r="B127" s="1" t="s">
        <v>1101</v>
      </c>
      <c r="C127" s="2" t="str">
        <f>HYPERLINK("http://4sq.com/1LwwIEn","Let It Be ")</f>
        <v>Let It Be </v>
      </c>
    </row>
    <row r="128">
      <c r="A128" s="4" t="s">
        <v>1861</v>
      </c>
      <c r="B128" s="1" t="s">
        <v>1101</v>
      </c>
      <c r="C128" s="2" t="str">
        <f>HYPERLINK("http://4sq.com/1sQE853","Chic 39 ")</f>
        <v>Chic 39 </v>
      </c>
    </row>
    <row r="129">
      <c r="A129" s="4" t="s">
        <v>1862</v>
      </c>
      <c r="B129" s="1" t="s">
        <v>1101</v>
      </c>
      <c r="C129" s="2" t="str">
        <f>HYPERLINK("http://4sq.com/1MkbF74","Black Canyon (แบล็คแคนยอน) ")</f>
        <v>Black Canyon (แบล็คแคนยอน) </v>
      </c>
    </row>
    <row r="130">
      <c r="A130" s="4" t="s">
        <v>1863</v>
      </c>
      <c r="B130" s="1" t="s">
        <v>1101</v>
      </c>
      <c r="C130" s="2" t="str">
        <f>HYPERLINK("http://4sq.com/W63u29","BOAT BAKERY since 1970 ")</f>
        <v>BOAT BAKERY since 1970 </v>
      </c>
    </row>
    <row r="131">
      <c r="A131" s="4" t="s">
        <v>1864</v>
      </c>
      <c r="B131" s="1" t="s">
        <v>1101</v>
      </c>
      <c r="C131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32">
      <c r="A132" s="4" t="s">
        <v>1865</v>
      </c>
      <c r="B132" s="1" t="s">
        <v>1101</v>
      </c>
      <c r="C132" s="2" t="str">
        <f>HYPERLINK("http://4sq.com/crBVSU","Incheon International Airport (ICN) (인천국제공항) ")</f>
        <v>Incheon International Airport (ICN) (인천국제공항) </v>
      </c>
    </row>
    <row r="133">
      <c r="A133" s="4" t="s">
        <v>1866</v>
      </c>
      <c r="B133" s="1" t="s">
        <v>1101</v>
      </c>
      <c r="C133" s="2" t="str">
        <f>HYPERLINK("http://4sq.com/72rBX6","Essex Inn ")</f>
        <v>Essex Inn </v>
      </c>
    </row>
    <row r="134">
      <c r="A134" s="4" t="s">
        <v>1867</v>
      </c>
      <c r="B134" s="1" t="s">
        <v>1101</v>
      </c>
      <c r="C134" s="2" t="str">
        <f>HYPERLINK("http://4sq.com/8mlWbX","Navy Pier ")</f>
        <v>Navy Pier </v>
      </c>
    </row>
    <row r="135">
      <c r="A135" s="4" t="s">
        <v>1868</v>
      </c>
      <c r="B135" s="1" t="s">
        <v>1101</v>
      </c>
      <c r="C135" s="2" t="str">
        <f>HYPERLINK("http://4sq.com/4yJyfR","Yolk ")</f>
        <v>Yolk </v>
      </c>
    </row>
    <row r="136">
      <c r="A136" s="4" t="s">
        <v>1869</v>
      </c>
      <c r="B136" s="1" t="s">
        <v>1101</v>
      </c>
      <c r="C136" s="2" t="str">
        <f>HYPERLINK("http://4sq.com/6z3FQS","Museum of Science and Industry ")</f>
        <v>Museum of Science and Industry </v>
      </c>
    </row>
    <row r="137">
      <c r="A137" s="4" t="s">
        <v>1870</v>
      </c>
      <c r="B137" s="1" t="s">
        <v>1101</v>
      </c>
      <c r="C137" s="2" t="str">
        <f>HYPERLINK("http://4sq.com/15FIWEW","Gen. John Logan Horse Statue ")</f>
        <v>Gen. John Logan Horse Statue </v>
      </c>
    </row>
    <row r="138">
      <c r="A138" s="4" t="s">
        <v>1871</v>
      </c>
      <c r="B138" s="1" t="s">
        <v>1101</v>
      </c>
      <c r="C138" s="2" t="str">
        <f>HYPERLINK("http://4sq.com/4yJyfR","Yolk ")</f>
        <v>Yolk </v>
      </c>
    </row>
    <row r="139">
      <c r="A139" s="4" t="s">
        <v>1872</v>
      </c>
      <c r="B139" s="1" t="s">
        <v>1101</v>
      </c>
      <c r="C139" s="2" t="str">
        <f>HYPERLINK("http://4sq.com/8X4kXL","Skydeck Chicago ")</f>
        <v>Skydeck Chicago </v>
      </c>
    </row>
    <row r="140">
      <c r="A140" s="4" t="s">
        <v>1873</v>
      </c>
      <c r="B140" s="1" t="s">
        <v>1101</v>
      </c>
      <c r="C140" s="2" t="str">
        <f>HYPERLINK("http://4sq.com/6ubrLH","Cadillac Palace Theatre ")</f>
        <v>Cadillac Palace Theatre </v>
      </c>
    </row>
    <row r="141">
      <c r="A141" s="4" t="s">
        <v>1874</v>
      </c>
      <c r="B141" s="1" t="s">
        <v>1101</v>
      </c>
      <c r="C141" s="2" t="str">
        <f>HYPERLINK("http://4sq.com/1Xgj3z","Intelligentsia Coffee ")</f>
        <v>Intelligentsia Coffee </v>
      </c>
    </row>
    <row r="142">
      <c r="A142" s="4" t="s">
        <v>1875</v>
      </c>
      <c r="B142" s="1" t="s">
        <v>1101</v>
      </c>
      <c r="C142" s="2" t="str">
        <f>HYPERLINK("http://4sq.com/7Gw5mS","Millennium Park ")</f>
        <v>Millennium Park </v>
      </c>
    </row>
    <row r="143">
      <c r="A143" s="4" t="s">
        <v>1876</v>
      </c>
      <c r="B143" s="1" t="s">
        <v>1101</v>
      </c>
      <c r="C143" s="2" t="str">
        <f>HYPERLINK("http://4sq.com/1l3BZx","Pizano's Pizza ")</f>
        <v>Pizano's Pizza </v>
      </c>
    </row>
    <row r="144">
      <c r="A144" s="4" t="s">
        <v>1877</v>
      </c>
      <c r="B144" s="1" t="s">
        <v>1101</v>
      </c>
      <c r="C144" s="2" t="str">
        <f>HYPERLINK("http://4sq.com/jq34rA","Budget Car Rental ")</f>
        <v>Budget Car Rental </v>
      </c>
    </row>
    <row r="145">
      <c r="A145" s="4" t="s">
        <v>1878</v>
      </c>
      <c r="B145" s="1" t="s">
        <v>1101</v>
      </c>
      <c r="C145" s="2" t="str">
        <f>HYPERLINK("http://4sq.com/4yJyfR","Yolk ")</f>
        <v>Yolk </v>
      </c>
    </row>
    <row r="146">
      <c r="A146" s="4" t="s">
        <v>1879</v>
      </c>
      <c r="B146" s="1" t="s">
        <v>1101</v>
      </c>
      <c r="C146" s="2" t="str">
        <f>HYPERLINK("http://4sq.com/iDw2MO","Tiffin River Service Plaza (Eastbound) ")</f>
        <v>Tiffin River Service Plaza (Eastbound) </v>
      </c>
    </row>
    <row r="147">
      <c r="A147" s="4" t="s">
        <v>1880</v>
      </c>
      <c r="B147" s="1" t="s">
        <v>1101</v>
      </c>
      <c r="C147" s="2" t="str">
        <f>HYPERLINK("http://4sq.com/11KQ7pi","toledo thai restaurant ")</f>
        <v>toledo thai restaurant </v>
      </c>
    </row>
    <row r="148">
      <c r="A148" s="4" t="s">
        <v>1881</v>
      </c>
      <c r="B148" s="1" t="s">
        <v>1101</v>
      </c>
      <c r="C148" s="2" t="str">
        <f>HYPERLINK("http://4sq.com/bdpzMR","Towpath Service Plaza (Eastbound) ")</f>
        <v>Towpath Service Plaza (Eastbound) </v>
      </c>
    </row>
    <row r="149">
      <c r="A149" s="4" t="s">
        <v>1882</v>
      </c>
      <c r="B149" s="1" t="s">
        <v>1101</v>
      </c>
      <c r="C149" s="2" t="str">
        <f>HYPERLINK("http://4sq.com/djQr9K","Welch's Dairy Cream ")</f>
        <v>Welch's Dairy Cream </v>
      </c>
    </row>
    <row r="150">
      <c r="A150" s="4" t="s">
        <v>1883</v>
      </c>
      <c r="B150" s="1" t="s">
        <v>1101</v>
      </c>
      <c r="C150" s="2" t="str">
        <f>HYPERLINK("http://4sq.com/9dHk0c","Radisson Inn Akron/Fairlawn ")</f>
        <v>Radisson Inn Akron/Fairlawn </v>
      </c>
    </row>
    <row r="151">
      <c r="A151" s="4" t="s">
        <v>1884</v>
      </c>
      <c r="B151" s="1" t="s">
        <v>1101</v>
      </c>
      <c r="C151" s="2" t="str">
        <f>HYPERLINK("http://4sq.com/76ttuI","Khao Thai Restaurant ")</f>
        <v>Khao Thai Restaurant </v>
      </c>
    </row>
    <row r="152">
      <c r="A152" s="4" t="s">
        <v>1885</v>
      </c>
      <c r="B152" s="1" t="s">
        <v>1101</v>
      </c>
      <c r="C152" s="2" t="str">
        <f>HYPERLINK("http://4sq.com/12riVT2","Westgate Farm &amp; Ranch ")</f>
        <v>Westgate Farm &amp; Ranch </v>
      </c>
    </row>
    <row r="153">
      <c r="A153" s="4" t="s">
        <v>1886</v>
      </c>
      <c r="B153" s="1" t="s">
        <v>1101</v>
      </c>
      <c r="C153" s="2" t="str">
        <f>HYPERLINK("http://4sq.com/1OE3DrM","Parking Area ")</f>
        <v>Parking Area </v>
      </c>
    </row>
    <row r="154">
      <c r="A154" s="4" t="s">
        <v>1887</v>
      </c>
      <c r="B154" s="1" t="s">
        <v>1101</v>
      </c>
      <c r="C154" s="2" t="str">
        <f>HYPERLINK("http://4sq.com/biTu4M","Stagecoach West ")</f>
        <v>Stagecoach West </v>
      </c>
    </row>
    <row r="155">
      <c r="A155" s="4" t="s">
        <v>1888</v>
      </c>
      <c r="B155" s="1" t="s">
        <v>1101</v>
      </c>
      <c r="C155" s="2" t="str">
        <f>HYPERLINK("http://4sq.com/2iarJex","DoubleTree by Hilton Hotel Niagara Falls New York ")</f>
        <v>DoubleTree by Hilton Hotel Niagara Falls New York </v>
      </c>
    </row>
    <row r="156">
      <c r="A156" s="4" t="s">
        <v>1889</v>
      </c>
      <c r="B156" s="1" t="s">
        <v>1101</v>
      </c>
      <c r="C156" s="2" t="str">
        <f>HYPERLINK("http://4sq.com/cjTMI0","Starbucks ")</f>
        <v>Starbucks </v>
      </c>
    </row>
    <row r="157">
      <c r="A157" s="4" t="s">
        <v>1890</v>
      </c>
      <c r="B157" s="1" t="s">
        <v>1101</v>
      </c>
      <c r="C157" s="2" t="str">
        <f>HYPERLINK("http://4sq.com/1gTiygQ","Downtown Niagara Falls ")</f>
        <v>Downtown Niagara Falls </v>
      </c>
    </row>
    <row r="158">
      <c r="A158" s="4" t="s">
        <v>1890</v>
      </c>
      <c r="B158" s="1" t="s">
        <v>1101</v>
      </c>
      <c r="C158" s="2" t="str">
        <f>HYPERLINK("http://4sq.com/92yHgJ","Old Falls Street ")</f>
        <v>Old Falls Street </v>
      </c>
    </row>
    <row r="159">
      <c r="A159" s="4" t="s">
        <v>1891</v>
      </c>
      <c r="B159" s="1" t="s">
        <v>1101</v>
      </c>
      <c r="C159" s="2" t="str">
        <f>HYPERLINK("http://4sq.com/aqP2u9","7-Eleven ")</f>
        <v>7-Eleven </v>
      </c>
    </row>
    <row r="160">
      <c r="A160" s="4" t="s">
        <v>1891</v>
      </c>
      <c r="B160" s="1" t="s">
        <v>1101</v>
      </c>
      <c r="C160" s="2" t="str">
        <f>HYPERLINK("http://foursquare.com/v/4f8dc4f6e4b0a7ee5a9e3af5","City of Niagara Falls, NY ")</f>
        <v>City of Niagara Falls, NY </v>
      </c>
    </row>
    <row r="161">
      <c r="A161" s="4" t="s">
        <v>1892</v>
      </c>
      <c r="B161" s="1" t="s">
        <v>1101</v>
      </c>
      <c r="C161" s="2" t="str">
        <f>HYPERLINK("http://4sq.com/4RtZ7y","Walmart Supercenter ")</f>
        <v>Walmart Supercenter </v>
      </c>
    </row>
    <row r="162">
      <c r="A162" s="4" t="s">
        <v>1893</v>
      </c>
      <c r="B162" s="1" t="s">
        <v>1101</v>
      </c>
      <c r="C162" s="2" t="str">
        <f>HYPERLINK("http://4sq.com/hjdY1v","Kwik Fill ")</f>
        <v>Kwik Fill </v>
      </c>
    </row>
    <row r="163">
      <c r="A163" s="4" t="s">
        <v>1894</v>
      </c>
      <c r="B163" s="1" t="s">
        <v>1101</v>
      </c>
      <c r="C163" s="2" t="str">
        <f>HYPERLINK("http://4sq.com/bfbMCV","Holiday Inn Express Cleveland Downtown ")</f>
        <v>Holiday Inn Express Cleveland Downtown </v>
      </c>
    </row>
    <row r="164">
      <c r="A164" s="4" t="s">
        <v>1895</v>
      </c>
      <c r="B164" s="1" t="s">
        <v>1101</v>
      </c>
      <c r="C164" s="2" t="str">
        <f>HYPERLINK("http://4sq.com/aZPYQA","5th Street Arcades ")</f>
        <v>5th Street Arcades </v>
      </c>
    </row>
    <row r="165">
      <c r="A165" s="4" t="s">
        <v>1896</v>
      </c>
      <c r="B165" s="1" t="s">
        <v>1101</v>
      </c>
      <c r="C165" s="2" t="str">
        <f>HYPERLINK("http://4sq.com/7qOVig","The Arcade Cleveland ")</f>
        <v>The Arcade Cleveland </v>
      </c>
    </row>
    <row r="166">
      <c r="A166" s="4" t="s">
        <v>1897</v>
      </c>
      <c r="B166" s="1" t="s">
        <v>1101</v>
      </c>
      <c r="C166" s="2" t="str">
        <f>HYPERLINK("http://4sq.com/c2loRD","Federal Reserve Bank of Cleveland / Learning Center &amp; Money Museum ")</f>
        <v>Federal Reserve Bank of Cleveland / Learning Center &amp; Money Museum </v>
      </c>
    </row>
    <row r="167">
      <c r="A167" s="4" t="s">
        <v>1898</v>
      </c>
      <c r="B167" s="1" t="s">
        <v>1101</v>
      </c>
      <c r="C167" s="2" t="str">
        <f>HYPERLINK("http://4sq.com/aZPYQA","5th Street Arcades ")</f>
        <v>5th Street Arcades </v>
      </c>
    </row>
    <row r="168">
      <c r="A168" s="4" t="s">
        <v>1899</v>
      </c>
      <c r="B168" s="1" t="s">
        <v>1101</v>
      </c>
      <c r="C168" s="2" t="str">
        <f>HYPERLINK("http://4sq.com/8XVB9B","Eastman Reading Garden ")</f>
        <v>Eastman Reading Garden </v>
      </c>
    </row>
    <row r="169">
      <c r="A169" s="4" t="s">
        <v>1900</v>
      </c>
      <c r="B169" s="1" t="s">
        <v>1101</v>
      </c>
      <c r="C169" s="2" t="str">
        <f>HYPERLINK("http://4sq.com/9Ll47O","Cleveland Public Library - Main Branch ")</f>
        <v>Cleveland Public Library - Main Branch </v>
      </c>
    </row>
    <row r="170">
      <c r="A170" s="4" t="s">
        <v>1901</v>
      </c>
      <c r="B170" s="1" t="s">
        <v>1101</v>
      </c>
      <c r="C170" s="2" t="str">
        <f>HYPERLINK("http://4sq.com/6ZtX9t","Dave's Cosmic Subs ")</f>
        <v>Dave's Cosmic Subs </v>
      </c>
    </row>
    <row r="171">
      <c r="A171" s="4" t="s">
        <v>1902</v>
      </c>
      <c r="B171" s="1" t="s">
        <v>1101</v>
      </c>
      <c r="C171" s="2" t="str">
        <f>HYPERLINK("http://4sq.com/aWTs5M","Castaway Bay Resort ")</f>
        <v>Castaway Bay Resort </v>
      </c>
    </row>
    <row r="172">
      <c r="A172" s="4" t="s">
        <v>1903</v>
      </c>
      <c r="B172" s="1" t="s">
        <v>1101</v>
      </c>
      <c r="C172" s="2" t="str">
        <f>HYPERLINK("http://4sq.com/k2ZSt1","Rest Area 2-04 ")</f>
        <v>Rest Area 2-04 </v>
      </c>
    </row>
    <row r="173">
      <c r="A173" s="4" t="s">
        <v>1904</v>
      </c>
      <c r="B173" s="1" t="s">
        <v>1101</v>
      </c>
      <c r="C173" s="2" t="str">
        <f>HYPERLINK("http://4sq.com/1MnHfBv","Noodles &amp; Company ")</f>
        <v>Noodles &amp; Company </v>
      </c>
    </row>
    <row r="174">
      <c r="A174" s="4" t="s">
        <v>1905</v>
      </c>
      <c r="B174" s="1" t="s">
        <v>1101</v>
      </c>
      <c r="C174" s="2" t="str">
        <f>HYPERLINK("http://4sq.com/c9P1NX","Mobil ")</f>
        <v>Mobil </v>
      </c>
    </row>
    <row r="175">
      <c r="A175" s="4" t="s">
        <v>1906</v>
      </c>
      <c r="B175" s="1" t="s">
        <v>1101</v>
      </c>
      <c r="C175" s="2" t="str">
        <f>HYPERLINK("http://4sq.com/jYpuqG","Ludington North Breakwater Lighthouse ")</f>
        <v>Ludington North Breakwater Lighthouse </v>
      </c>
    </row>
    <row r="176">
      <c r="A176" s="4" t="s">
        <v>1907</v>
      </c>
      <c r="B176" s="1" t="s">
        <v>1101</v>
      </c>
      <c r="C176" s="2" t="str">
        <f>HYPERLINK("http://4sq.com/jLGAA7","Ludington Beach ")</f>
        <v>Ludington Beach </v>
      </c>
    </row>
    <row r="177">
      <c r="A177" s="4" t="s">
        <v>1908</v>
      </c>
      <c r="B177" s="1" t="s">
        <v>1101</v>
      </c>
      <c r="C177" s="2" t="str">
        <f>HYPERLINK("http://4sq.com/2so8Mis","Lighthouse Motel ")</f>
        <v>Lighthouse Motel </v>
      </c>
    </row>
    <row r="178">
      <c r="A178" s="4" t="s">
        <v>1909</v>
      </c>
      <c r="B178" s="1" t="s">
        <v>1101</v>
      </c>
      <c r="C178" s="2" t="str">
        <f>HYPERLINK("http://4sq.com/aN4sFu","SS Badger - Ludington ")</f>
        <v>SS Badger - Ludington </v>
      </c>
    </row>
    <row r="179">
      <c r="A179" s="4" t="s">
        <v>1910</v>
      </c>
      <c r="B179" s="1" t="s">
        <v>1101</v>
      </c>
      <c r="C179" s="2" t="str">
        <f>HYPERLINK("http://4sq.com/9U2Mbz","Cedar Crest ice cream ")</f>
        <v>Cedar Crest ice cream </v>
      </c>
    </row>
    <row r="180">
      <c r="A180" s="4" t="s">
        <v>1911</v>
      </c>
      <c r="B180" s="1" t="s">
        <v>1101</v>
      </c>
      <c r="C180" s="2" t="str">
        <f>HYPERLINK("http://4sq.com/fQH82K","Menards ")</f>
        <v>Menards </v>
      </c>
    </row>
    <row r="181">
      <c r="A181" s="4" t="s">
        <v>1912</v>
      </c>
      <c r="B181" s="1" t="s">
        <v>1101</v>
      </c>
      <c r="C181" s="2" t="str">
        <f>HYPERLINK("http://4sq.com/13HVwxu","Dublin's ")</f>
        <v>Dublin's </v>
      </c>
    </row>
    <row r="182">
      <c r="A182" s="4" t="s">
        <v>1913</v>
      </c>
      <c r="B182" s="1" t="s">
        <v>1101</v>
      </c>
      <c r="C182" s="2" t="str">
        <f>HYPERLINK("http://4sq.com/9CsjyQ","Coffee Corner ")</f>
        <v>Coffee Corner </v>
      </c>
    </row>
    <row r="183">
      <c r="A183" s="4" t="s">
        <v>1914</v>
      </c>
      <c r="B183" s="1" t="s">
        <v>1101</v>
      </c>
      <c r="C183" s="2" t="str">
        <f>HYPERLINK("http://4sq.com/cnE1Wq","Horicon Marsh Education and Visitor Center ")</f>
        <v>Horicon Marsh Education and Visitor Center </v>
      </c>
    </row>
    <row r="184">
      <c r="A184" s="4" t="s">
        <v>1915</v>
      </c>
      <c r="B184" s="1" t="s">
        <v>1101</v>
      </c>
      <c r="C184" s="2" t="str">
        <f>HYPERLINK("http://4sq.com/9aavzD","Piggly Wiggly ")</f>
        <v>Piggly Wiggly </v>
      </c>
    </row>
    <row r="185">
      <c r="A185" s="4" t="s">
        <v>1916</v>
      </c>
      <c r="B185" s="1" t="s">
        <v>1101</v>
      </c>
      <c r="C185" s="2" t="str">
        <f>HYPERLINK("http://4sq.com/GXROKz","Kewaskum, WI ")</f>
        <v>Kewaskum, WI </v>
      </c>
    </row>
    <row r="186">
      <c r="A186" s="4" t="s">
        <v>1917</v>
      </c>
      <c r="B186" s="1" t="s">
        <v>1101</v>
      </c>
      <c r="C186" s="2" t="str">
        <f>HYPERLINK("http://4sq.com/baQYiS","River Hill Park ")</f>
        <v>River Hill Park </v>
      </c>
    </row>
    <row r="187">
      <c r="A187" s="4" t="s">
        <v>1918</v>
      </c>
      <c r="B187" s="1" t="s">
        <v>1101</v>
      </c>
      <c r="C187" s="2" t="str">
        <f>HYPERLINK("http://4sq.com/7smMlH","Milwaukee Art Museum ")</f>
        <v>Milwaukee Art Museum </v>
      </c>
    </row>
    <row r="188">
      <c r="A188" s="4" t="s">
        <v>1919</v>
      </c>
      <c r="B188" s="1" t="s">
        <v>1101</v>
      </c>
      <c r="C188" s="2" t="str">
        <f>HYPERLINK("http://4sq.com/bfvoyW","Henry Maier Festival Park ")</f>
        <v>Henry Maier Festival Park </v>
      </c>
    </row>
    <row r="189">
      <c r="A189" s="4" t="s">
        <v>1920</v>
      </c>
      <c r="B189" s="1" t="s">
        <v>1101</v>
      </c>
      <c r="C189" s="2" t="str">
        <f>HYPERLINK("http://4sq.com/cNXxVt","Northwestern Mutual Children's Theater &amp; Playzone ")</f>
        <v>Northwestern Mutual Children's Theater &amp; Playzone </v>
      </c>
    </row>
    <row r="190">
      <c r="A190" s="4" t="s">
        <v>1921</v>
      </c>
      <c r="B190" s="1" t="s">
        <v>1101</v>
      </c>
      <c r="C190" s="2" t="str">
        <f>HYPERLINK("http://4sq.com/f3yi7","EE-Sane Thai-Lao Cuisine ")</f>
        <v>EE-Sane Thai-Lao Cuisine </v>
      </c>
    </row>
    <row r="191">
      <c r="A191" s="4" t="s">
        <v>1922</v>
      </c>
      <c r="B191" s="1" t="s">
        <v>1101</v>
      </c>
      <c r="C191" s="2" t="str">
        <f>HYPERLINK("http://4sq.com/9CsjyQ","Coffee Corner ")</f>
        <v>Coffee Corner </v>
      </c>
    </row>
    <row r="192">
      <c r="A192" s="4" t="s">
        <v>1923</v>
      </c>
      <c r="B192" s="1" t="s">
        <v>1101</v>
      </c>
      <c r="C192" s="2" t="str">
        <f>HYPERLINK("http://4sq.com/kzVTUy","Kewaskum Public Library ")</f>
        <v>Kewaskum Public Library </v>
      </c>
    </row>
    <row r="193">
      <c r="A193" s="4" t="s">
        <v>1924</v>
      </c>
      <c r="B193" s="1" t="s">
        <v>1101</v>
      </c>
      <c r="C193" s="2" t="str">
        <f>HYPERLINK("http://4sq.com/8I9vhN","California Pizza Kitchen ")</f>
        <v>California Pizza Kitchen </v>
      </c>
    </row>
    <row r="194">
      <c r="A194" s="4" t="s">
        <v>1925</v>
      </c>
      <c r="B194" s="1" t="s">
        <v>1101</v>
      </c>
      <c r="C194" s="2" t="str">
        <f>HYPERLINK("http://4sq.com/c3Sj5c","Walmart Supercenter ")</f>
        <v>Walmart Supercenter </v>
      </c>
    </row>
    <row r="195">
      <c r="A195" s="4" t="s">
        <v>1926</v>
      </c>
      <c r="B195" s="1" t="s">
        <v>1101</v>
      </c>
      <c r="C195" s="2" t="str">
        <f>HYPERLINK("http://4sq.com/90XXf4","Piggly Wiggly ")</f>
        <v>Piggly Wiggly </v>
      </c>
    </row>
    <row r="196">
      <c r="A196" s="4" t="s">
        <v>1927</v>
      </c>
      <c r="B196" s="1" t="s">
        <v>1101</v>
      </c>
      <c r="C196" s="2" t="str">
        <f>HYPERLINK("http://4sq.com/99LHqb","Cedar Valley Cheese Factory ")</f>
        <v>Cedar Valley Cheese Factory </v>
      </c>
    </row>
    <row r="197">
      <c r="A197" s="4" t="s">
        <v>1928</v>
      </c>
      <c r="B197" s="1" t="s">
        <v>1101</v>
      </c>
      <c r="C197" s="2" t="str">
        <f>HYPERLINK("http://4sq.com/91JRP0","Speedway ")</f>
        <v>Speedway </v>
      </c>
    </row>
    <row r="198">
      <c r="A198" s="4" t="s">
        <v>1929</v>
      </c>
      <c r="B198" s="1" t="s">
        <v>1101</v>
      </c>
      <c r="C198" s="2" t="str">
        <f>HYPERLINK("http://4sq.com/as4m8F","IHOP ")</f>
        <v>IHOP </v>
      </c>
    </row>
    <row r="199">
      <c r="A199" s="4" t="s">
        <v>1930</v>
      </c>
      <c r="B199" s="1" t="s">
        <v>1101</v>
      </c>
      <c r="C199" s="2" t="str">
        <f>HYPERLINK("http://4sq.com/9iSYDt","Avis Car Rental ")</f>
        <v>Avis Car Rental </v>
      </c>
    </row>
    <row r="200">
      <c r="A200" s="4" t="s">
        <v>1931</v>
      </c>
      <c r="B200" s="1" t="s">
        <v>1101</v>
      </c>
      <c r="C200" s="2" t="str">
        <f>HYPERLINK("http://4sq.com/aysD5U","Southern Wisconsin Veterans Memorial Cemetery ")</f>
        <v>Southern Wisconsin Veterans Memorial Cemetery </v>
      </c>
    </row>
    <row r="201">
      <c r="A201" s="4" t="s">
        <v>1932</v>
      </c>
      <c r="B201" s="1" t="s">
        <v>1101</v>
      </c>
      <c r="C201" s="2" t="str">
        <f>HYPERLINK("http://4sq.com/1fIQblO","Bass Bay Brew House ")</f>
        <v>Bass Bay Brew House </v>
      </c>
    </row>
    <row r="202">
      <c r="A202" s="4" t="s">
        <v>1933</v>
      </c>
      <c r="B202" s="1" t="s">
        <v>1101</v>
      </c>
      <c r="C202" s="2" t="str">
        <f>HYPERLINK("http://4sq.com/2uFFkSq","The Hub ")</f>
        <v>The Hub </v>
      </c>
    </row>
    <row r="203">
      <c r="A203" s="4" t="s">
        <v>1934</v>
      </c>
      <c r="B203" s="1" t="s">
        <v>1101</v>
      </c>
      <c r="C203" s="2" t="str">
        <f>HYPERLINK("http://4sq.com/kzVTUy","Kewaskum Public Library ")</f>
        <v>Kewaskum Public Library </v>
      </c>
    </row>
    <row r="204">
      <c r="A204" s="4" t="s">
        <v>1935</v>
      </c>
      <c r="B204" s="1" t="s">
        <v>1101</v>
      </c>
      <c r="C204" s="2" t="str">
        <f>HYPERLINK("http://4sq.com/bcB5rr","Harbor Hills Bowling Lanes ")</f>
        <v>Harbor Hills Bowling Lanes </v>
      </c>
    </row>
    <row r="205">
      <c r="A205" s="4" t="s">
        <v>1936</v>
      </c>
      <c r="B205" s="1" t="s">
        <v>1101</v>
      </c>
      <c r="C205" s="2" t="str">
        <f>HYPERLINK("http://4sq.com/kzVTUy","Kewaskum Public Library ")</f>
        <v>Kewaskum Public Library </v>
      </c>
    </row>
    <row r="206">
      <c r="A206" s="4" t="s">
        <v>1937</v>
      </c>
      <c r="B206" s="1" t="s">
        <v>1101</v>
      </c>
      <c r="C206" s="2" t="str">
        <f>HYPERLINK("http://4sq.com/99LHqb","Cedar Valley Cheese Factory ")</f>
        <v>Cedar Valley Cheese Factory </v>
      </c>
    </row>
    <row r="207">
      <c r="A207" s="4" t="s">
        <v>1938</v>
      </c>
      <c r="B207" s="1" t="s">
        <v>1101</v>
      </c>
      <c r="C207" s="2" t="str">
        <f>HYPERLINK("http://4sq.com/56h9fn","General Mitchell International Airport (MKE) ")</f>
        <v>General Mitchell International Airport (MKE) </v>
      </c>
    </row>
    <row r="208">
      <c r="A208" s="4" t="s">
        <v>1939</v>
      </c>
      <c r="B208" s="1" t="s">
        <v>1101</v>
      </c>
      <c r="C208" s="2" t="str">
        <f>HYPERLINK("http://4sq.com/jVvFJH","Mills Fleet Farm ")</f>
        <v>Mills Fleet Farm </v>
      </c>
    </row>
    <row r="209">
      <c r="A209" s="4" t="s">
        <v>1940</v>
      </c>
      <c r="B209" s="1" t="s">
        <v>1101</v>
      </c>
      <c r="C209" s="2" t="str">
        <f>HYPERLINK("http://4sq.com/2uFFkSq","The Hub ")</f>
        <v>The Hub </v>
      </c>
    </row>
    <row r="210">
      <c r="A210" s="4" t="s">
        <v>1941</v>
      </c>
      <c r="B210" s="1" t="s">
        <v>1101</v>
      </c>
      <c r="C210" s="2" t="str">
        <f>HYPERLINK("http://4sq.com/dcs5Dp","D. E. O'Malley's Pizza Pub ")</f>
        <v>D. E. O'Malley's Pizza Pub </v>
      </c>
    </row>
    <row r="211">
      <c r="A211" s="4" t="s">
        <v>1942</v>
      </c>
      <c r="B211" s="1" t="s">
        <v>1101</v>
      </c>
      <c r="C211" s="2" t="str">
        <f>HYPERLINK("http://4sq.com/aSQdH2","Upper Lake Park ")</f>
        <v>Upper Lake Park </v>
      </c>
    </row>
    <row r="212">
      <c r="A212" s="4" t="s">
        <v>1943</v>
      </c>
      <c r="B212" s="1" t="s">
        <v>1101</v>
      </c>
      <c r="C212" s="2" t="str">
        <f>HYPERLINK("http://4sq.com/yFnsES","Possibility Playground ")</f>
        <v>Possibility Playground </v>
      </c>
    </row>
    <row r="213">
      <c r="A213" s="4" t="s">
        <v>1944</v>
      </c>
      <c r="B213" s="1" t="s">
        <v>1101</v>
      </c>
      <c r="C213" s="2" t="str">
        <f>HYPERLINK("http://4sq.com/bhHG2O","Schooner Pub ")</f>
        <v>Schooner Pub </v>
      </c>
    </row>
    <row r="214">
      <c r="A214" s="4" t="s">
        <v>1945</v>
      </c>
      <c r="B214" s="1" t="s">
        <v>1101</v>
      </c>
      <c r="C214" s="2" t="str">
        <f>HYPERLINK("http://4sq.com/l1G0jA","Fingers Parking Lot ")</f>
        <v>Fingers Parking Lot </v>
      </c>
    </row>
    <row r="215">
      <c r="A215" s="4" t="s">
        <v>1946</v>
      </c>
      <c r="B215" s="1" t="s">
        <v>1101</v>
      </c>
      <c r="C215" s="2" t="str">
        <f>HYPERLINK("http://4sq.com/6QG1QO","Beans &amp; Barley ")</f>
        <v>Beans &amp; Barley </v>
      </c>
    </row>
    <row r="216">
      <c r="A216" s="4" t="s">
        <v>1947</v>
      </c>
      <c r="B216" s="1" t="s">
        <v>1101</v>
      </c>
      <c r="C216" s="2" t="str">
        <f>HYPERLINK("http://4sq.com/chnGpk","Milwaukee Public Library - East ")</f>
        <v>Milwaukee Public Library - East </v>
      </c>
    </row>
    <row r="217">
      <c r="A217" s="4" t="s">
        <v>1948</v>
      </c>
      <c r="B217" s="1" t="s">
        <v>1101</v>
      </c>
      <c r="C217" s="2" t="str">
        <f>HYPERLINK("http://4sq.com/7ijteA","Ma Fischer's ")</f>
        <v>Ma Fischer's </v>
      </c>
    </row>
    <row r="218">
      <c r="A218" s="4" t="s">
        <v>1949</v>
      </c>
      <c r="B218" s="1" t="s">
        <v>1101</v>
      </c>
      <c r="C218" s="2" t="str">
        <f>HYPERLINK("http://4sq.com/chnGpk","Milwaukee Public Library - East ")</f>
        <v>Milwaukee Public Library - East </v>
      </c>
    </row>
    <row r="219">
      <c r="A219" s="4" t="s">
        <v>1950</v>
      </c>
      <c r="B219" s="1" t="s">
        <v>1101</v>
      </c>
      <c r="C219" s="2" t="str">
        <f>HYPERLINK("http://4sq.com/8cXnpc","Hooligan's Super Bar ")</f>
        <v>Hooligan's Super Bar </v>
      </c>
    </row>
    <row r="220">
      <c r="A220" s="4" t="s">
        <v>1951</v>
      </c>
      <c r="B220" s="1" t="s">
        <v>1101</v>
      </c>
      <c r="C220" s="2" t="str">
        <f>HYPERLINK("http://4sq.com/ik8dQ","Colectivo Coffee ")</f>
        <v>Colectivo Coffee </v>
      </c>
    </row>
    <row r="221">
      <c r="A221" s="4" t="s">
        <v>1952</v>
      </c>
      <c r="B221" s="1" t="s">
        <v>1101</v>
      </c>
      <c r="C221" s="2" t="str">
        <f>HYPERLINK("http://4sq.com/1b6CdGu","Potbelly Sandwich Shop ")</f>
        <v>Potbelly Sandwich Shop </v>
      </c>
    </row>
    <row r="222">
      <c r="A222" s="4" t="s">
        <v>1953</v>
      </c>
      <c r="B222" s="1" t="s">
        <v>1101</v>
      </c>
      <c r="C222" s="2" t="str">
        <f t="shared" ref="C222:C223" si="2">HYPERLINK("http://4sq.com/chnGpk","Milwaukee Public Library - East ")</f>
        <v>Milwaukee Public Library - East </v>
      </c>
    </row>
    <row r="223">
      <c r="A223" s="4" t="s">
        <v>1954</v>
      </c>
      <c r="B223" s="1" t="s">
        <v>1101</v>
      </c>
      <c r="C223" s="2" t="str">
        <f t="shared" si="2"/>
        <v>Milwaukee Public Library - East </v>
      </c>
    </row>
    <row r="224">
      <c r="A224" s="4" t="s">
        <v>1955</v>
      </c>
      <c r="B224" s="1" t="s">
        <v>1101</v>
      </c>
      <c r="C224" s="2" t="str">
        <f>HYPERLINK("http://4sq.com/6QG1QO","Beans &amp; Barley ")</f>
        <v>Beans &amp; Barley </v>
      </c>
    </row>
    <row r="225">
      <c r="A225" s="4" t="s">
        <v>1956</v>
      </c>
      <c r="B225" s="1" t="s">
        <v>1101</v>
      </c>
      <c r="C225" s="2" t="str">
        <f>HYPERLINK("http://4sq.com/b6jf2V","Bradford Beach ")</f>
        <v>Bradford Beach </v>
      </c>
    </row>
    <row r="226">
      <c r="A226" s="4" t="s">
        <v>1957</v>
      </c>
      <c r="B226" s="1" t="s">
        <v>1101</v>
      </c>
      <c r="C226" s="2" t="str">
        <f>HYPERLINK("http://4sq.com/5522UJ","Klode Park ")</f>
        <v>Klode Park </v>
      </c>
    </row>
    <row r="227">
      <c r="A227" s="4" t="s">
        <v>1958</v>
      </c>
      <c r="B227" s="1" t="s">
        <v>1101</v>
      </c>
      <c r="C227" s="2" t="str">
        <f>HYPERLINK("http://4sq.com/6TQ9tu","Kewaskum High School ")</f>
        <v>Kewaskum High School </v>
      </c>
    </row>
    <row r="228">
      <c r="A228" s="4" t="s">
        <v>1959</v>
      </c>
      <c r="B228" s="1" t="s">
        <v>1101</v>
      </c>
      <c r="C228" s="2" t="str">
        <f>HYPERLINK("http://4sq.com/c3aECX","Jefferson Park ")</f>
        <v>Jefferson Park </v>
      </c>
    </row>
    <row r="229">
      <c r="A229" s="4" t="s">
        <v>1960</v>
      </c>
      <c r="B229" s="1" t="s">
        <v>1101</v>
      </c>
      <c r="C229" s="2" t="str">
        <f>HYPERLINK("http://4sq.com/dw6icO","Quik-mart Citgo ")</f>
        <v>Quik-mart Citgo </v>
      </c>
    </row>
    <row r="230">
      <c r="A230" s="4" t="s">
        <v>1961</v>
      </c>
      <c r="B230" s="1" t="s">
        <v>1101</v>
      </c>
      <c r="C230" s="2" t="str">
        <f>HYPERLINK("http://4sq.com/kzVTUy","Kewaskum Public Library ")</f>
        <v>Kewaskum Public Library </v>
      </c>
    </row>
    <row r="231">
      <c r="A231" s="4" t="s">
        <v>1962</v>
      </c>
      <c r="B231" s="1" t="s">
        <v>1101</v>
      </c>
      <c r="C231" s="2" t="str">
        <f>HYPERLINK("http://4sq.com/a2fEXt","W J Niederkorn Library ")</f>
        <v>W J Niederkorn Library </v>
      </c>
    </row>
    <row r="232">
      <c r="A232" s="4" t="s">
        <v>1963</v>
      </c>
      <c r="B232" s="1" t="s">
        <v>1101</v>
      </c>
      <c r="C232" s="2" t="str">
        <f>HYPERLINK("http://4sq.com/1rEeQOq","Great Out Doors ")</f>
        <v>Great Out Doors </v>
      </c>
    </row>
    <row r="233">
      <c r="A233" s="4" t="s">
        <v>1964</v>
      </c>
      <c r="B233" s="1" t="s">
        <v>1101</v>
      </c>
      <c r="C233" s="2" t="str">
        <f>HYPERLINK("http://4sq.com/c6eR7w","Oscar Grady Library ")</f>
        <v>Oscar Grady Library </v>
      </c>
    </row>
    <row r="234">
      <c r="A234" s="4" t="s">
        <v>1965</v>
      </c>
      <c r="B234" s="1" t="s">
        <v>1101</v>
      </c>
      <c r="C234" s="2" t="str">
        <f>HYPERLINK("http://4sq.com/5obFP7","Target ")</f>
        <v>Target </v>
      </c>
    </row>
    <row r="235">
      <c r="A235" s="4" t="s">
        <v>1966</v>
      </c>
      <c r="B235" s="1" t="s">
        <v>1101</v>
      </c>
      <c r="C235" s="2" t="str">
        <f>HYPERLINK("http://4sq.com/bdhDer","Colectivo Coffee ")</f>
        <v>Colectivo Coffee </v>
      </c>
    </row>
    <row r="236">
      <c r="A236" s="4" t="s">
        <v>1967</v>
      </c>
      <c r="B236" s="1" t="s">
        <v>1101</v>
      </c>
      <c r="C236" s="2" t="str">
        <f>HYPERLINK("http://4sq.com/as4m8F","IHOP ")</f>
        <v>IHOP </v>
      </c>
    </row>
    <row r="237">
      <c r="A237" s="4" t="s">
        <v>1968</v>
      </c>
      <c r="B237" s="1" t="s">
        <v>1101</v>
      </c>
      <c r="C237" s="2" t="str">
        <f>HYPERLINK("http://4sq.com/4YJ1ua","Target ")</f>
        <v>Target </v>
      </c>
    </row>
    <row r="238">
      <c r="A238" s="4" t="s">
        <v>1969</v>
      </c>
      <c r="B238" s="1" t="s">
        <v>1101</v>
      </c>
      <c r="C238" s="2" t="str">
        <f>HYPERLINK("http://4sq.com/crBVSU","Incheon International Airport (ICN) (인천국제공항) ")</f>
        <v>Incheon International Airport (ICN) (인천국제공항) </v>
      </c>
    </row>
    <row r="239">
      <c r="A239" s="4" t="s">
        <v>1970</v>
      </c>
      <c r="B239" s="1" t="s">
        <v>1101</v>
      </c>
      <c r="C239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40">
      <c r="A240" s="4" t="s">
        <v>1971</v>
      </c>
      <c r="B240" s="1" t="s">
        <v>1101</v>
      </c>
      <c r="C240" s="2" t="str">
        <f>HYPERLINK("http://4sq.com/1GjmLUZ","Pizza Pasta by Simon ")</f>
        <v>Pizza Pasta by Simon </v>
      </c>
    </row>
    <row r="241">
      <c r="A241" s="4" t="s">
        <v>1972</v>
      </c>
      <c r="B241" s="1" t="s">
        <v>1101</v>
      </c>
      <c r="C241" s="2" t="str">
        <f>HYPERLINK("http://4sq.com/1uTcCs4","Local Cafe (คาเฟ่บ้านนอก) ")</f>
        <v>Local Cafe (คาเฟ่บ้านนอก) </v>
      </c>
    </row>
    <row r="242">
      <c r="A242" s="4" t="s">
        <v>1973</v>
      </c>
      <c r="B242" s="1" t="s">
        <v>1101</v>
      </c>
      <c r="C242" s="2" t="str">
        <f>HYPERLINK("http://4sq.com/cfY4HC","Siam Commercial Bank (ธนาคารไทยพาณิชย์) ")</f>
        <v>Siam Commercial Bank (ธนาคารไทยพาณิชย์) </v>
      </c>
    </row>
    <row r="243">
      <c r="A243" s="4" t="s">
        <v>1974</v>
      </c>
      <c r="B243" s="1" t="s">
        <v>1101</v>
      </c>
      <c r="C243" s="2" t="str">
        <f>HYPERLINK("http://4sq.com/dwbrHe","The Salad Concept ")</f>
        <v>The Salad Concept </v>
      </c>
    </row>
    <row r="244">
      <c r="A244" s="4" t="s">
        <v>1975</v>
      </c>
      <c r="B244" s="1" t="s">
        <v>1101</v>
      </c>
      <c r="C244" s="2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</row>
    <row r="245">
      <c r="A245" s="4" t="s">
        <v>1976</v>
      </c>
      <c r="B245" s="1" t="s">
        <v>1101</v>
      </c>
      <c r="C245" s="2" t="str">
        <f>HYPERLINK("http://4sq.com/17EOSdj","The Larder Cafe and Bar ")</f>
        <v>The Larder Cafe and Bar </v>
      </c>
    </row>
    <row r="246">
      <c r="A246" s="4" t="s">
        <v>1977</v>
      </c>
      <c r="B246" s="1" t="s">
        <v>1101</v>
      </c>
      <c r="C246" s="2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247">
      <c r="A247" s="4" t="s">
        <v>1978</v>
      </c>
      <c r="B247" s="1" t="s">
        <v>1101</v>
      </c>
      <c r="C247" s="2" t="str">
        <f>HYPERLINK("http://4sq.com/1hVXHYn","and ann coffee ")</f>
        <v>and ann coffee </v>
      </c>
    </row>
    <row r="248">
      <c r="A248" s="4" t="s">
        <v>1979</v>
      </c>
      <c r="B248" s="1" t="s">
        <v>1101</v>
      </c>
      <c r="C248" s="2" t="str">
        <f>HYPERLINK("http://4sq.com/2dySMPy","The Ironwood ")</f>
        <v>The Ironwood </v>
      </c>
    </row>
    <row r="249">
      <c r="A249" s="4" t="s">
        <v>1980</v>
      </c>
      <c r="B249" s="1" t="s">
        <v>1101</v>
      </c>
      <c r="C249" s="2" t="str">
        <f>HYPERLINK("http://4sq.com/2iDiV23","Zombie Cafe ")</f>
        <v>Zombie Cafe </v>
      </c>
    </row>
    <row r="250">
      <c r="A250" s="4" t="s">
        <v>1981</v>
      </c>
      <c r="B250" s="1" t="s">
        <v>1101</v>
      </c>
      <c r="C250" s="2" t="str">
        <f>HYPERLINK("http://4sq.com/1eCpkTQ","MAYA (เมญ่า) ")</f>
        <v>MAYA (เมญ่า) </v>
      </c>
    </row>
    <row r="251">
      <c r="A251" s="4" t="s">
        <v>1982</v>
      </c>
      <c r="B251" s="1" t="s">
        <v>1101</v>
      </c>
      <c r="C251" s="2" t="str">
        <f>HYPERLINK("http://4sq.com/1uTcCs4","Local Cafe (คาเฟ่บ้านนอก) ")</f>
        <v>Local Cafe (คาเฟ่บ้านนอก) </v>
      </c>
    </row>
    <row r="252">
      <c r="A252" s="4" t="s">
        <v>1983</v>
      </c>
      <c r="B252" s="1" t="s">
        <v>1101</v>
      </c>
      <c r="C252" s="2" t="str">
        <f>HYPERLINK("http://4sq.com/cfY4HC","Siam Commercial Bank (ธนาคารไทยพาณิชย์) ")</f>
        <v>Siam Commercial Bank (ธนาคารไทยพาณิชย์) </v>
      </c>
    </row>
    <row r="253">
      <c r="A253" s="4" t="s">
        <v>1984</v>
      </c>
      <c r="B253" s="1" t="s">
        <v>1101</v>
      </c>
      <c r="C253" s="2" t="str">
        <f>HYPERLINK("http://4sq.com/di0WBH","Kasikornbank (ธนาคารกสิกรไทย) ")</f>
        <v>Kasikornbank (ธนาคารกสิกรไทย) </v>
      </c>
    </row>
    <row r="254">
      <c r="A254" s="4" t="s">
        <v>1985</v>
      </c>
      <c r="B254" s="1" t="s">
        <v>1101</v>
      </c>
      <c r="C254" s="2" t="str">
        <f>HYPERLINK("http://4sq.com/1eCpkTQ","MAYA (เมญ่า) ")</f>
        <v>MAYA (เมญ่า) </v>
      </c>
    </row>
    <row r="255">
      <c r="A255" s="4" t="s">
        <v>1986</v>
      </c>
      <c r="B255" s="1" t="s">
        <v>1101</v>
      </c>
      <c r="C255" s="2" t="str">
        <f>HYPERLINK("http://4sq.com/1GjmLUZ","Pizza Pasta by Simon ")</f>
        <v>Pizza Pasta by Simon </v>
      </c>
    </row>
    <row r="256">
      <c r="A256" s="4" t="s">
        <v>1987</v>
      </c>
      <c r="B256" s="1" t="s">
        <v>1101</v>
      </c>
      <c r="C256" s="2" t="str">
        <f>HYPERLINK("http://4sq.com/9Xt3FL","Huay Tueng Tao (ห้วยตึงเฒ่า) ")</f>
        <v>Huay Tueng Tao (ห้วยตึงเฒ่า) </v>
      </c>
    </row>
    <row r="257">
      <c r="A257" s="4" t="s">
        <v>1988</v>
      </c>
      <c r="B257" s="1" t="s">
        <v>1101</v>
      </c>
      <c r="C257" s="2" t="str">
        <f>HYPERLINK("http://4sq.com/1JMJibe","Chiang Mai Immigration One Stop Service ")</f>
        <v>Chiang Mai Immigration One Stop Service </v>
      </c>
    </row>
    <row r="258">
      <c r="A258" s="4" t="s">
        <v>1989</v>
      </c>
      <c r="B258" s="1" t="s">
        <v>1101</v>
      </c>
      <c r="C258" s="2" t="str">
        <f>HYPERLINK("http://4sq.com/I28LVE","Café de Oasis (คาเฟ่ เดอ โอเอซิส) ")</f>
        <v>Café de Oasis (คาเฟ่ เดอ โอเอซิส) </v>
      </c>
    </row>
    <row r="259">
      <c r="A259" s="4" t="s">
        <v>1990</v>
      </c>
      <c r="B259" s="1" t="s">
        <v>1101</v>
      </c>
      <c r="C259" s="2" t="str">
        <f>HYPERLINK("http://4sq.com/dwbrHe","The Salad Concept ")</f>
        <v>The Salad Concept </v>
      </c>
    </row>
    <row r="260">
      <c r="A260" s="4" t="s">
        <v>1991</v>
      </c>
      <c r="B260" s="1" t="s">
        <v>1101</v>
      </c>
      <c r="C260" s="2" t="str">
        <f>HYPERLINK("http://4sq.com/1uTcCs4","Local Cafe (คาเฟ่บ้านนอก) ")</f>
        <v>Local Cafe (คาเฟ่บ้านนอก) </v>
      </c>
    </row>
    <row r="261">
      <c r="A261" s="4" t="s">
        <v>1992</v>
      </c>
      <c r="B261" s="1" t="s">
        <v>1101</v>
      </c>
      <c r="C261" s="2" t="str">
        <f>HYPERLINK("http://4sq.com/cVrVR4","HillSide 3 Condominium ")</f>
        <v>HillSide 3 Condominium </v>
      </c>
    </row>
    <row r="262">
      <c r="A262" s="4" t="s">
        <v>1993</v>
      </c>
      <c r="B262" s="1" t="s">
        <v>1101</v>
      </c>
      <c r="C262" s="2" t="str">
        <f>HYPERLINK("http://4sq.com/2oSWN5L","Is Wheels ")</f>
        <v>Is Wheels </v>
      </c>
    </row>
    <row r="263">
      <c r="A263" s="4" t="s">
        <v>1994</v>
      </c>
      <c r="B263" s="1" t="s">
        <v>1101</v>
      </c>
      <c r="C263" s="2" t="str">
        <f>HYPERLINK("http://4sq.com/1uTcCs4","Local Cafe (คาเฟ่บ้านนอก) ")</f>
        <v>Local Cafe (คาเฟ่บ้านนอก) </v>
      </c>
    </row>
    <row r="264">
      <c r="A264" s="4" t="s">
        <v>1995</v>
      </c>
      <c r="B264" s="1" t="s">
        <v>1101</v>
      </c>
      <c r="C264" s="2" t="str">
        <f>HYPERLINK("http://4sq.com/RVSjq4","Punna Oasis ")</f>
        <v>Punna Oasis </v>
      </c>
    </row>
    <row r="265">
      <c r="A265" s="4" t="s">
        <v>1996</v>
      </c>
      <c r="B265" s="1" t="s">
        <v>1101</v>
      </c>
      <c r="C265" s="2" t="str">
        <f>HYPERLINK("http://4sq.com/1glAL7r","The Duke's ")</f>
        <v>The Duke's </v>
      </c>
    </row>
    <row r="266">
      <c r="A266" s="4" t="s">
        <v>1997</v>
      </c>
      <c r="B266" s="1" t="s">
        <v>1101</v>
      </c>
      <c r="C266" s="2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67">
      <c r="A267" s="4" t="s">
        <v>1998</v>
      </c>
      <c r="B267" s="1" t="s">
        <v>1101</v>
      </c>
      <c r="C267" s="2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268">
      <c r="A268" s="4" t="s">
        <v>1999</v>
      </c>
      <c r="B268" s="1" t="s">
        <v>1101</v>
      </c>
      <c r="C268" s="2" t="str">
        <f>HYPERLINK("http://4sq.com/bkQm2W","ARL Suvarnabhumi (A1) (ARL สุวรรณภูมิ) ")</f>
        <v>ARL Suvarnabhumi (A1) (ARL สุวรรณภูมิ) </v>
      </c>
    </row>
    <row r="269">
      <c r="A269" s="4" t="s">
        <v>2000</v>
      </c>
      <c r="B269" s="1" t="s">
        <v>1101</v>
      </c>
      <c r="C269" s="2" t="str">
        <f>HYPERLINK("http://4sq.com/aCfoyY","The Tavern ")</f>
        <v>The Tavern </v>
      </c>
    </row>
    <row r="270">
      <c r="A270" s="4" t="s">
        <v>2001</v>
      </c>
      <c r="B270" s="1" t="s">
        <v>1101</v>
      </c>
      <c r="C270" s="2" t="str">
        <f>HYPERLINK("http://4sq.com/9lcPb2","Café Tartine (คาเฟ่ ทาร์ทีน) ")</f>
        <v>Café Tartine (คาเฟ่ ทาร์ทีน) </v>
      </c>
    </row>
    <row r="271">
      <c r="A271" s="4" t="s">
        <v>2002</v>
      </c>
      <c r="B271" s="1" t="s">
        <v>1101</v>
      </c>
      <c r="C271" s="2" t="str">
        <f>HYPERLINK("http://4sq.com/Kl2v56","The Game ")</f>
        <v>The Game </v>
      </c>
    </row>
    <row r="272">
      <c r="A272" s="4" t="s">
        <v>2003</v>
      </c>
      <c r="B272" s="1" t="s">
        <v>1101</v>
      </c>
      <c r="C272" s="2" t="str">
        <f>HYPERLINK("http://4sq.com/1OJCwcR","The Mexican Cantina and Comedor ")</f>
        <v>The Mexican Cantina and Comedor </v>
      </c>
    </row>
    <row r="273">
      <c r="A273" s="4" t="s">
        <v>2004</v>
      </c>
      <c r="B273" s="1" t="s">
        <v>1101</v>
      </c>
      <c r="C273" s="2" t="str">
        <f>HYPERLINK("http://4sq.com/1egrGGW","SWAY ")</f>
        <v>SWAY </v>
      </c>
    </row>
    <row r="274">
      <c r="A274" s="4" t="s">
        <v>2005</v>
      </c>
      <c r="B274" s="1" t="s">
        <v>1101</v>
      </c>
      <c r="C274" s="2" t="str">
        <f>HYPERLINK("http://4sq.com/16AbUmG","The Coffee Club (เดอะ คอฟฟี่ คลับ) ")</f>
        <v>The Coffee Club (เดอะ คอฟฟี่ คลับ) </v>
      </c>
    </row>
    <row r="275">
      <c r="A275" s="12" t="s">
        <v>2011</v>
      </c>
      <c r="B275" s="12" t="s">
        <v>1101</v>
      </c>
      <c r="C275" s="13" t="str">
        <f>HYPERLINK("http://4sq.com/aFu7LB","Big C Extra (บิ๊กซี เอ็กซ์ตร้า) ")</f>
        <v>Big C Extra (บิ๊กซี เอ็กซ์ตร้า) </v>
      </c>
    </row>
    <row r="276">
      <c r="A276" s="12" t="s">
        <v>2012</v>
      </c>
      <c r="B276" s="12" t="s">
        <v>1101</v>
      </c>
      <c r="C276" s="13" t="str">
        <f>HYPERLINK("http://4sq.com/ceWYjg","Skytrain Jazz Club ")</f>
        <v>Skytrain Jazz Club </v>
      </c>
    </row>
    <row r="277">
      <c r="A277" s="12" t="s">
        <v>2013</v>
      </c>
      <c r="B277" s="12" t="s">
        <v>1101</v>
      </c>
      <c r="C277" s="13" t="str">
        <f>HYPERLINK("http://4sq.com/iLuTkv","Supapong Condominium ")</f>
        <v>Supapong Condominium </v>
      </c>
    </row>
    <row r="278">
      <c r="A278" s="12" t="s">
        <v>2014</v>
      </c>
      <c r="B278" s="12" t="s">
        <v>1101</v>
      </c>
      <c r="C278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279">
      <c r="A279" s="12" t="s">
        <v>2015</v>
      </c>
      <c r="B279" s="12" t="s">
        <v>1101</v>
      </c>
      <c r="C279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80">
      <c r="A280" s="12" t="s">
        <v>2016</v>
      </c>
      <c r="B280" s="12" t="s">
        <v>1101</v>
      </c>
      <c r="C280" s="13" t="str">
        <f>HYPERLINK("http://4sq.com/1uTcCs4","Local Cafe (คาเฟ่บ้านนอก) ")</f>
        <v>Local Cafe (คาเฟ่บ้านนอก) </v>
      </c>
    </row>
    <row r="281">
      <c r="A281" s="12" t="s">
        <v>2017</v>
      </c>
      <c r="B281" s="12" t="s">
        <v>1101</v>
      </c>
      <c r="C281" s="13" t="str">
        <f>HYPERLINK("http://4sq.com/1GjmLUZ","Pizza Pasta by Simon ")</f>
        <v>Pizza Pasta by Simon </v>
      </c>
    </row>
    <row r="282">
      <c r="A282" s="12" t="s">
        <v>2018</v>
      </c>
      <c r="B282" s="12" t="s">
        <v>1101</v>
      </c>
      <c r="C282" s="13" t="str">
        <f>HYPERLINK("http://4sq.com/2mr4p2V","paw's cafe ")</f>
        <v>paw's cafe </v>
      </c>
    </row>
    <row r="283">
      <c r="A283" s="12" t="s">
        <v>2019</v>
      </c>
      <c r="B283" s="12" t="s">
        <v>1101</v>
      </c>
      <c r="C283" s="13" t="str">
        <f>HYPERLINK("http://4sq.com/12weN37","คาเฟ่ ดินดิน Cafe DinDin ")</f>
        <v>คาเฟ่ ดินดิน Cafe DinDin </v>
      </c>
    </row>
    <row r="284">
      <c r="A284" s="12" t="s">
        <v>2020</v>
      </c>
      <c r="B284" s="12" t="s">
        <v>1101</v>
      </c>
      <c r="C284" s="13" t="str">
        <f>HYPERLINK("http://4sq.com/2bIJz8b","Lamona View Swimming Pool ")</f>
        <v>Lamona View Swimming Pool </v>
      </c>
    </row>
    <row r="285">
      <c r="A285" s="12" t="s">
        <v>2021</v>
      </c>
      <c r="B285" s="12" t="s">
        <v>1101</v>
      </c>
      <c r="C285" s="13" t="str">
        <f>HYPERLINK("http://4sq.com/sEnrif","Cheunjai Coffee, Food &amp; Drinks (กาแฟชื่นใจ) ")</f>
        <v>Cheunjai Coffee, Food &amp; Drinks (กาแฟชื่นใจ) </v>
      </c>
    </row>
    <row r="286">
      <c r="A286" s="12" t="s">
        <v>2022</v>
      </c>
      <c r="B286" s="12" t="s">
        <v>1101</v>
      </c>
      <c r="C286" s="13" t="str">
        <f>HYPERLINK("http://4sq.com/1MMRblc","The Mellowship ")</f>
        <v>The Mellowship </v>
      </c>
    </row>
    <row r="287">
      <c r="A287" s="12" t="s">
        <v>2023</v>
      </c>
      <c r="B287" s="12" t="s">
        <v>1101</v>
      </c>
      <c r="C287" s="13" t="str">
        <f>HYPERLINK("http://4sq.com/1LwwIEn","Let It Be ")</f>
        <v>Let It Be </v>
      </c>
    </row>
    <row r="288">
      <c r="A288" s="12" t="s">
        <v>2024</v>
      </c>
      <c r="B288" s="12" t="s">
        <v>1101</v>
      </c>
      <c r="C288" s="13" t="str">
        <f>HYPERLINK("http://4sq.com/1uTcCs4","Local Cafe (คาเฟ่บ้านนอก) ")</f>
        <v>Local Cafe (คาเฟ่บ้านนอก) </v>
      </c>
    </row>
    <row r="289">
      <c r="A289" s="12" t="s">
        <v>2025</v>
      </c>
      <c r="B289" s="12" t="s">
        <v>1101</v>
      </c>
      <c r="C289" s="13" t="str">
        <f>HYPERLINK("http://4sq.com/12weN37","คาเฟ่ ดินดิน Cafe DinDin ")</f>
        <v>คาเฟ่ ดินดิน Cafe DinDin </v>
      </c>
    </row>
    <row r="290">
      <c r="A290" s="12" t="s">
        <v>2026</v>
      </c>
      <c r="B290" s="12" t="s">
        <v>1101</v>
      </c>
      <c r="C290" s="13" t="str">
        <f>HYPERLINK("http://4sq.com/FPnlXd","Natwat Home Café (ณัฐวัฒน์โฮมคาเฟ่) ")</f>
        <v>Natwat Home Café (ณัฐวัฒน์โฮมคาเฟ่) </v>
      </c>
    </row>
    <row r="291">
      <c r="A291" s="12" t="s">
        <v>2027</v>
      </c>
      <c r="B291" s="12" t="s">
        <v>1101</v>
      </c>
      <c r="C291" s="13" t="str">
        <f>HYPERLINK("http://4sq.com/9kVQ5Z","College of Music (วิทยาลัยดุริยศิลป์) ")</f>
        <v>College of Music (วิทยาลัยดุริยศิลป์) </v>
      </c>
    </row>
    <row r="292">
      <c r="A292" s="12" t="s">
        <v>2028</v>
      </c>
      <c r="B292" s="12" t="s">
        <v>1101</v>
      </c>
      <c r="C292" s="13" t="str">
        <f>HYPERLINK("http://4sq.com/2nhA9b1","Because of Love Cafè (เพาะรัก 24 Hrs) ")</f>
        <v>Because of Love Cafè (เพาะรัก 24 Hrs) </v>
      </c>
    </row>
    <row r="293">
      <c r="A293" s="12" t="s">
        <v>2029</v>
      </c>
      <c r="B293" s="12" t="s">
        <v>1101</v>
      </c>
      <c r="C293" s="13" t="str">
        <f>HYPERLINK("http://4sq.com/1LwwIEn","Let It Be ")</f>
        <v>Let It Be </v>
      </c>
    </row>
    <row r="294">
      <c r="A294" s="12" t="s">
        <v>2030</v>
      </c>
      <c r="B294" s="12" t="s">
        <v>1101</v>
      </c>
      <c r="C294" s="13" t="str">
        <f>HYPERLINK("http://4sq.com/1uTcCs4","Local Cafe (คาเฟ่บ้านนอก) ")</f>
        <v>Local Cafe (คาเฟ่บ้านนอก) </v>
      </c>
    </row>
    <row r="295">
      <c r="A295" s="12" t="s">
        <v>2031</v>
      </c>
      <c r="B295" s="12" t="s">
        <v>1101</v>
      </c>
      <c r="C295" s="13" t="str">
        <f>HYPERLINK("http://4sq.com/1JMJibe","Chiang Mai Immigration One Stop Service ")</f>
        <v>Chiang Mai Immigration One Stop Service </v>
      </c>
    </row>
    <row r="296">
      <c r="A296" s="12" t="s">
        <v>2031</v>
      </c>
      <c r="B296" s="12" t="s">
        <v>1101</v>
      </c>
      <c r="C296" s="13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297">
      <c r="A297" s="12" t="s">
        <v>2032</v>
      </c>
      <c r="B297" s="12" t="s">
        <v>1101</v>
      </c>
      <c r="C297" s="13" t="str">
        <f>HYPERLINK("http://4sq.com/cTCMbh","PTT Jiffy (ปตท.) ")</f>
        <v>PTT Jiffy (ปตท.) </v>
      </c>
    </row>
    <row r="298">
      <c r="A298" s="12" t="s">
        <v>2033</v>
      </c>
      <c r="B298" s="12" t="s">
        <v>1101</v>
      </c>
      <c r="C298" s="13" t="str">
        <f>HYPERLINK("http://4sq.com/1CuEd6p","Tiang Naa (เถียงนา) Coffee and Bakery Farm ")</f>
        <v>Tiang Naa (เถียงนา) Coffee and Bakery Farm </v>
      </c>
    </row>
    <row r="299">
      <c r="A299" s="12" t="s">
        <v>2034</v>
      </c>
      <c r="B299" s="12" t="s">
        <v>1101</v>
      </c>
      <c r="C299" s="13" t="str">
        <f>HYPERLINK("http://4sq.com/blLUqQ","Thai-Myanmar Friendship Bridge (สะพานมิตรภาพไทย-พม่า) ")</f>
        <v>Thai-Myanmar Friendship Bridge (สะพานมิตรภาพไทย-พม่า) </v>
      </c>
    </row>
    <row r="300">
      <c r="A300" s="12" t="s">
        <v>2035</v>
      </c>
      <c r="B300" s="12" t="s">
        <v>1101</v>
      </c>
      <c r="C300" s="13" t="str">
        <f>HYPERLINK("http://4sq.com/e193Gl","Borderline Tea Shop ")</f>
        <v>Borderline Tea Shop </v>
      </c>
    </row>
    <row r="301">
      <c r="A301" s="12" t="s">
        <v>2036</v>
      </c>
      <c r="B301" s="12" t="s">
        <v>1101</v>
      </c>
      <c r="C301" s="13" t="str">
        <f>HYPERLINK("http://4sq.com/fRmKjH","Doi Musoe Market (ตลาดดอยมูเซอ) ")</f>
        <v>Doi Musoe Market (ตลาดดอยมูเซอ) </v>
      </c>
    </row>
    <row r="302">
      <c r="A302" s="12" t="s">
        <v>2037</v>
      </c>
      <c r="B302" s="12" t="s">
        <v>1101</v>
      </c>
      <c r="C302" s="13" t="str">
        <f>HYPERLINK("http://4sq.com/a7Db5V","สะพานสมโภชกรุงรัตนโกสินทร์ 200 ปี ")</f>
        <v>สะพานสมโภชกรุงรัตนโกสินทร์ 200 ปี </v>
      </c>
    </row>
    <row r="303">
      <c r="A303" s="12" t="s">
        <v>2038</v>
      </c>
      <c r="B303" s="12" t="s">
        <v>1101</v>
      </c>
      <c r="C303" s="13" t="str">
        <f>HYPERLINK("http://4sq.com/1sL1bRN","Tak Treehouse ")</f>
        <v>Tak Treehouse </v>
      </c>
    </row>
    <row r="304">
      <c r="A304" s="12" t="s">
        <v>2039</v>
      </c>
      <c r="B304" s="12" t="s">
        <v>1101</v>
      </c>
      <c r="C304" s="13" t="str">
        <f>HYPERLINK("http://4sq.com/1uTcCs4","Local Cafe (คาเฟ่บ้านนอก) ")</f>
        <v>Local Cafe (คาเฟ่บ้านนอก) </v>
      </c>
    </row>
    <row r="305">
      <c r="A305" s="12" t="s">
        <v>2040</v>
      </c>
      <c r="B305" s="12" t="s">
        <v>1101</v>
      </c>
      <c r="C305" s="13" t="str">
        <f>HYPERLINK("http://4sq.com/a3WF57","Pizza Mania ")</f>
        <v>Pizza Mania </v>
      </c>
    </row>
    <row r="306">
      <c r="A306" s="12" t="s">
        <v>2041</v>
      </c>
      <c r="B306" s="12" t="s">
        <v>1101</v>
      </c>
      <c r="C306" s="13" t="str">
        <f>HYPERLINK("http://4sq.com/amzSVo","Rimping Supermarket (ริมปิง) ")</f>
        <v>Rimping Supermarket (ริมปิง) </v>
      </c>
    </row>
    <row r="307">
      <c r="A307" s="12" t="s">
        <v>2042</v>
      </c>
      <c r="B307" s="12" t="s">
        <v>1101</v>
      </c>
      <c r="C307" s="13" t="str">
        <f>HYPERLINK("http://4sq.com/fHcaB9","Coffee Bus (คอฟฟี่บัส) ")</f>
        <v>Coffee Bus (คอฟฟี่บัส) </v>
      </c>
    </row>
    <row r="308">
      <c r="A308" s="12" t="s">
        <v>2043</v>
      </c>
      <c r="B308" s="12" t="s">
        <v>1101</v>
      </c>
      <c r="C308" s="13" t="str">
        <f>HYPERLINK("http://4sq.com/p8J1iG","ไปรษณีย์แม่ริม Post office ")</f>
        <v>ไปรษณีย์แม่ริม Post office </v>
      </c>
    </row>
    <row r="309">
      <c r="A309" s="12" t="s">
        <v>2044</v>
      </c>
      <c r="B309" s="12" t="s">
        <v>1101</v>
      </c>
      <c r="C309" s="13" t="str">
        <f>HYPERLINK("http://4sq.com/1uTcCs4","Local Cafe (คาเฟ่บ้านนอก) ")</f>
        <v>Local Cafe (คาเฟ่บ้านนอก) </v>
      </c>
    </row>
    <row r="310">
      <c r="A310" s="12" t="s">
        <v>2045</v>
      </c>
      <c r="B310" s="12" t="s">
        <v>1101</v>
      </c>
      <c r="C310" s="13" t="str">
        <f>HYPERLINK("http://4sq.com/2oUubue","Hidden village ")</f>
        <v>Hidden village </v>
      </c>
    </row>
    <row r="311">
      <c r="A311" s="12" t="s">
        <v>2046</v>
      </c>
      <c r="B311" s="12" t="s">
        <v>1101</v>
      </c>
      <c r="C311" s="13" t="str">
        <f>HYPERLINK("http://4sq.com/2tj6Ech","อุ้มกะต๋องVintage Barn ")</f>
        <v>อุ้มกะต๋องVintage Barn </v>
      </c>
    </row>
    <row r="312">
      <c r="A312" s="12" t="s">
        <v>2047</v>
      </c>
      <c r="B312" s="12" t="s">
        <v>1101</v>
      </c>
      <c r="C312" s="13" t="str">
        <f>HYPERLINK("http://4sq.com/batEOn","Chiangmai International Convention Center (ศูนย์ประชุมและแสดงสินค้านานาชาติฯ) ")</f>
        <v>Chiangmai International Convention Center (ศูนย์ประชุมและแสดงสินค้านานาชาติฯ) </v>
      </c>
    </row>
    <row r="313">
      <c r="A313" s="12" t="s">
        <v>2048</v>
      </c>
      <c r="B313" s="12" t="s">
        <v>1101</v>
      </c>
      <c r="C313" s="13" t="str">
        <f>HYPERLINK("http://4sq.com/cDbPYP","Ton Nam Pla Pao (ต้นน้ำปลาเผา) ")</f>
        <v>Ton Nam Pla Pao (ต้นน้ำปลาเผา) </v>
      </c>
    </row>
    <row r="314">
      <c r="A314" s="12" t="s">
        <v>2049</v>
      </c>
      <c r="B314" s="12" t="s">
        <v>1101</v>
      </c>
      <c r="C314" s="13" t="str">
        <f>HYPERLINK("http://4sq.com/sEnrif","Cheunjai Coffee, Food &amp; Drinks (กาแฟชื่นใจ) ")</f>
        <v>Cheunjai Coffee, Food &amp; Drinks (กาแฟชื่นใจ) </v>
      </c>
    </row>
    <row r="315">
      <c r="A315" s="12" t="s">
        <v>2050</v>
      </c>
      <c r="B315" s="12" t="s">
        <v>1101</v>
      </c>
      <c r="C315" s="13" t="str">
        <f>HYPERLINK("http://4sq.com/2tkbsgp","หมูจุ่มฮิปสเตอร์ แม่ริม ")</f>
        <v>หมูจุ่มฮิปสเตอร์ แม่ริม </v>
      </c>
    </row>
    <row r="316">
      <c r="A316" s="12" t="s">
        <v>2051</v>
      </c>
      <c r="B316" s="12" t="s">
        <v>1101</v>
      </c>
      <c r="C316" s="13" t="str">
        <f>HYPERLINK("http://4sq.com/1glAL7r","The Duke's ")</f>
        <v>The Duke's </v>
      </c>
    </row>
    <row r="317">
      <c r="A317" s="12" t="s">
        <v>2052</v>
      </c>
      <c r="B317" s="12" t="s">
        <v>1101</v>
      </c>
      <c r="C317" s="13" t="str">
        <f>HYPERLINK("http://4sq.com/uU597b","Baa Baa Black Cafe ")</f>
        <v>Baa Baa Black Cafe </v>
      </c>
    </row>
    <row r="318">
      <c r="A318" s="12" t="s">
        <v>2053</v>
      </c>
      <c r="B318" s="12" t="s">
        <v>1101</v>
      </c>
      <c r="C318" s="13" t="str">
        <f>HYPERLINK("http://4sq.com/1KzFYHb","Paddy &amp; Rose ")</f>
        <v>Paddy &amp; Rose </v>
      </c>
    </row>
    <row r="319">
      <c r="A319" s="12" t="s">
        <v>2054</v>
      </c>
      <c r="B319" s="12" t="s">
        <v>1101</v>
      </c>
      <c r="C319" s="13" t="str">
        <f>HYPERLINK("http://4sq.com/1LwwIEn","Let It Be ")</f>
        <v>Let It Be </v>
      </c>
    </row>
    <row r="320">
      <c r="A320" s="12" t="s">
        <v>2055</v>
      </c>
      <c r="B320" s="12"/>
      <c r="C320" s="13" t="str">
        <f>HYPERLINK("http://4sq.com/2seIOdR","Ai Sushi The One Place สันผีเสื้อ ")</f>
        <v>Ai Sushi The One Place สันผีเสื้อ </v>
      </c>
    </row>
    <row r="321">
      <c r="A321" s="12" t="s">
        <v>2056</v>
      </c>
      <c r="B321" s="12"/>
      <c r="C321" s="13" t="str">
        <f>HYPERLINK("http://4sq.com/1uTcCs4","Local Cafe (คาเฟ่บ้านนอก) ")</f>
        <v>Local Cafe (คาเฟ่บ้านนอก) </v>
      </c>
    </row>
    <row r="322">
      <c r="A322" s="12" t="s">
        <v>2057</v>
      </c>
      <c r="B322" s="12"/>
      <c r="C322" s="13" t="str">
        <f>HYPERLINK("http://4sq.com/2ku7jyQ","mercato wine bar &amp; eatery ")</f>
        <v>mercato wine bar &amp; eatery </v>
      </c>
    </row>
    <row r="323">
      <c r="A323" s="12" t="s">
        <v>2058</v>
      </c>
      <c r="B323" s="12"/>
      <c r="C323" s="13" t="str">
        <f t="shared" ref="C323:C324" si="3">HYPERLINK("http://4sq.com/1U9Ec2j","honda active riding chiang mai ")</f>
        <v>honda active riding chiang mai </v>
      </c>
    </row>
    <row r="324">
      <c r="A324" s="12" t="s">
        <v>2059</v>
      </c>
      <c r="B324" s="12"/>
      <c r="C324" s="13" t="str">
        <f t="shared" si="3"/>
        <v>honda active riding chiang mai </v>
      </c>
    </row>
    <row r="325">
      <c r="A325" s="12" t="s">
        <v>2060</v>
      </c>
      <c r="B325" s="12"/>
      <c r="C325" s="13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</row>
    <row r="326">
      <c r="A326" s="12" t="s">
        <v>2061</v>
      </c>
      <c r="B326" s="12"/>
      <c r="C326" s="13" t="str">
        <f>HYPERLINK("http://4sq.com/1uTcCs4","Local Cafe (คาเฟ่บ้านนอก) ")</f>
        <v>Local Cafe (คาเฟ่บ้านนอก) </v>
      </c>
    </row>
    <row r="327">
      <c r="A327" s="12" t="s">
        <v>2062</v>
      </c>
      <c r="B327" s="12"/>
      <c r="C327" s="13" t="str">
        <f>HYPERLINK("http://4sq.com/cQhc0X","Chiang Mai University Art Museum (หอนิทรรศการศิลปวัฒนธรรม มหาวิทยาลัยเชียงใหม่) ")</f>
        <v>Chiang Mai University Art Museum (หอนิทรรศการศิลปวัฒนธรรม มหาวิทยาลัยเชียงใหม่) </v>
      </c>
    </row>
    <row r="328">
      <c r="A328" s="12" t="s">
        <v>2063</v>
      </c>
      <c r="B328" s="12"/>
      <c r="C328" s="13" t="str">
        <f>HYPERLINK("http://4sq.com/eKeNJG","Krisdadoi Resort Chiang Mai ")</f>
        <v>Krisdadoi Resort Chiang Mai </v>
      </c>
    </row>
    <row r="329">
      <c r="A329" s="12" t="s">
        <v>2064</v>
      </c>
      <c r="B329" s="12"/>
      <c r="C329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30">
      <c r="A330" s="12" t="s">
        <v>2065</v>
      </c>
      <c r="B330" s="12"/>
      <c r="C330" s="13" t="str">
        <f>HYPERLINK("http://4sq.com/aHavM2","Felix River Kwai Resort (โรงแรมเฟลิกซ์ ริเวอร์แคว รีสอร์ท) ")</f>
        <v>Felix River Kwai Resort (โรงแรมเฟลิกซ์ ริเวอร์แคว รีสอร์ท) </v>
      </c>
    </row>
    <row r="331">
      <c r="A331" s="12" t="s">
        <v>2066</v>
      </c>
      <c r="B331" s="12"/>
      <c r="C331" s="13" t="str">
        <f>HYPERLINK("http://4sq.com/bkWyb7","Dheva Mantra Resort &amp; Spa (เทวมันตร์ทรา) ")</f>
        <v>Dheva Mantra Resort &amp; Spa (เทวมันตร์ทรา) </v>
      </c>
    </row>
    <row r="332">
      <c r="A332" s="12" t="s">
        <v>2067</v>
      </c>
      <c r="B332" s="12"/>
      <c r="C332" s="13" t="str">
        <f>HYPERLINK("http://4sq.com/1A2U38b","Srifa Coffee ")</f>
        <v>Srifa Coffee </v>
      </c>
    </row>
    <row r="333">
      <c r="A333" s="12" t="s">
        <v>2068</v>
      </c>
      <c r="B333" s="12"/>
      <c r="C333" s="13" t="str">
        <f>HYPERLINK("http://4sq.com/bw8l5h","Novotel Bangkok on Siam Square (โรงแรมโนโวเทลกรุงเทพ สยามสแควร์) ")</f>
        <v>Novotel Bangkok on Siam Square (โรงแรมโนโวเทลกรุงเทพ สยามสแควร์) </v>
      </c>
    </row>
    <row r="334">
      <c r="A334" s="12" t="s">
        <v>2069</v>
      </c>
      <c r="B334" s="12"/>
      <c r="C334" s="13" t="str">
        <f>HYPERLINK("http://4sq.com/6Opet3","Ramathibodi Hospital (โรงพยาบาลรามาธิบดี) ")</f>
        <v>Ramathibodi Hospital (โรงพยาบาลรามาธิบดี) </v>
      </c>
    </row>
    <row r="335">
      <c r="A335" s="12" t="s">
        <v>2070</v>
      </c>
      <c r="B335" s="12"/>
      <c r="C335" s="13" t="str">
        <f>HYPERLINK("http://4sq.com/6faMgT","Siam Paragon (สยามพารากอน) ")</f>
        <v>Siam Paragon (สยามพารากอน) </v>
      </c>
    </row>
    <row r="336">
      <c r="A336" s="12" t="s">
        <v>2070</v>
      </c>
      <c r="B336" s="12"/>
      <c r="C336" s="13" t="str">
        <f>HYPERLINK("http://4sq.com/2nNSyZJ","IHOP ")</f>
        <v>IHOP </v>
      </c>
    </row>
    <row r="337">
      <c r="A337" s="12" t="s">
        <v>2071</v>
      </c>
      <c r="B337" s="12"/>
      <c r="C337" s="13" t="str">
        <f>HYPERLINK("http://4sq.com/1ETWCI9","EmQuartier (เอ็มควอเทียร์) ")</f>
        <v>EmQuartier (เอ็มควอเทียร์) </v>
      </c>
    </row>
    <row r="338">
      <c r="A338" s="12" t="s">
        <v>2072</v>
      </c>
      <c r="B338" s="12"/>
      <c r="C338" s="13" t="str">
        <f>HYPERLINK("http://4sq.com/8FoGI4","Grand Hyatt Erawan Bangkok ")</f>
        <v>Grand Hyatt Erawan Bangkok </v>
      </c>
    </row>
    <row r="339">
      <c r="A339" s="12" t="s">
        <v>2073</v>
      </c>
      <c r="B339" s="12"/>
      <c r="C339" s="13" t="str">
        <f>HYPERLINK("http://4sq.com/MifImD","The Coffee Club (เดอะคอฟฟี่คลับ) ")</f>
        <v>The Coffee Club (เดอะคอฟฟี่คลับ) </v>
      </c>
    </row>
    <row r="340">
      <c r="A340" s="12" t="s">
        <v>2074</v>
      </c>
      <c r="B340" s="12"/>
      <c r="C340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41">
      <c r="A341" s="12" t="s">
        <v>2075</v>
      </c>
      <c r="B341" s="12"/>
      <c r="C341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42">
      <c r="A342" s="12" t="s">
        <v>2076</v>
      </c>
      <c r="B342" s="12"/>
      <c r="C342" s="13" t="str">
        <f>HYPERLINK("http://4sq.com/sEnrif","Cheunjai Coffee, Food &amp; Drinks (กาแฟชื่นใจ) ")</f>
        <v>Cheunjai Coffee, Food &amp; Drinks (กาแฟชื่นใจ) </v>
      </c>
    </row>
    <row r="343">
      <c r="A343" s="12" t="s">
        <v>2077</v>
      </c>
      <c r="B343" s="12"/>
      <c r="C343" s="13" t="str">
        <f>HYPERLINK("http://4sq.com/1uTcCs4","Local Cafe (คาเฟ่บ้านนอก) ")</f>
        <v>Local Cafe (คาเฟ่บ้านนอก) </v>
      </c>
    </row>
    <row r="344">
      <c r="A344" s="12" t="s">
        <v>2078</v>
      </c>
      <c r="B344" s="12"/>
      <c r="C344" s="13" t="str">
        <f>HYPERLINK("http://4sq.com/nbQ3ST","Blue Café by Coffee Blue (บลูคาเฟ่) ")</f>
        <v>Blue Café by Coffee Blue (บลูคาเฟ่) </v>
      </c>
    </row>
    <row r="345">
      <c r="A345" s="12" t="s">
        <v>2079</v>
      </c>
      <c r="B345" s="12"/>
      <c r="C345" s="13" t="str">
        <f>HYPERLINK("http://4sq.com/12weN37","คาเฟ่ ดินดิน Cafe DinDin ")</f>
        <v>คาเฟ่ ดินดิน Cafe DinDin </v>
      </c>
    </row>
    <row r="346">
      <c r="A346" s="12" t="s">
        <v>2080</v>
      </c>
      <c r="B346" s="12"/>
      <c r="C346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47">
      <c r="A347" s="12" t="s">
        <v>2081</v>
      </c>
      <c r="B347" s="12"/>
      <c r="C347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48">
      <c r="A348" s="12" t="s">
        <v>2082</v>
      </c>
      <c r="B348" s="12"/>
      <c r="C348" s="13" t="str">
        <f>HYPERLINK("http://4sq.com/gxrioV","Wat Chai Chimplee (วัดชัยฉิมพลี) ")</f>
        <v>Wat Chai Chimplee (วัดชัยฉิมพลี) </v>
      </c>
    </row>
    <row r="349">
      <c r="A349" s="12" t="s">
        <v>2083</v>
      </c>
      <c r="B349" s="12"/>
      <c r="C349" s="13" t="str">
        <f>HYPERLINK("http://4sq.com/1MhDLe0","Starbucks (สตาร์บัคส์) ")</f>
        <v>Starbucks (สตาร์บัคส์) </v>
      </c>
    </row>
    <row r="350">
      <c r="A350" s="12" t="s">
        <v>2084</v>
      </c>
      <c r="B350" s="12"/>
      <c r="C350" s="13" t="str">
        <f>HYPERLINK("http://4sq.com/ilBoui","พุทธมณฑลสาย1 ซอยอยู่เย็น ")</f>
        <v>พุทธมณฑลสาย1 ซอยอยู่เย็น </v>
      </c>
    </row>
    <row r="351">
      <c r="A351" s="12" t="s">
        <v>2085</v>
      </c>
      <c r="B351" s="12"/>
      <c r="C351" s="13" t="str">
        <f>HYPERLINK("http://4sq.com/14irLoU","The Crystal SB Ratchapruek (เดอะ คริสตัล เอสบี ราชพฤกษ์) ")</f>
        <v>The Crystal SB Ratchapruek (เดอะ คริสตัล เอสบี ราชพฤกษ์) </v>
      </c>
    </row>
    <row r="352">
      <c r="A352" s="12" t="s">
        <v>2086</v>
      </c>
      <c r="B352" s="12"/>
      <c r="C352" s="13" t="str">
        <f>HYPERLINK("http://4sq.com/1y8qgsq","on the table (ออน เดอะ เทเบิล) ")</f>
        <v>on the table (ออน เดอะ เทเบิล) </v>
      </c>
    </row>
    <row r="353">
      <c r="A353" s="12" t="s">
        <v>2087</v>
      </c>
      <c r="B353" s="12"/>
      <c r="C353" s="13" t="str">
        <f>HYPERLINK("http://4sq.com/ivSEGq","14 resort ")</f>
        <v>14 resort </v>
      </c>
    </row>
    <row r="354">
      <c r="A354" s="12" t="s">
        <v>2088</v>
      </c>
      <c r="B354" s="12"/>
      <c r="C354" s="13" t="str">
        <f>HYPERLINK("http://4sq.com/gxrioV","Wat Chai Chimplee (วัดชัยฉิมพลี) ")</f>
        <v>Wat Chai Chimplee (วัดชัยฉิมพลี) </v>
      </c>
    </row>
    <row r="355">
      <c r="A355" s="12" t="s">
        <v>2089</v>
      </c>
      <c r="B355" s="12"/>
      <c r="C355" s="13" t="str">
        <f>HYPERLINK("http://4sq.com/2iPKeHJ","Morning Me ")</f>
        <v>Morning Me </v>
      </c>
    </row>
    <row r="356">
      <c r="A356" s="12" t="s">
        <v>2090</v>
      </c>
      <c r="B356" s="12"/>
      <c r="C356" s="13" t="str">
        <f>HYPERLINK("http://4sq.com/elBlNT","ท่าเรือจรินทร์ ")</f>
        <v>ท่าเรือจรินทร์ </v>
      </c>
    </row>
    <row r="357">
      <c r="A357" s="12" t="s">
        <v>2091</v>
      </c>
      <c r="B357" s="12"/>
      <c r="C357" s="13" t="str">
        <f>HYPERLINK("http://4sq.com/dg1on8","Koh Sichang (เกาะสีชัง) ")</f>
        <v>Koh Sichang (เกาะสีชัง) </v>
      </c>
    </row>
    <row r="358">
      <c r="A358" s="12" t="s">
        <v>2092</v>
      </c>
      <c r="B358" s="12"/>
      <c r="C358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359">
      <c r="A359" s="12" t="s">
        <v>2093</v>
      </c>
      <c r="B359" s="12"/>
      <c r="C359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60">
      <c r="A360" s="12" t="s">
        <v>2094</v>
      </c>
      <c r="B360" s="12"/>
      <c r="C360" s="13" t="str">
        <f>HYPERLINK("http://4sq.com/o3ZEdO","See Paak Restaurant ")</f>
        <v>See Paak Restaurant </v>
      </c>
    </row>
    <row r="361">
      <c r="A361" s="12" t="s">
        <v>2095</v>
      </c>
      <c r="B361" s="12"/>
      <c r="C361" s="13" t="str">
        <f>HYPERLINK("http://4sq.com/1D3TV7V","CAiNiTO ")</f>
        <v>CAiNiTO </v>
      </c>
    </row>
    <row r="362">
      <c r="A362" s="12" t="s">
        <v>2096</v>
      </c>
      <c r="B362" s="12"/>
      <c r="C362" s="13" t="str">
        <f>HYPERLINK("http://4sq.com/1uTcCs4","Local Cafe (คาเฟ่บ้านนอก) ")</f>
        <v>Local Cafe (คาเฟ่บ้านนอก) </v>
      </c>
    </row>
    <row r="363">
      <c r="A363" s="12" t="s">
        <v>2097</v>
      </c>
      <c r="B363" s="12"/>
      <c r="C363" s="13" t="str">
        <f>HYPERLINK("http://4sq.com/1K2l4NI","Teak Table (ทีค เทเบิล) ")</f>
        <v>Teak Table (ทีค เทเบิล) </v>
      </c>
    </row>
    <row r="364">
      <c r="A364" s="12" t="s">
        <v>2098</v>
      </c>
      <c r="B364" s="12"/>
      <c r="C364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65">
      <c r="A365" s="12" t="s">
        <v>2099</v>
      </c>
      <c r="B365" s="12"/>
      <c r="C365" s="13" t="str">
        <f>HYPERLINK("http://4sq.com/o3ZEdO","See Paak Restaurant ")</f>
        <v>See Paak Restaurant </v>
      </c>
    </row>
    <row r="366">
      <c r="A366" s="12" t="s">
        <v>2100</v>
      </c>
      <c r="B366" s="12"/>
      <c r="C366" s="13" t="str">
        <f>HYPERLINK("http://4sq.com/fQXta4","Maerim Market (ตลาดแม่ริม) ")</f>
        <v>Maerim Market (ตลาดแม่ริม) </v>
      </c>
    </row>
    <row r="367">
      <c r="A367" s="12" t="s">
        <v>2101</v>
      </c>
      <c r="B367" s="12"/>
      <c r="C367" s="13" t="str">
        <f>HYPERLINK("http://4sq.com/18dSsNn","Oh Ka Ju Organic Salad &amp; Coffee (โอ้กะจู๋) ")</f>
        <v>Oh Ka Ju Organic Salad &amp; Coffee (โอ้กะจู๋) 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2" t="s">
        <v>2102</v>
      </c>
      <c r="B1" s="12"/>
      <c r="C1" s="13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2" t="s">
        <v>2103</v>
      </c>
      <c r="B2" s="12"/>
      <c r="C2" s="13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  <c r="F2" s="14" t="str">
        <f t="shared" ref="F2:H2" si="1">INDEX(A:C, RANDBETWEEN(1, ROWS(2:117)), RANDBETWEEN(1, COLUMNS(C:C)))</f>
        <v>February 14, 2018 at 04:24PM</v>
      </c>
      <c r="G2" s="8" t="str">
        <f t="shared" si="1"/>
        <v/>
      </c>
      <c r="H2" s="10" t="str">
        <f t="shared" si="1"/>
        <v>Café Kantary (คาเฟ่ แคนทารี่) </v>
      </c>
      <c r="I2" s="11" t="str">
        <f t="array" ref="I2">INDEX(C:C, RANDBETWEEN(1, ROWS(1:116)), RANDBETWEEN(1, COLUMNS(C:C)))</f>
        <v>Let It Be </v>
      </c>
      <c r="J2" s="8" t="str">
        <f>CONCATENATE(F2," ",H2)</f>
        <v>February 14, 2018 at 04:24PM Café Kantary (คาเฟ่ แคนทารี่) </v>
      </c>
    </row>
    <row r="3">
      <c r="A3" s="12" t="s">
        <v>2104</v>
      </c>
      <c r="B3" s="12"/>
      <c r="C3" s="13" t="str">
        <f>HYPERLINK("http://4sq.com/b5BzeX","Le Méridien Chiang Mai ")</f>
        <v>Le Méridien Chiang Mai </v>
      </c>
    </row>
    <row r="4">
      <c r="A4" s="12" t="s">
        <v>2105</v>
      </c>
      <c r="B4" s="12"/>
      <c r="C4" s="13" t="str">
        <f>HYPERLINK("http://4sq.com/2CzoF6p","Purple Rain ")</f>
        <v>Purple Rain </v>
      </c>
    </row>
    <row r="5">
      <c r="A5" s="12" t="s">
        <v>2106</v>
      </c>
      <c r="B5" s="12"/>
      <c r="C5" s="13" t="str">
        <f>HYPERLINK("http://4sq.com/eyWoZ2","Wild Boar Bar ")</f>
        <v>Wild Boar Bar </v>
      </c>
    </row>
    <row r="6">
      <c r="A6" s="12" t="s">
        <v>2107</v>
      </c>
      <c r="B6" s="12"/>
      <c r="C6" s="13" t="str">
        <f>HYPERLINK("http://4sq.com/1COeHbX","The Salad Concept ")</f>
        <v>The Salad Concept </v>
      </c>
    </row>
    <row r="7">
      <c r="A7" s="12" t="s">
        <v>2108</v>
      </c>
      <c r="B7" s="12"/>
      <c r="C7" s="13" t="str">
        <f>HYPERLINK("http://4sq.com/cfsIcy","Deck1 (เดค วัน) ")</f>
        <v>Deck1 (เดค วัน) </v>
      </c>
    </row>
    <row r="8">
      <c r="A8" s="12" t="s">
        <v>2109</v>
      </c>
      <c r="B8" s="12"/>
      <c r="C8" s="13" t="str">
        <f>HYPERLINK("http://4sq.com/1oGPJsX","บ้านงามแสงเดือน @แม่ริม ")</f>
        <v>บ้านงามแสงเดือน @แม่ริม </v>
      </c>
    </row>
    <row r="9">
      <c r="A9" s="12" t="s">
        <v>2110</v>
      </c>
      <c r="B9" s="12"/>
      <c r="C9" s="13" t="str">
        <f>HYPERLINK("http://4sq.com/o3ZEdO","See Paak Restaurant ")</f>
        <v>See Paak Restaurant </v>
      </c>
    </row>
    <row r="10">
      <c r="A10" s="12" t="s">
        <v>2111</v>
      </c>
      <c r="B10" s="12"/>
      <c r="C10" s="13" t="str">
        <f>HYPERLINK("http://4sq.com/cIVBTv","Tita Gallery ")</f>
        <v>Tita Gallery </v>
      </c>
    </row>
    <row r="11">
      <c r="A11" s="12" t="s">
        <v>2112</v>
      </c>
      <c r="B11" s="12"/>
      <c r="C11" s="13" t="str">
        <f>HYPERLINK("http://4sq.com/1hVXHYn","and ann coffee ")</f>
        <v>and ann coffee </v>
      </c>
    </row>
    <row r="12">
      <c r="A12" s="12" t="s">
        <v>2113</v>
      </c>
      <c r="B12" s="12"/>
      <c r="C12" s="13" t="str">
        <f>HYPERLINK("http://4sq.com/1qmeXs8","The First Residents &amp; Cafe' ")</f>
        <v>The First Residents &amp; Cafe' </v>
      </c>
    </row>
    <row r="13">
      <c r="A13" s="12" t="s">
        <v>2114</v>
      </c>
      <c r="B13" s="12"/>
      <c r="C13" s="13" t="str">
        <f>HYPERLINK("http://4sq.com/9hH8Er","Kamtiang Market (ตลาดคำเที่ยง) ")</f>
        <v>Kamtiang Market (ตลาดคำเที่ยง) </v>
      </c>
    </row>
    <row r="14">
      <c r="A14" s="12" t="s">
        <v>2115</v>
      </c>
      <c r="B14" s="12"/>
      <c r="C14" s="13" t="str">
        <f>HYPERLINK("http://4sq.com/96C3Ox","Mae Sa Waterfall (น้ำตกแม่สา) ")</f>
        <v>Mae Sa Waterfall (น้ำตกแม่สา) </v>
      </c>
    </row>
    <row r="15">
      <c r="A15" s="12" t="s">
        <v>2116</v>
      </c>
      <c r="B15" s="12"/>
      <c r="C15" s="13" t="str">
        <f>HYPERLINK("http://4sq.com/1uTcCs4","Local Cafe (คาเฟ่บ้านนอก) ")</f>
        <v>Local Cafe (คาเฟ่บ้านนอก) </v>
      </c>
    </row>
    <row r="16">
      <c r="A16" s="12" t="s">
        <v>2117</v>
      </c>
      <c r="B16" s="12"/>
      <c r="C16" s="13" t="str">
        <f>HYPERLINK("http://4sq.com/2jop4RN","Lamour​ Cafe​ ")</f>
        <v>Lamour​ Cafe​ </v>
      </c>
    </row>
    <row r="17">
      <c r="A17" s="12" t="s">
        <v>2118</v>
      </c>
      <c r="B17" s="12"/>
      <c r="C17" s="13" t="str">
        <f>HYPERLINK("http://4sq.com/2yNytMG","อนุสาวรีย์สมเด็จพระนเรศวร ทุ่งยั้งทัพ ")</f>
        <v>อนุสาวรีย์สมเด็จพระนเรศวร ทุ่งยั้งทัพ </v>
      </c>
    </row>
    <row r="18">
      <c r="A18" s="12" t="s">
        <v>2119</v>
      </c>
      <c r="B18" s="12"/>
      <c r="C18" s="13" t="str">
        <f>HYPERLINK("http://4sq.com/I28LVE","Café de Oasis (คาเฟ่ เดอ โอเอซิส) ")</f>
        <v>Café de Oasis (คาเฟ่ เดอ โอเอซิส) </v>
      </c>
    </row>
    <row r="19">
      <c r="A19" s="12" t="s">
        <v>2120</v>
      </c>
      <c r="B19" s="12"/>
      <c r="C19" s="13" t="str">
        <f>HYPERLINK("http://4sq.com/1MGHxNq","ระเบียง ณ แม่ริม ")</f>
        <v>ระเบียง ณ แม่ริม </v>
      </c>
    </row>
    <row r="20">
      <c r="A20" s="12" t="s">
        <v>2121</v>
      </c>
      <c r="B20" s="12"/>
      <c r="C20" s="13" t="str">
        <f>HYPERLINK("http://4sq.com/2k6nHGk","Cafe de JJ ")</f>
        <v>Cafe de JJ </v>
      </c>
    </row>
    <row r="21">
      <c r="A21" s="12" t="s">
        <v>2122</v>
      </c>
      <c r="B21" s="12"/>
      <c r="C21" s="13" t="str">
        <f>HYPERLINK("http://4sq.com/1fbuSWi","Ka-Fe-Vi-No ")</f>
        <v>Ka-Fe-Vi-No </v>
      </c>
    </row>
    <row r="22">
      <c r="A22" s="12" t="s">
        <v>2123</v>
      </c>
      <c r="B22" s="12"/>
      <c r="C22" s="13" t="str">
        <f>HYPERLINK("http://4sq.com/1OPSxLj","Cube No.7 ")</f>
        <v>Cube No.7 </v>
      </c>
    </row>
    <row r="23">
      <c r="A23" s="12" t="s">
        <v>2124</v>
      </c>
      <c r="B23" s="12"/>
      <c r="C23" s="13" t="str">
        <f>HYPERLINK("http://4sq.com/2zeHJZK","PTT Maerim ")</f>
        <v>PTT Maerim </v>
      </c>
    </row>
    <row r="24">
      <c r="A24" s="12" t="s">
        <v>2125</v>
      </c>
      <c r="B24" s="12"/>
      <c r="C24" s="13" t="str">
        <f>HYPERLINK("http://4sq.com/hlzEe4","Café Kantary (คาเฟ่ แคนทารี่) ")</f>
        <v>Café Kantary (คาเฟ่ แคนทารี่) </v>
      </c>
    </row>
    <row r="25">
      <c r="A25" s="12" t="s">
        <v>2126</v>
      </c>
      <c r="B25" s="12"/>
      <c r="C25" s="13" t="str">
        <f>HYPERLINK("http://4sq.com/o3ZEdO","See Paak Restaurant ")</f>
        <v>See Paak Restaurant </v>
      </c>
    </row>
    <row r="26">
      <c r="A26" s="12" t="s">
        <v>2127</v>
      </c>
      <c r="B26" s="12"/>
      <c r="C26" s="13" t="str">
        <f>HYPERLINK("http://4sq.com/15vcS6A","Panyaden School Meeting Room ")</f>
        <v>Panyaden School Meeting Room </v>
      </c>
    </row>
    <row r="27">
      <c r="A27" s="12" t="s">
        <v>2128</v>
      </c>
      <c r="B27" s="12"/>
      <c r="C27" s="13" t="str">
        <f>HYPERLINK("http://4sq.com/vR2jCG","Baan-Suan-Ka-Fé (บ้านสวนกาแฟ) ")</f>
        <v>Baan-Suan-Ka-Fé (บ้านสวนกาแฟ) </v>
      </c>
    </row>
    <row r="28">
      <c r="A28" s="12" t="s">
        <v>2129</v>
      </c>
      <c r="B28" s="12"/>
      <c r="C28" s="13" t="str">
        <f>HYPERLINK("http://4sq.com/1LwwIEn","Let It Be ")</f>
        <v>Let It Be </v>
      </c>
    </row>
    <row r="29">
      <c r="A29" s="12" t="s">
        <v>2130</v>
      </c>
      <c r="B29" s="12"/>
      <c r="C29" s="13" t="str">
        <f>HYPERLINK("http://4sq.com/dwbrHe","The Salad Concept ")</f>
        <v>The Salad Concept </v>
      </c>
    </row>
    <row r="30">
      <c r="A30" s="12" t="s">
        <v>2131</v>
      </c>
      <c r="B30" s="12"/>
      <c r="C30" s="13" t="str">
        <f>HYPERLINK("http://4sq.com/1uTcCs4","Local Cafe (คาเฟ่บ้านนอก) ")</f>
        <v>Local Cafe (คาเฟ่บ้านนอก) </v>
      </c>
    </row>
    <row r="31">
      <c r="A31" s="12" t="s">
        <v>2132</v>
      </c>
      <c r="B31" s="12"/>
      <c r="C31" s="13" t="str">
        <f>HYPERLINK("http://4sq.com/aUycgs","Baan Rai Yarm Yen (บ้านไร่ยามเย็น) ")</f>
        <v>Baan Rai Yarm Yen (บ้านไร่ยามเย็น) </v>
      </c>
    </row>
    <row r="32">
      <c r="A32" s="12" t="s">
        <v>2133</v>
      </c>
      <c r="B32" s="12"/>
      <c r="C32" s="13" t="str">
        <f>HYPERLINK("http://4sq.com/b5BzeX","Le Méridien Chiang Mai ")</f>
        <v>Le Méridien Chiang Mai </v>
      </c>
    </row>
    <row r="33">
      <c r="A33" s="12" t="s">
        <v>2134</v>
      </c>
      <c r="B33" s="12"/>
      <c r="C33" s="13" t="str">
        <f>HYPERLINK("http://4sq.com/1WDg4UA","Thapae East (ท่าแพ อีสต์) ")</f>
        <v>Thapae East (ท่าแพ อีสต์) </v>
      </c>
    </row>
    <row r="34">
      <c r="A34" s="12" t="s">
        <v>2135</v>
      </c>
      <c r="B34" s="12"/>
      <c r="C34" s="13" t="str">
        <f>HYPERLINK("http://4sq.com/ewh1Pv","Pop Car Rent 1985 ")</f>
        <v>Pop Car Rent 1985 </v>
      </c>
    </row>
    <row r="35">
      <c r="A35" s="12" t="s">
        <v>2136</v>
      </c>
      <c r="B35" s="12"/>
      <c r="C35" s="13" t="str">
        <f>HYPERLINK("http://4sq.com/abPeFc","Ginger &amp; Kafé ")</f>
        <v>Ginger &amp; Kafé </v>
      </c>
    </row>
    <row r="36">
      <c r="A36" s="12" t="s">
        <v>2137</v>
      </c>
      <c r="B36" s="12"/>
      <c r="C36" s="13" t="str">
        <f>HYPERLINK("http://4sq.com/shWecj","Road View Coffee ")</f>
        <v>Road View Coffee </v>
      </c>
    </row>
    <row r="37">
      <c r="A37" s="12" t="s">
        <v>2138</v>
      </c>
      <c r="B37" s="12"/>
      <c r="C37" s="13" t="str">
        <f>HYPERLINK("http://4sq.com/c7ahVZ","Pai Nai Fun (ปายในฝัน) ")</f>
        <v>Pai Nai Fun (ปายในฝัน) </v>
      </c>
    </row>
    <row r="38">
      <c r="A38" s="12" t="s">
        <v>2139</v>
      </c>
      <c r="B38" s="12"/>
      <c r="C38" s="13" t="str">
        <f>HYPERLINK("http://4sq.com/XphqRU","Cafecito (คาเฟซิโต้) ")</f>
        <v>Cafecito (คาเฟซิโต้) </v>
      </c>
    </row>
    <row r="39">
      <c r="A39" s="12" t="s">
        <v>2140</v>
      </c>
      <c r="B39" s="12"/>
      <c r="C39" s="13" t="str">
        <f>HYPERLINK("http://4sq.com/du7RqO","Buffalo Bar ")</f>
        <v>Buffalo Bar </v>
      </c>
    </row>
    <row r="40">
      <c r="A40" s="12" t="s">
        <v>2141</v>
      </c>
      <c r="B40" s="12"/>
      <c r="C40" s="13" t="str">
        <f>HYPERLINK("http://4sq.com/a38yNX","Yellow Sun ")</f>
        <v>Yellow Sun </v>
      </c>
    </row>
    <row r="41">
      <c r="A41" s="12" t="s">
        <v>2142</v>
      </c>
      <c r="B41" s="12"/>
      <c r="C41" s="13" t="str">
        <f>HYPERLINK("http://4sq.com/XphqRU","Cafecito (คาเฟซิโต้) ")</f>
        <v>Cafecito (คาเฟซิโต้) </v>
      </c>
    </row>
    <row r="42">
      <c r="A42" s="12" t="s">
        <v>2143</v>
      </c>
      <c r="B42" s="12"/>
      <c r="C42" s="13" t="str">
        <f>HYPERLINK("http://4sq.com/2mG25Bl","a taste of joy ")</f>
        <v>a taste of joy </v>
      </c>
    </row>
    <row r="43">
      <c r="A43" s="12" t="s">
        <v>2144</v>
      </c>
      <c r="B43" s="12"/>
      <c r="C43" s="13" t="str">
        <f>HYPERLINK("http://4sq.com/fE9CsB","Breeze of Pai Guesthouse ")</f>
        <v>Breeze of Pai Guesthouse </v>
      </c>
    </row>
    <row r="44">
      <c r="A44" s="12" t="s">
        <v>2145</v>
      </c>
      <c r="B44" s="12"/>
      <c r="C44" s="13" t="str">
        <f>HYPERLINK("http://4sq.com/1IMMFP9","Family house @ Pai ")</f>
        <v>Family house @ Pai </v>
      </c>
    </row>
    <row r="45">
      <c r="A45" s="12" t="s">
        <v>2146</v>
      </c>
      <c r="B45" s="12"/>
      <c r="C45" s="13" t="str">
        <f>HYPERLINK("http://4sq.com/1rdehGs","Top5cafe food&amp;drink ")</f>
        <v>Top5cafe food&amp;drink </v>
      </c>
    </row>
    <row r="46">
      <c r="A46" s="12" t="s">
        <v>2147</v>
      </c>
      <c r="B46" s="12"/>
      <c r="C46" s="13" t="str">
        <f>HYPERLINK("http://4sq.com/14wSu3B","เมืองน้อย ")</f>
        <v>เมืองน้อย </v>
      </c>
    </row>
    <row r="47">
      <c r="A47" s="12" t="s">
        <v>2148</v>
      </c>
      <c r="B47" s="12"/>
      <c r="C47" s="13" t="str">
        <f>HYPERLINK("http://4sq.com/1dTgWSD","CMVG Misty Sunrise ")</f>
        <v>CMVG Misty Sunrise </v>
      </c>
    </row>
    <row r="48">
      <c r="A48" s="12" t="s">
        <v>2149</v>
      </c>
      <c r="B48" s="12"/>
      <c r="C48" s="13" t="str">
        <f>HYPERLINK("http://4sq.com/Ydy4Vy","ร้านพี่คำป่าง พี่หน่อ (ถ้ำลอด ปางมะผ้า) ")</f>
        <v>ร้านพี่คำป่าง พี่หน่อ (ถ้ำลอด ปางมะผ้า) </v>
      </c>
    </row>
    <row r="49">
      <c r="A49" s="12" t="s">
        <v>2150</v>
      </c>
      <c r="B49" s="12"/>
      <c r="C49" s="13" t="str">
        <f>HYPERLINK("http://4sq.com/93vSbH","Pang Ma Pha Cave Lod (ถ้ำลอดปางมะผ้า) ")</f>
        <v>Pang Ma Pha Cave Lod (ถ้ำลอดปางมะผ้า) </v>
      </c>
    </row>
    <row r="50">
      <c r="A50" s="12" t="s">
        <v>2151</v>
      </c>
      <c r="B50" s="12"/>
      <c r="C50" s="13" t="str">
        <f>HYPERLINK("http://4sq.com/aWduYM","PTT (ปตท.) ")</f>
        <v>PTT (ปตท.) </v>
      </c>
    </row>
    <row r="51">
      <c r="A51" s="12" t="s">
        <v>2152</v>
      </c>
      <c r="B51" s="12"/>
      <c r="C51" s="13" t="str">
        <f>HYPERLINK("http://4sq.com/15xOUS4","Cafe De Pai ")</f>
        <v>Cafe De Pai </v>
      </c>
    </row>
    <row r="52">
      <c r="A52" s="12" t="s">
        <v>2153</v>
      </c>
      <c r="B52" s="12"/>
      <c r="C52" s="13" t="str">
        <f>HYPERLINK("http://4sq.com/9GHVBl","Khaotha Coffee (เข้าท่ากาแฟ) ")</f>
        <v>Khaotha Coffee (เข้าท่ากาแฟ) </v>
      </c>
    </row>
    <row r="53">
      <c r="A53" s="12" t="s">
        <v>2154</v>
      </c>
      <c r="B53" s="12"/>
      <c r="C53" s="13" t="str">
        <f>HYPERLINK("http://4sq.com/12JZOTi","Street Pizza Wood Fired Oven ")</f>
        <v>Street Pizza Wood Fired Oven </v>
      </c>
    </row>
    <row r="54">
      <c r="A54" s="12" t="s">
        <v>2155</v>
      </c>
      <c r="B54" s="12"/>
      <c r="C54" s="13" t="str">
        <f>HYPERLINK("http://4sq.com/dc0ZyP","Chiangmai Ram Hospital (โรงพยาบาลเชียงใหม่ ราม) ")</f>
        <v>Chiangmai Ram Hospital (โรงพยาบาลเชียงใหม่ ราม) </v>
      </c>
    </row>
    <row r="55">
      <c r="A55" s="12" t="s">
        <v>2156</v>
      </c>
      <c r="B55" s="12"/>
      <c r="C55" s="13" t="str">
        <f>HYPERLINK("http://4sq.com/2mPvdHF","CMR Complex ")</f>
        <v>CMR Complex </v>
      </c>
    </row>
    <row r="56">
      <c r="A56" s="12" t="s">
        <v>2157</v>
      </c>
      <c r="B56" s="12"/>
      <c r="C56" s="13" t="str">
        <f>HYPERLINK("http://4sq.com/1fbuSWi","Ka-Fe-Vi-No ")</f>
        <v>Ka-Fe-Vi-No </v>
      </c>
    </row>
    <row r="57">
      <c r="A57" s="12" t="s">
        <v>2158</v>
      </c>
      <c r="B57" s="12"/>
      <c r="C57" s="13" t="str">
        <f>HYPERLINK("http://4sq.com/1LwwIEn","Let It Be ")</f>
        <v>Let It Be </v>
      </c>
    </row>
    <row r="58">
      <c r="A58" s="12" t="s">
        <v>2159</v>
      </c>
      <c r="B58" s="12"/>
      <c r="C58" s="13" t="str">
        <f>HYPERLINK("http://4sq.com/1uTcCs4","Local Cafe (คาเฟ่บ้านนอก) ")</f>
        <v>Local Cafe (คาเฟ่บ้านนอก) </v>
      </c>
    </row>
    <row r="59">
      <c r="A59" s="12" t="s">
        <v>2160</v>
      </c>
      <c r="B59" s="12"/>
      <c r="C59" s="13" t="str">
        <f>HYPERLINK("http://4sq.com/1rCQT2C","Tiger Ted Café (ไทเกอร์ เท็ด คาเฟ่) ")</f>
        <v>Tiger Ted Café (ไทเกอร์ เท็ด คาเฟ่) </v>
      </c>
    </row>
    <row r="60">
      <c r="A60" s="12" t="s">
        <v>2161</v>
      </c>
      <c r="B60" s="12"/>
      <c r="C60" s="13" t="str">
        <f>HYPERLINK("http://4sq.com/1glAL7r","The Duke's ")</f>
        <v>The Duke's </v>
      </c>
    </row>
    <row r="61">
      <c r="A61" s="12" t="s">
        <v>2162</v>
      </c>
      <c r="B61" s="12"/>
      <c r="C61" s="13" t="str">
        <f>HYPERLINK("http://4sq.com/1MfAShl","ห้องประชุมจิตติมา ")</f>
        <v>ห้องประชุมจิตติมา </v>
      </c>
    </row>
    <row r="62">
      <c r="A62" s="12" t="s">
        <v>2163</v>
      </c>
      <c r="B62" s="12" t="s">
        <v>2164</v>
      </c>
      <c r="C62" s="13" t="str">
        <f>HYPERLINK("http://4sq.com/2CgJsj3","NARIT AstroPark ")</f>
        <v>NARIT AstroPark </v>
      </c>
    </row>
    <row r="63">
      <c r="A63" s="12" t="s">
        <v>2165</v>
      </c>
      <c r="B63" s="12"/>
      <c r="C63" s="13" t="str">
        <f>HYPERLINK("http://foursquare.com/v/55f54d5d498e033e39afc453","Black Canyon (แบล็คแคนยอน) ")</f>
        <v>Black Canyon (แบล็คแคนยอน) </v>
      </c>
    </row>
    <row r="64">
      <c r="A64" s="12" t="s">
        <v>2166</v>
      </c>
      <c r="B64" s="12"/>
      <c r="C64" s="13" t="str">
        <f>HYPERLINK("http://4sq.com/jHc7Qb","ศูนย์สินค้าเกษตรภาคเหนือ เชียงใหม่ ")</f>
        <v>ศูนย์สินค้าเกษตรภาคเหนือ เชียงใหม่ </v>
      </c>
    </row>
    <row r="65">
      <c r="A65" s="12" t="s">
        <v>2167</v>
      </c>
      <c r="B65" s="12"/>
      <c r="C65" s="13" t="str">
        <f>HYPERLINK("http://4sq.com/i1s857","สำนักงานจัดหางาน คุ้มครองคนหางานและการทำงานของคนต่างด้าว Chiang Mai Employment Office (Foreign Labor Section) ")</f>
        <v>สำนักงานจัดหางาน คุ้มครองคนหางานและการทำงานของคนต่างด้าว Chiang Mai Employment Office (Foreign Labor Section) </v>
      </c>
    </row>
    <row r="66">
      <c r="A66" s="12" t="s">
        <v>2168</v>
      </c>
      <c r="B66" s="12"/>
      <c r="C66" s="13" t="str">
        <f>HYPERLINK("http://4sq.com/1uTcCs4","Local Cafe (คาเฟ่บ้านนอก) ")</f>
        <v>Local Cafe (คาเฟ่บ้านนอก) </v>
      </c>
    </row>
    <row r="67">
      <c r="A67" s="12" t="s">
        <v>2169</v>
      </c>
      <c r="B67" s="12"/>
      <c r="C67" s="13" t="str">
        <f>HYPERLINK("http://4sq.com/2zJP5B9","ครัวคำหวาน ")</f>
        <v>ครัวคำหวาน </v>
      </c>
    </row>
    <row r="68">
      <c r="A68" s="12" t="s">
        <v>2170</v>
      </c>
      <c r="B68" s="12"/>
      <c r="C68" s="13" t="str">
        <f>HYPERLINK("http://4sq.com/iWulG2","fortune dental clinic ")</f>
        <v>fortune dental clinic </v>
      </c>
    </row>
    <row r="69">
      <c r="A69" s="12" t="s">
        <v>2171</v>
      </c>
      <c r="B69" s="12"/>
      <c r="C69" s="13" t="str">
        <f>HYPERLINK("http://4sq.com/2jop4RN","Lamour​ Cafe​ ")</f>
        <v>Lamour​ Cafe​ </v>
      </c>
    </row>
    <row r="70">
      <c r="A70" s="12" t="s">
        <v>2172</v>
      </c>
      <c r="B70" s="12"/>
      <c r="C70" s="13" t="str">
        <f>HYPERLINK("http://4sq.com/1MkbF74","Black Canyon (แบล็คแคนยอน) ")</f>
        <v>Black Canyon (แบล็คแคนยอน) </v>
      </c>
    </row>
    <row r="71">
      <c r="A71" s="12" t="s">
        <v>2173</v>
      </c>
      <c r="B71" s="12"/>
      <c r="C71" s="13" t="str">
        <f>HYPERLINK("http://4sq.com/1hVXHYn","and ann coffee ")</f>
        <v>and ann coffee </v>
      </c>
    </row>
    <row r="72">
      <c r="A72" s="12" t="s">
        <v>2174</v>
      </c>
      <c r="B72" s="12"/>
      <c r="C72" s="13" t="str">
        <f>HYPERLINK("http://4sq.com/1LwwIEn","Let It Be ")</f>
        <v>Let It Be </v>
      </c>
    </row>
    <row r="73">
      <c r="A73" s="12" t="s">
        <v>2175</v>
      </c>
      <c r="B73" s="12"/>
      <c r="C73" s="13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</row>
    <row r="74">
      <c r="A74" s="12" t="s">
        <v>2176</v>
      </c>
      <c r="B74" s="12"/>
      <c r="C74" s="13" t="str">
        <f>HYPERLINK("http://4sq.com/1MkbF74","Black Canyon (แบล็คแคนยอน) ")</f>
        <v>Black Canyon (แบล็คแคนยอน) </v>
      </c>
    </row>
    <row r="75">
      <c r="A75" s="12" t="s">
        <v>2177</v>
      </c>
      <c r="B75" s="12"/>
      <c r="C75" s="13" t="str">
        <f>HYPERLINK("http://4sq.com/1dHOYY4","Pizzeria Giotto ")</f>
        <v>Pizzeria Giotto </v>
      </c>
    </row>
    <row r="76">
      <c r="A76" s="12" t="s">
        <v>2178</v>
      </c>
      <c r="B76" s="12"/>
      <c r="C76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77">
      <c r="A77" s="12" t="s">
        <v>2179</v>
      </c>
      <c r="B77" s="12"/>
      <c r="C77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78">
      <c r="A78" s="12" t="s">
        <v>2180</v>
      </c>
      <c r="B78" s="12"/>
      <c r="C78" s="13" t="str">
        <f>HYPERLINK("http://4sq.com/2bkxLqW","Mercure Bangkok Makkasan ")</f>
        <v>Mercure Bangkok Makkasan </v>
      </c>
    </row>
    <row r="79">
      <c r="A79" s="12" t="s">
        <v>2181</v>
      </c>
      <c r="B79" s="12"/>
      <c r="C79" s="13" t="str">
        <f>HYPERLINK("http://4sq.com/avD1vr","Baiyoke Sky Hotel ")</f>
        <v>Baiyoke Sky Hotel </v>
      </c>
    </row>
    <row r="80">
      <c r="A80" s="12" t="s">
        <v>2182</v>
      </c>
      <c r="B80" s="12"/>
      <c r="C80" s="13" t="str">
        <f>HYPERLINK("http://4sq.com/1YFofUS","Fruit Buffet ")</f>
        <v>Fruit Buffet </v>
      </c>
    </row>
    <row r="81">
      <c r="A81" s="12" t="s">
        <v>2183</v>
      </c>
      <c r="B81" s="12"/>
      <c r="C81" s="13" t="str">
        <f>HYPERLINK("http://4sq.com/7s8FlU","TK park (อุทยานการเรียนรู้) ")</f>
        <v>TK park (อุทยานการเรียนรู้) </v>
      </c>
    </row>
    <row r="82">
      <c r="A82" s="12" t="s">
        <v>2184</v>
      </c>
      <c r="B82" s="12"/>
      <c r="C82" s="13" t="str">
        <f>HYPERLINK("http://4sq.com/9Na5LW","Bangkok Bus Terminal (Eastern) (สถานีขนส่งผู้โดยสารกรุงเทพ (เอกมัย)) ")</f>
        <v>Bangkok Bus Terminal (Eastern) (สถานีขนส่งผู้โดยสารกรุงเทพ (เอกมัย)) </v>
      </c>
    </row>
    <row r="83">
      <c r="A83" s="12" t="s">
        <v>2185</v>
      </c>
      <c r="B83" s="12"/>
      <c r="C83" s="13" t="str">
        <f>HYPERLINK("http://4sq.com/bNuR0g","Laemtong Bangsaen (แหลมทองบางแสน) ")</f>
        <v>Laemtong Bangsaen (แหลมทองบางแสน) </v>
      </c>
    </row>
    <row r="84">
      <c r="A84" s="12" t="s">
        <v>2186</v>
      </c>
      <c r="B84" s="12"/>
      <c r="C84" s="13" t="str">
        <f>HYPERLINK("http://4sq.com/cS4JDA","Khao Sam Muk (เขาสามมุข) ")</f>
        <v>Khao Sam Muk (เขาสามมุข) </v>
      </c>
    </row>
    <row r="85">
      <c r="A85" s="12" t="s">
        <v>2187</v>
      </c>
      <c r="B85" s="12"/>
      <c r="C85" s="13" t="str">
        <f>HYPERLINK("http://4sq.com/1rnZfSI","Hippo cafe &amp; restaurant ")</f>
        <v>Hippo cafe &amp; restaurant </v>
      </c>
    </row>
    <row r="86">
      <c r="A86" s="12" t="s">
        <v>2188</v>
      </c>
      <c r="B86" s="12"/>
      <c r="C86" s="13" t="str">
        <f>HYPERLINK("http://4sq.com/2vfPVah","Benito ")</f>
        <v>Benito </v>
      </c>
    </row>
    <row r="87">
      <c r="A87" s="12" t="s">
        <v>2189</v>
      </c>
      <c r="B87" s="12"/>
      <c r="C87" s="13" t="str">
        <f>HYPERLINK("http://4sq.com/1Dq7W1B","Cafe Coco ")</f>
        <v>Cafe Coco </v>
      </c>
    </row>
    <row r="88">
      <c r="A88" s="12" t="s">
        <v>2190</v>
      </c>
      <c r="B88" s="12"/>
      <c r="C88" s="13" t="str">
        <f>HYPERLINK("http://4sq.com/miNcZw","Mountainview village ")</f>
        <v>Mountainview village </v>
      </c>
    </row>
    <row r="89">
      <c r="A89" s="12" t="s">
        <v>2191</v>
      </c>
      <c r="B89" s="12"/>
      <c r="C89" s="13" t="str">
        <f>HYPERLINK("http://4sq.com/1oKnupc","The Phyll (เดอะฟิลล์) ")</f>
        <v>The Phyll (เดอะฟิลล์) </v>
      </c>
    </row>
    <row r="90">
      <c r="A90" s="12" t="s">
        <v>2192</v>
      </c>
      <c r="B90" s="12"/>
      <c r="C90" s="13" t="str">
        <f>HYPERLINK("http://4sq.com/5aVtdK","BTS On Nut (E9) (BTS อ่อนนุช) ")</f>
        <v>BTS On Nut (E9) (BTS อ่อนนุช) </v>
      </c>
    </row>
    <row r="91">
      <c r="A91" s="12" t="s">
        <v>2193</v>
      </c>
      <c r="B91" s="12"/>
      <c r="C91" s="13" t="str">
        <f>HYPERLINK("http://4sq.com/8Vx7JM","Centara Grand at CentralWorld ")</f>
        <v>Centara Grand at CentralWorld </v>
      </c>
    </row>
    <row r="92">
      <c r="A92" s="12" t="s">
        <v>2194</v>
      </c>
      <c r="B92" s="12"/>
      <c r="C92" s="13" t="str">
        <f>HYPERLINK("http://4sq.com/59YV7W","CentralWorld (เซ็นทรัลเวิลด์) ")</f>
        <v>CentralWorld (เซ็นทรัลเวิลด์) </v>
      </c>
    </row>
    <row r="93">
      <c r="A93" s="12" t="s">
        <v>2195</v>
      </c>
      <c r="B93" s="12"/>
      <c r="C93" s="13" t="str">
        <f>HYPERLINK("http://4sq.com/1reyf4P","coffee world (คอฟฟี่เวิร์ล) ")</f>
        <v>coffee world (คอฟฟี่เวิร์ล) </v>
      </c>
    </row>
    <row r="94">
      <c r="A94" s="12" t="s">
        <v>2196</v>
      </c>
      <c r="B94" s="12"/>
      <c r="C94" s="13" t="str">
        <f>HYPERLINK("http://4sq.com/2imjIWn","OOTOYA (โอโตยะ) ")</f>
        <v>OOTOYA (โอโตยะ) </v>
      </c>
    </row>
    <row r="95">
      <c r="A95" s="12" t="s">
        <v>2197</v>
      </c>
      <c r="B95" s="12"/>
      <c r="C95" s="13" t="str">
        <f>HYPERLINK("http://4sq.com/pyxzjL","El Diablo's Burritos ")</f>
        <v>El Diablo's Burritos </v>
      </c>
    </row>
    <row r="96">
      <c r="A96" s="12" t="s">
        <v>2198</v>
      </c>
      <c r="B96" s="12"/>
      <c r="C96" s="13" t="str">
        <f>HYPERLINK("http://4sq.com/1SgkrBb","TOM N TOMS (ทัม แอนด์ ทัมส์) ")</f>
        <v>TOM N TOMS (ทัม แอนด์ ทัมส์) </v>
      </c>
    </row>
    <row r="97">
      <c r="A97" s="12" t="s">
        <v>2199</v>
      </c>
      <c r="B97" s="12"/>
      <c r="C97" s="13" t="str">
        <f>HYPERLINK("http://4sq.com/cU7tIJ","Terminal21 (เทอร์มินอล ทเวนตี้วัน) ")</f>
        <v>Terminal21 (เทอร์มินอล ทเวนตี้วัน) </v>
      </c>
    </row>
    <row r="98">
      <c r="A98" s="12" t="s">
        <v>2200</v>
      </c>
      <c r="B98" s="12"/>
      <c r="C98" s="13" t="str">
        <f>HYPERLINK("http://4sq.com/qTDHw2","Starbucks (สตาร์บัคส์) ")</f>
        <v>Starbucks (สตาร์บัคส์) </v>
      </c>
    </row>
    <row r="99">
      <c r="A99" s="12" t="s">
        <v>2201</v>
      </c>
      <c r="B99" s="12"/>
      <c r="C99" s="13" t="str">
        <f>HYPERLINK("http://4sq.com/2inorFr","Hotel Amaze Bangkok ")</f>
        <v>Hotel Amaze Bangkok </v>
      </c>
    </row>
    <row r="100">
      <c r="A100" s="12" t="s">
        <v>2202</v>
      </c>
      <c r="B100" s="12"/>
      <c r="C100" s="13" t="str">
        <f>HYPERLINK("http://4sq.com/2pTX8Ld","ibis Styles Bangkok Sukhumvit Phra Khanong ")</f>
        <v>ibis Styles Bangkok Sukhumvit Phra Khanong </v>
      </c>
    </row>
    <row r="101">
      <c r="A101" s="12" t="s">
        <v>2203</v>
      </c>
      <c r="B101" s="12"/>
      <c r="C101" s="13" t="str">
        <f>HYPERLINK("http://4sq.com/5gnRsF","MBK Center (เอ็ม บี เค เซ็นเตอร์) ")</f>
        <v>MBK Center (เอ็ม บี เค เซ็นเตอร์) </v>
      </c>
    </row>
    <row r="102">
      <c r="A102" s="12" t="s">
        <v>2204</v>
      </c>
      <c r="B102" s="12"/>
      <c r="C102" s="13" t="str">
        <f>HYPERLINK("http://4sq.com/54yMlj","Suntowers ")</f>
        <v>Suntowers </v>
      </c>
    </row>
    <row r="103">
      <c r="A103" s="12" t="s">
        <v>2205</v>
      </c>
      <c r="B103" s="12"/>
      <c r="C103" s="13" t="str">
        <f>HYPERLINK("http://4sq.com/nTluGY","Terminal 2 (อาคาร 2) ")</f>
        <v>Terminal 2 (อาคาร 2) </v>
      </c>
    </row>
    <row r="104">
      <c r="A104" s="12" t="s">
        <v>2206</v>
      </c>
      <c r="B104" s="12"/>
      <c r="C104" s="13" t="str">
        <f>HYPERLINK("http://4sq.com/1LwwIEn","Let It Be ")</f>
        <v>Let It Be </v>
      </c>
    </row>
    <row r="105">
      <c r="A105" s="12" t="s">
        <v>2207</v>
      </c>
      <c r="B105" s="12"/>
      <c r="C105" s="13" t="str">
        <f>HYPERLINK("http://4sq.com/2zeHJZK","PTT Maerim ")</f>
        <v>PTT Maerim </v>
      </c>
    </row>
    <row r="106">
      <c r="A106" s="12" t="s">
        <v>2208</v>
      </c>
      <c r="B106" s="12"/>
      <c r="C106" s="13" t="str">
        <f>HYPERLINK("http://4sq.com/1CSACjK","หยัด บาร์เบอร์ ")</f>
        <v>หยัด บาร์เบอร์ </v>
      </c>
    </row>
    <row r="107">
      <c r="A107" s="12" t="s">
        <v>2209</v>
      </c>
      <c r="B107" s="12"/>
      <c r="C107" s="13" t="str">
        <f>HYPERLINK("http://4sq.com/2n5LsTI","One Nimman (วันนิมมาน) ")</f>
        <v>One Nimman (วันนิมมาน) </v>
      </c>
    </row>
    <row r="108">
      <c r="A108" s="12" t="s">
        <v>2210</v>
      </c>
      <c r="B108" s="12"/>
      <c r="C108" s="13" t="str">
        <f>HYPERLINK("http://4sq.com/dc0ZyP","Chiangmai Ram Hospital (โรงพยาบาลเชียงใหม่ ราม) ")</f>
        <v>Chiangmai Ram Hospital (โรงพยาบาลเชียงใหม่ ราม) </v>
      </c>
    </row>
    <row r="109">
      <c r="A109" s="12" t="s">
        <v>2211</v>
      </c>
      <c r="B109" s="12"/>
      <c r="C109" s="13" t="str">
        <f>HYPERLINK("http://4sq.com/2nYZcMa","TUBE TREK WATER PARK CHIANGMAI ")</f>
        <v>TUBE TREK WATER PARK CHIANGMAI </v>
      </c>
    </row>
    <row r="110">
      <c r="A110" s="12" t="s">
        <v>2212</v>
      </c>
      <c r="B110" s="12"/>
      <c r="C110" s="13" t="str">
        <f>HYPERLINK("http://4sq.com/1BMvmPX","Gusto Site (กัสโต้ ไซต์) ")</f>
        <v>Gusto Site (กัสโต้ ไซต์) </v>
      </c>
    </row>
    <row r="111">
      <c r="A111" s="12" t="s">
        <v>2213</v>
      </c>
      <c r="B111" s="12"/>
      <c r="C111" s="13" t="str">
        <f>HYPERLINK("http://4sq.com/o3ZEdO","See Paak Restaurant ")</f>
        <v>See Paak Restaurant </v>
      </c>
    </row>
    <row r="112">
      <c r="A112" s="12" t="s">
        <v>2214</v>
      </c>
      <c r="B112" s="12"/>
      <c r="C112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13">
      <c r="A113" s="12" t="s">
        <v>2215</v>
      </c>
      <c r="B113" s="12"/>
      <c r="C113" s="13" t="str">
        <f>HYPERLINK("http://4sq.com/nTluGY","Terminal 2 (อาคาร 2) ")</f>
        <v>Terminal 2 (อาคาร 2) </v>
      </c>
    </row>
    <row r="114">
      <c r="A114" s="12" t="s">
        <v>2216</v>
      </c>
      <c r="B114" s="12"/>
      <c r="C114" s="13" t="str">
        <f>HYPERLINK("http://4sq.com/87MjqZ","Union Mall (ยูเนี่ยน มอลล์) ")</f>
        <v>Union Mall (ยูเนี่ยน มอลล์) </v>
      </c>
    </row>
    <row r="115">
      <c r="A115" s="12" t="s">
        <v>2217</v>
      </c>
      <c r="B115" s="12"/>
      <c r="C115" s="13" t="str">
        <f>HYPERLINK("http://4sq.com/1c6mSXq","White Balance Bakery ")</f>
        <v>White Balance Bakery </v>
      </c>
    </row>
    <row r="116">
      <c r="A116" s="12" t="s">
        <v>2218</v>
      </c>
      <c r="B116" s="12"/>
      <c r="C116" s="13" t="str">
        <f>HYPERLINK("http://4sq.com/Mf3paA","ร้านกินสบาย ")</f>
        <v>ร้านกินสบาย </v>
      </c>
    </row>
    <row r="117">
      <c r="A117" s="12" t="s">
        <v>2219</v>
      </c>
      <c r="B117" s="12"/>
      <c r="C117" s="13" t="str">
        <f>HYPERLINK("http://4sq.com/Tis8JR","Domestic Departures ")</f>
        <v>Domestic Departures </v>
      </c>
    </row>
    <row r="118">
      <c r="A118" s="12" t="s">
        <v>2220</v>
      </c>
      <c r="B118" s="12"/>
      <c r="C118" s="13" t="str">
        <f>HYPERLINK("http://4sq.com/gjpIFT","Ranong Airport (UNN) (ท่าอากาศยานระนอง) ")</f>
        <v>Ranong Airport (UNN) (ท่าอากาศยานระนอง) </v>
      </c>
    </row>
    <row r="119">
      <c r="A119" s="12" t="s">
        <v>2221</v>
      </c>
      <c r="B119" s="12"/>
      <c r="C119" s="13" t="str">
        <f>HYPERLINK("http://4sq.com/1ubUQzI","NAVA ANDAMAN ")</f>
        <v>NAVA ANDAMAN </v>
      </c>
    </row>
    <row r="120">
      <c r="A120" s="12" t="s">
        <v>2222</v>
      </c>
      <c r="B120" s="12"/>
      <c r="C120" s="13" t="str">
        <f>HYPERLINK("http://4sq.com/djGumF","Koh Payam Pier (ท่าเรือเกาะพยาม) ")</f>
        <v>Koh Payam Pier (ท่าเรือเกาะพยาม) </v>
      </c>
    </row>
    <row r="121">
      <c r="A121" s="12" t="s">
        <v>2223</v>
      </c>
      <c r="B121" s="12"/>
      <c r="C121" s="13" t="str">
        <f t="shared" ref="C121:C123" si="2">HYPERLINK("http://4sq.com/IRcFd5","Lazy Hut ")</f>
        <v>Lazy Hut </v>
      </c>
    </row>
    <row r="122">
      <c r="A122" s="12" t="s">
        <v>2224</v>
      </c>
      <c r="B122" s="12"/>
      <c r="C122" s="13" t="str">
        <f t="shared" si="2"/>
        <v>Lazy Hut </v>
      </c>
    </row>
    <row r="123">
      <c r="A123" s="12" t="s">
        <v>2225</v>
      </c>
      <c r="B123" s="12"/>
      <c r="C123" s="13" t="str">
        <f t="shared" si="2"/>
        <v>Lazy Hut </v>
      </c>
    </row>
    <row r="124">
      <c r="A124" s="12" t="s">
        <v>2226</v>
      </c>
      <c r="B124" s="12"/>
      <c r="C124" s="13" t="str">
        <f>HYPERLINK("http://4sq.com/1cuy2Po","Green Beach Hut ")</f>
        <v>Green Beach Hut </v>
      </c>
    </row>
    <row r="125">
      <c r="A125" s="12" t="s">
        <v>2227</v>
      </c>
      <c r="B125" s="12"/>
      <c r="C125" s="13" t="str">
        <f>HYPERLINK("https://4sq.com/2Hn2OCJ","Flower Power Village ")</f>
        <v>Flower Power Village </v>
      </c>
    </row>
    <row r="126">
      <c r="A126" s="12" t="s">
        <v>2228</v>
      </c>
      <c r="B126" s="12"/>
      <c r="C126" s="13" t="str">
        <f>HYPERLINK("http://4sq.com/eJcqYe","Kwang Peeb Bay Resort ")</f>
        <v>Kwang Peeb Bay Resort </v>
      </c>
    </row>
    <row r="127">
      <c r="A127" s="12" t="s">
        <v>2229</v>
      </c>
      <c r="B127" s="12"/>
      <c r="C127" s="13" t="str">
        <f>HYPERLINK("http://4sq.com/1aZ9l4K","Buffalo Bay ")</f>
        <v>Buffalo Bay </v>
      </c>
    </row>
    <row r="128">
      <c r="A128" s="12" t="s">
        <v>2230</v>
      </c>
      <c r="B128" s="12"/>
      <c r="C128" s="13" t="str">
        <f t="shared" ref="C128:C129" si="3">HYPERLINK("http://4sq.com/1cuy2Po","Green Beach Hut ")</f>
        <v>Green Beach Hut </v>
      </c>
    </row>
    <row r="129">
      <c r="A129" s="12" t="s">
        <v>2231</v>
      </c>
      <c r="B129" s="12"/>
      <c r="C129" s="13" t="str">
        <f t="shared" si="3"/>
        <v>Green Beach Hut </v>
      </c>
    </row>
    <row r="130">
      <c r="A130" s="12" t="s">
        <v>2232</v>
      </c>
      <c r="B130" s="12"/>
      <c r="C130" s="13" t="str">
        <f>HYPERLINK("http://4sq.com/IRcFd5","Lazy Hut ")</f>
        <v>Lazy Hut </v>
      </c>
    </row>
    <row r="131">
      <c r="A131" s="12" t="s">
        <v>2233</v>
      </c>
      <c r="B131" s="12"/>
      <c r="C131" s="13" t="str">
        <f>HYPERLINK("https://4sq.com/2Hn2OCJ","Flower Power Village ")</f>
        <v>Flower Power Village </v>
      </c>
    </row>
    <row r="132">
      <c r="A132" s="12" t="s">
        <v>2234</v>
      </c>
      <c r="B132" s="12"/>
      <c r="C132" s="13" t="str">
        <f>HYPERLINK("http://4sq.com/WzNodp","Hippy Bar ")</f>
        <v>Hippy Bar </v>
      </c>
    </row>
    <row r="133">
      <c r="A133" s="12" t="s">
        <v>2235</v>
      </c>
      <c r="B133" s="12"/>
      <c r="C133" s="13" t="str">
        <f>HYPERLINK("https://4sq.com/2qzKC1C","Koh Phayam Cafe ")</f>
        <v>Koh Phayam Cafe </v>
      </c>
    </row>
    <row r="134">
      <c r="A134" s="12" t="s">
        <v>2236</v>
      </c>
      <c r="B134" s="12"/>
      <c r="C134" s="13" t="str">
        <f>HYPERLINK("https://4sq.com/2qBikDO","Sathanee Restaurant ")</f>
        <v>Sathanee Restaurant </v>
      </c>
    </row>
    <row r="135">
      <c r="A135" s="12" t="s">
        <v>2237</v>
      </c>
      <c r="B135" s="12"/>
      <c r="C135" s="13" t="str">
        <f>HYPERLINK("http://4sq.com/gb5RpZ","Kho Payam Resort ")</f>
        <v>Kho Payam Resort </v>
      </c>
    </row>
    <row r="136">
      <c r="A136" s="12" t="s">
        <v>2238</v>
      </c>
      <c r="B136" s="12"/>
      <c r="C136" s="13" t="str">
        <f>HYPERLINK("https://4sq.com/2Hp2fuD","Lamai Super Market ")</f>
        <v>Lamai Super Market </v>
      </c>
    </row>
    <row r="137">
      <c r="A137" s="12" t="s">
        <v>2239</v>
      </c>
      <c r="B137" s="12"/>
      <c r="C137" s="13" t="str">
        <f t="shared" ref="C137:C138" si="4">HYPERLINK("http://4sq.com/IRcFd5","Lazy Hut ")</f>
        <v>Lazy Hut </v>
      </c>
    </row>
    <row r="138">
      <c r="A138" s="12" t="s">
        <v>2240</v>
      </c>
      <c r="B138" s="12"/>
      <c r="C138" s="13" t="str">
        <f t="shared" si="4"/>
        <v>Lazy Hut </v>
      </c>
    </row>
    <row r="139">
      <c r="A139" s="12" t="s">
        <v>2241</v>
      </c>
      <c r="B139" s="12"/>
      <c r="C139" s="13" t="str">
        <f>HYPERLINK("http://4sq.com/dxwB2T","ท่าเรือเกาะพยาม ")</f>
        <v>ท่าเรือเกาะพยาม </v>
      </c>
    </row>
    <row r="140">
      <c r="A140" s="12" t="s">
        <v>2242</v>
      </c>
      <c r="B140" s="12"/>
      <c r="C140" s="13" t="str">
        <f>HYPERLINK("http://4sq.com/10eQspr","Ranong River Side Resort (ระนองริเวอร์ไซด์รีสอร์ท) ")</f>
        <v>Ranong River Side Resort (ระนองริเวอร์ไซด์รีสอร์ท) </v>
      </c>
    </row>
    <row r="141">
      <c r="A141" s="12" t="s">
        <v>2243</v>
      </c>
      <c r="B141" s="12"/>
      <c r="C141" s="13" t="str">
        <f>HYPERLINK("http://4sq.com/1oYKSkd","Departure Hall ")</f>
        <v>Departure Hall </v>
      </c>
    </row>
    <row r="142">
      <c r="A142" s="12" t="s">
        <v>2244</v>
      </c>
      <c r="B142" s="12"/>
      <c r="C142" s="13" t="str">
        <f>HYPERLINK("http://4sq.com/gjpIFT","Ranong Airport (UNN) (ท่าอากาศยานระนอง) ")</f>
        <v>Ranong Airport (UNN) (ท่าอากาศยานระนอง) </v>
      </c>
    </row>
    <row r="143">
      <c r="A143" s="12" t="s">
        <v>2245</v>
      </c>
      <c r="B143" s="12"/>
      <c r="C143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144">
      <c r="A144" s="12" t="s">
        <v>2246</v>
      </c>
      <c r="B144" s="12"/>
      <c r="C144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45">
      <c r="A145" s="12" t="s">
        <v>2247</v>
      </c>
      <c r="B145" s="12"/>
      <c r="C145" s="13" t="str">
        <f>HYPERLINK("http://4sq.com/1LwwIEn","Let It Be ")</f>
        <v>Let It Be </v>
      </c>
    </row>
    <row r="146">
      <c r="A146" s="12" t="s">
        <v>2248</v>
      </c>
      <c r="B146" s="12"/>
      <c r="C146" s="13" t="str">
        <f>HYPERLINK("http://4sq.com/1uTcCs4","Local Cafe (คาเฟ่บ้านนอก) ")</f>
        <v>Local Cafe (คาเฟ่บ้านนอก) </v>
      </c>
    </row>
    <row r="147">
      <c r="A147" s="12" t="s">
        <v>2249</v>
      </c>
      <c r="B147" s="12"/>
      <c r="C147" s="13" t="str">
        <f>HYPERLINK("http://4sq.com/2BQaCNx","Ginger Farm Kitchen ")</f>
        <v>Ginger Farm Kitchen </v>
      </c>
    </row>
    <row r="148">
      <c r="A148" s="12" t="s">
        <v>2250</v>
      </c>
      <c r="B148" s="12"/>
      <c r="C148" s="13" t="str">
        <f>HYPERLINK("http://4sq.com/aCCyTW","The Pub ")</f>
        <v>The Pub </v>
      </c>
    </row>
    <row r="149">
      <c r="A149" s="12" t="s">
        <v>2251</v>
      </c>
      <c r="B149" s="12"/>
      <c r="C149" s="13" t="str">
        <f>HYPERLINK("http://4sq.com/2Fw9ujx","BABY COME HOME ")</f>
        <v>BABY COME HOME </v>
      </c>
    </row>
    <row r="150">
      <c r="A150" s="12" t="s">
        <v>2252</v>
      </c>
      <c r="B150" s="12"/>
      <c r="C150" s="13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</row>
    <row r="151">
      <c r="A151" s="12" t="s">
        <v>2253</v>
      </c>
      <c r="B151" s="12"/>
      <c r="C151" s="13" t="str">
        <f>HYPERLINK("http://4sq.com/144krkW","สำนักสงฆ์ปฎิบัติธรรมสันกู่ ")</f>
        <v>สำนักสงฆ์ปฎิบัติธรรมสันกู่ </v>
      </c>
    </row>
    <row r="152">
      <c r="A152" s="12" t="s">
        <v>2254</v>
      </c>
      <c r="B152" s="12"/>
      <c r="C152" s="13" t="str">
        <f>HYPERLINK("https://4sq.com/2FLZZIV","Honey Hill ")</f>
        <v>Honey Hill </v>
      </c>
    </row>
    <row r="153">
      <c r="A153" s="12" t="s">
        <v>2255</v>
      </c>
      <c r="B153" s="12"/>
      <c r="C153" s="13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154">
      <c r="A154" s="12" t="s">
        <v>2256</v>
      </c>
      <c r="B154" s="12"/>
      <c r="C154" s="13" t="str">
        <f>HYPERLINK("http://4sq.com/2Ek04EM","SUBWAY (ซับเวย์) ")</f>
        <v>SUBWAY (ซับเวย์) </v>
      </c>
    </row>
    <row r="155">
      <c r="A155" s="12" t="s">
        <v>2257</v>
      </c>
      <c r="B155" s="12"/>
      <c r="C155" s="13" t="str">
        <f>HYPERLINK("http://4sq.com/1K2l4NI","Teak Table (ทีค เทเบิล) ")</f>
        <v>Teak Table (ทีค เทเบิล) </v>
      </c>
    </row>
    <row r="156">
      <c r="A156" s="12" t="s">
        <v>2258</v>
      </c>
      <c r="B156" s="12"/>
      <c r="C156" s="13" t="str">
        <f>HYPERLINK("http://4sq.com/11nzEX7","เฮือนลูกหลาน ")</f>
        <v>เฮือนลูกหลาน </v>
      </c>
    </row>
    <row r="157">
      <c r="A157" s="12" t="s">
        <v>2259</v>
      </c>
      <c r="B157" s="12"/>
      <c r="C157" s="13" t="str">
        <f>HYPERLINK("http://4sq.com/o3ZEdO","See Paak Restaurant ")</f>
        <v>See Paak Restaurant </v>
      </c>
    </row>
    <row r="158">
      <c r="A158" s="12" t="s">
        <v>2260</v>
      </c>
      <c r="B158" s="12"/>
      <c r="C158" s="13" t="str">
        <f>HYPERLINK("http://4sq.com/1cbUJew","Rimtharn Nanglen (ริมธาร นั่งเล่น) ")</f>
        <v>Rimtharn Nanglen (ริมธาร นั่งเล่น) </v>
      </c>
    </row>
    <row r="159">
      <c r="A159" s="12" t="s">
        <v>2261</v>
      </c>
      <c r="B159" s="12"/>
      <c r="C159" s="13" t="str">
        <f>HYPERLINK("http://4sq.com/2k6nHGk","Cafe de JJ ")</f>
        <v>Cafe de JJ </v>
      </c>
    </row>
    <row r="160">
      <c r="A160" s="12" t="s">
        <v>2262</v>
      </c>
      <c r="B160" s="12"/>
      <c r="C160" s="13" t="str">
        <f>HYPERLINK("http://4sq.com/hAiTVa","The Pappa Pizza &amp; Steak Resturant ")</f>
        <v>The Pappa Pizza &amp; Steak Resturant </v>
      </c>
    </row>
    <row r="161">
      <c r="A161" s="12" t="s">
        <v>2263</v>
      </c>
      <c r="B161" s="12"/>
      <c r="C161" s="13" t="str">
        <f>HYPERLINK("http://4sq.com/2ziax0g","โรงแรมมินทร์ธารา •Mintara Hotel Nan• ")</f>
        <v>โรงแรมมินทร์ธารา •Mintara Hotel Nan• </v>
      </c>
    </row>
    <row r="162">
      <c r="A162" s="12" t="s">
        <v>2264</v>
      </c>
      <c r="B162" s="12"/>
      <c r="C162" s="13" t="str">
        <f>HYPERLINK("http://4sq.com/1GSEYYx","Ban-Tai-Lue Café (กาแฟบ้านไทลื้อ) ")</f>
        <v>Ban-Tai-Lue Café (กาแฟบ้านไทลื้อ) </v>
      </c>
    </row>
    <row r="163">
      <c r="A163" s="12" t="s">
        <v>2265</v>
      </c>
      <c r="B163" s="12"/>
      <c r="C163" s="13" t="str">
        <f>HYPERLINK("https://4sq.com/2rFpAzd","เดอะวิว @ กิ่วม่วง ")</f>
        <v>เดอะวิว @ กิ่วม่วง </v>
      </c>
    </row>
    <row r="164">
      <c r="A164" s="12" t="s">
        <v>2266</v>
      </c>
      <c r="B164" s="12"/>
      <c r="C164" s="13" t="str">
        <f>HYPERLINK("http://4sq.com/HMQMvp","Sri Mueang Park (สวนสาธารณะศรีเมือง) ")</f>
        <v>Sri Mueang Park (สวนสาธารณะศรีเมือง) </v>
      </c>
    </row>
    <row r="165">
      <c r="A165" s="12" t="s">
        <v>2267</v>
      </c>
      <c r="B165" s="12"/>
      <c r="C165" s="13" t="str">
        <f>HYPERLINK("http://4sq.com/1ej1M4L","Doi Pha Klong National Park (อุทยานแห่งชาติดอยผากลอง) ")</f>
        <v>Doi Pha Klong National Park (อุทยานแห่งชาติดอยผากลอง) </v>
      </c>
    </row>
    <row r="166">
      <c r="A166" s="12" t="s">
        <v>2268</v>
      </c>
      <c r="B166" s="12"/>
      <c r="C166" s="13" t="str">
        <f>HYPERLINK("http://4sq.com/tEIAEZ","PTT (ปตท.) ")</f>
        <v>PTT (ปตท.) </v>
      </c>
    </row>
    <row r="167">
      <c r="A167" s="12" t="s">
        <v>2269</v>
      </c>
      <c r="B167" s="12"/>
      <c r="C167" s="13" t="str">
        <f>HYPERLINK("http://4sq.com/b8c0lQ","Chiang Mai City Hall (ศาลากลางจังหวัดเชียงใหม่) ")</f>
        <v>Chiang Mai City Hall (ศาลากลางจังหวัดเชียงใหม่) </v>
      </c>
    </row>
    <row r="168">
      <c r="A168" s="12" t="s">
        <v>2270</v>
      </c>
      <c r="B168" s="12"/>
      <c r="C168" s="13" t="str">
        <f>HYPERLINK("http://4sq.com/I28LVE","Café de Oasis (คาเฟ่ เดอ โอเอซิส) ")</f>
        <v>Café de Oasis (คาเฟ่ เดอ โอเอซิส) </v>
      </c>
    </row>
    <row r="169">
      <c r="A169" s="12" t="s">
        <v>2271</v>
      </c>
      <c r="B169" s="12"/>
      <c r="C169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70">
      <c r="A170" s="12" t="s">
        <v>2272</v>
      </c>
      <c r="B170" s="12"/>
      <c r="C170" s="13" t="str">
        <f>HYPERLINK("http://4sq.com/IFfbTx","Bus stop South Pattaya ")</f>
        <v>Bus stop South Pattaya </v>
      </c>
    </row>
    <row r="171">
      <c r="A171" s="12" t="s">
        <v>2273</v>
      </c>
      <c r="B171" s="12"/>
      <c r="C171" s="13" t="str">
        <f>HYPERLINK("http://4sq.com/1d5y3Bv","The Sky Gallery ")</f>
        <v>The Sky Gallery </v>
      </c>
    </row>
    <row r="172">
      <c r="A172" s="12" t="s">
        <v>2274</v>
      </c>
      <c r="B172" s="12"/>
      <c r="C172" s="13" t="str">
        <f>HYPERLINK("http://4sq.com/9ZEtfO","Nual Beach (หาดนวล) ")</f>
        <v>Nual Beach (หาดนวล) </v>
      </c>
    </row>
    <row r="173">
      <c r="A173" s="12" t="s">
        <v>2275</v>
      </c>
      <c r="B173" s="12"/>
      <c r="C173" s="13" t="str">
        <f>HYPERLINK("http://4sq.com/dq1W6W","Rich Man Poor Man Guesthouse ")</f>
        <v>Rich Man Poor Man Guesthouse </v>
      </c>
    </row>
    <row r="174">
      <c r="A174" s="12" t="s">
        <v>2276</v>
      </c>
      <c r="B174" s="12"/>
      <c r="C174" s="13" t="str">
        <f>HYPERLINK("http://4sq.com/nTluGY","Terminal 2 (อาคาร 2) ")</f>
        <v>Terminal 2 (อาคาร 2) </v>
      </c>
    </row>
    <row r="175">
      <c r="A175" s="12" t="s">
        <v>2277</v>
      </c>
      <c r="B175" s="12"/>
      <c r="C175" s="13" t="str">
        <f>HYPERLINK("http://4sq.com/2k6nHGk","Cafe de JJ ")</f>
        <v>Cafe de JJ </v>
      </c>
    </row>
    <row r="176">
      <c r="A176" s="12" t="s">
        <v>2278</v>
      </c>
      <c r="B176" s="12"/>
      <c r="C176" s="13" t="str">
        <f>HYPERLINK("http://4sq.com/2bIJz8b","Lamona View Swimming Pool ")</f>
        <v>Lamona View Swimming Pool </v>
      </c>
    </row>
    <row r="177">
      <c r="A177" s="12" t="s">
        <v>2279</v>
      </c>
      <c r="B177" s="12"/>
      <c r="C177" s="13" t="str">
        <f>HYPERLINK("http://4sq.com/1LwwIEn","Let It Be ")</f>
        <v>Let It Be </v>
      </c>
    </row>
    <row r="178">
      <c r="A178" s="12" t="s">
        <v>2280</v>
      </c>
      <c r="B178" s="12"/>
      <c r="C178" s="13" t="str">
        <f>HYPERLINK("http://4sq.com/1uTcCs4","Local Cafe (คาเฟ่บ้านนอก) ")</f>
        <v>Local Cafe (คาเฟ่บ้านนอก) </v>
      </c>
    </row>
    <row r="179">
      <c r="A179" s="12" t="s">
        <v>2281</v>
      </c>
      <c r="B179" s="12"/>
      <c r="C179" s="13" t="str">
        <f>HYPERLINK("http://4sq.com/2mG25Bl","a taste of joy ")</f>
        <v>a taste of joy </v>
      </c>
    </row>
    <row r="180">
      <c r="A180" s="12" t="s">
        <v>2282</v>
      </c>
      <c r="B180" s="12"/>
      <c r="C180" s="13" t="str">
        <f>HYPERLINK("http://4sq.com/1ZXCW33","Om Garden Cafe ")</f>
        <v>Om Garden Cafe </v>
      </c>
    </row>
    <row r="181">
      <c r="A181" s="12" t="s">
        <v>2283</v>
      </c>
      <c r="B181" s="12"/>
      <c r="C181" s="13" t="str">
        <f>HYPERLINK("http://4sq.com/9GHVBl","Khaotha Coffee (เข้าท่ากาแฟ) ")</f>
        <v>Khaotha Coffee (เข้าท่ากาแฟ) </v>
      </c>
    </row>
    <row r="182">
      <c r="A182" s="12" t="s">
        <v>2284</v>
      </c>
      <c r="B182" s="12"/>
      <c r="C182" s="13" t="str">
        <f>HYPERLINK("http://4sq.com/10SdwaI","Reverie Siam ")</f>
        <v>Reverie Siam </v>
      </c>
    </row>
    <row r="183">
      <c r="A183" s="12" t="s">
        <v>2285</v>
      </c>
      <c r="B183" s="12"/>
      <c r="C183" s="13" t="str">
        <f>HYPERLINK("http://4sq.com/aWduYM","PTT (ปตท.) ")</f>
        <v>PTT (ปตท.) </v>
      </c>
    </row>
    <row r="184">
      <c r="A184" s="12" t="s">
        <v>2286</v>
      </c>
      <c r="B184" s="12"/>
      <c r="C184" s="13" t="str">
        <f>HYPERLINK("http://4sq.com/mNtm2L","32 Coffee Hill &amp; Resort ")</f>
        <v>32 Coffee Hill &amp; Resort </v>
      </c>
    </row>
    <row r="185">
      <c r="A185" s="12" t="s">
        <v>2287</v>
      </c>
      <c r="B185" s="12"/>
      <c r="C185" s="13" t="str">
        <f>HYPERLINK("http://4sq.com/2k6nHGk","Cafe de JJ ")</f>
        <v>Cafe de JJ </v>
      </c>
    </row>
    <row r="186">
      <c r="A186" s="12" t="s">
        <v>2288</v>
      </c>
      <c r="B186" s="12"/>
      <c r="C186" s="13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187">
      <c r="A187" s="12" t="s">
        <v>2289</v>
      </c>
      <c r="B187" s="12"/>
      <c r="C187" s="13" t="str">
        <f>HYPERLINK("http://4sq.com/2k6nHGk","Cafe de JJ ")</f>
        <v>Cafe de JJ </v>
      </c>
    </row>
    <row r="188">
      <c r="A188" s="12" t="s">
        <v>2290</v>
      </c>
      <c r="B188" s="12"/>
      <c r="C188" s="13" t="str">
        <f>HYPERLINK("http://4sq.com/fxwtgf","Jia Jia Sport Club ")</f>
        <v>Jia Jia Sport Club </v>
      </c>
    </row>
    <row r="189">
      <c r="A189" s="12" t="s">
        <v>2290</v>
      </c>
      <c r="B189" s="12"/>
      <c r="C189" s="13" t="str">
        <f>HYPERLINK("http://4sq.com/a3WF57","Pizza Mania ")</f>
        <v>Pizza Mania </v>
      </c>
    </row>
    <row r="190">
      <c r="A190" s="12" t="s">
        <v>2291</v>
      </c>
      <c r="B190" s="12"/>
      <c r="C190" s="13" t="str">
        <f>HYPERLINK("http://4sq.com/1MGHxNq","ระเบียง ณ แม่ริม ")</f>
        <v>ระเบียง ณ แม่ริม </v>
      </c>
    </row>
    <row r="191">
      <c r="A191" s="12" t="s">
        <v>2292</v>
      </c>
      <c r="B191" s="12"/>
      <c r="C191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92">
      <c r="A192" s="12" t="s">
        <v>2293</v>
      </c>
      <c r="B192" s="12"/>
      <c r="C192" s="13" t="str">
        <f>HYPERLINK("http://4sq.com/1R8pD8O","Incheon International Airport Passenger Terminal 2 (인천국제공항 제2여객터미널) ")</f>
        <v>Incheon International Airport Passenger Terminal 2 (인천국제공항 제2여객터미널) </v>
      </c>
    </row>
    <row r="193">
      <c r="A193" s="12" t="s">
        <v>2294</v>
      </c>
      <c r="B193" s="12"/>
      <c r="C193" s="13" t="str">
        <f>HYPERLINK("http://4sq.com/kzVTUy","Kewaskum Public Library ")</f>
        <v>Kewaskum Public Library </v>
      </c>
    </row>
    <row r="194">
      <c r="A194" s="12" t="s">
        <v>2295</v>
      </c>
      <c r="B194" s="12"/>
      <c r="C194" s="13" t="str">
        <f>HYPERLINK("http://4sq.com/rqHNRO","US Post Office ")</f>
        <v>US Post Office </v>
      </c>
    </row>
    <row r="195">
      <c r="A195" s="12" t="s">
        <v>2296</v>
      </c>
      <c r="B195" s="12"/>
      <c r="C195" s="13" t="str">
        <f>HYPERLINK("http://4sq.com/11qszKR","Sunset Bay Resort ")</f>
        <v>Sunset Bay Resort </v>
      </c>
    </row>
    <row r="196">
      <c r="A196" s="12" t="s">
        <v>2297</v>
      </c>
      <c r="B196" s="12"/>
      <c r="C196" s="13" t="str">
        <f>HYPERLINK("http://4sq.com/n5cZSy","Wildwood Wildlife Park ")</f>
        <v>Wildwood Wildlife Park </v>
      </c>
    </row>
    <row r="197">
      <c r="A197" s="12" t="s">
        <v>2298</v>
      </c>
      <c r="B197" s="12"/>
      <c r="C197" s="13" t="str">
        <f>HYPERLINK("http://4sq.com/aXkjdI","Walmart Supercenter ")</f>
        <v>Walmart Supercenter </v>
      </c>
    </row>
    <row r="198">
      <c r="A198" s="12" t="s">
        <v>2299</v>
      </c>
      <c r="B198" s="12"/>
      <c r="C198" s="13" t="str">
        <f>HYPERLINK("http://4sq.com/sHXkWp","Great Northern Coffee Traders ")</f>
        <v>Great Northern Coffee Traders </v>
      </c>
    </row>
    <row r="199">
      <c r="A199" s="12" t="s">
        <v>2300</v>
      </c>
      <c r="B199" s="12"/>
      <c r="C199" s="13" t="str">
        <f>HYPERLINK("http://4sq.com/rs2Icw","Eagle River Wisconsin ")</f>
        <v>Eagle River Wisconsin </v>
      </c>
    </row>
    <row r="200">
      <c r="A200" s="12" t="s">
        <v>2301</v>
      </c>
      <c r="B200" s="12"/>
      <c r="C200" s="13" t="str">
        <f>HYPERLINK("http://4sq.com/jVMdGS","The Cottage ")</f>
        <v>The Cottage </v>
      </c>
    </row>
    <row r="201">
      <c r="A201" s="12" t="s">
        <v>2302</v>
      </c>
      <c r="B201" s="12"/>
      <c r="C201" s="13" t="str">
        <f>HYPERLINK("http://4sq.com/kzVTUy","Kewaskum Public Library ")</f>
        <v>Kewaskum Public Library </v>
      </c>
    </row>
    <row r="202">
      <c r="A202" s="12" t="s">
        <v>2303</v>
      </c>
      <c r="B202" s="12"/>
      <c r="C202" s="13" t="str">
        <f>HYPERLINK("http://4sq.com/9CsjyQ","Coffee Corner ")</f>
        <v>Coffee Corner </v>
      </c>
    </row>
    <row r="203">
      <c r="A203" s="12" t="s">
        <v>2304</v>
      </c>
      <c r="B203" s="12"/>
      <c r="C203" s="13" t="str">
        <f>HYPERLINK("http://4sq.com/i8cTks","Kohl's West Bend ")</f>
        <v>Kohl's West Bend </v>
      </c>
    </row>
    <row r="204">
      <c r="A204" s="12" t="s">
        <v>2305</v>
      </c>
      <c r="B204" s="12"/>
      <c r="C204" s="13" t="str">
        <f>HYPERLINK("http://4sq.com/935EIv","Panera Bread ")</f>
        <v>Panera Bread </v>
      </c>
    </row>
    <row r="205">
      <c r="A205" s="12" t="s">
        <v>2306</v>
      </c>
      <c r="B205" s="12"/>
      <c r="C205" s="13" t="str">
        <f>HYPERLINK("http://4sq.com/9INNeq","Walmart Supercenter ")</f>
        <v>Walmart Supercenter </v>
      </c>
    </row>
    <row r="206">
      <c r="A206" s="12" t="s">
        <v>2307</v>
      </c>
      <c r="B206" s="12"/>
      <c r="C206" s="13" t="str">
        <f>HYPERLINK("http://4sq.com/1x182Z6","Humboldt Park Beer Garden ")</f>
        <v>Humboldt Park Beer Garden </v>
      </c>
    </row>
    <row r="207">
      <c r="A207" s="12" t="s">
        <v>2308</v>
      </c>
      <c r="B207" s="12"/>
      <c r="C207" s="13" t="str">
        <f>HYPERLINK("http://4sq.com/99khoO","South Shore Park ")</f>
        <v>South Shore Park </v>
      </c>
    </row>
    <row r="208">
      <c r="A208" s="12" t="s">
        <v>2309</v>
      </c>
      <c r="B208" s="12"/>
      <c r="C208" s="13" t="str">
        <f>HYPERLINK("http://4sq.com/935EIv","Panera Bread ")</f>
        <v>Panera Bread </v>
      </c>
    </row>
    <row r="209">
      <c r="A209" s="12" t="s">
        <v>2310</v>
      </c>
      <c r="B209" s="12"/>
      <c r="C209" s="13" t="str">
        <f>HYPERLINK("http://4sq.com/bygYMq","Sobelman's Pub &amp; Grill ")</f>
        <v>Sobelman's Pub &amp; Grill </v>
      </c>
    </row>
    <row r="210">
      <c r="A210" s="12" t="s">
        <v>2311</v>
      </c>
      <c r="B210" s="12"/>
      <c r="C210" s="13" t="str">
        <f>HYPERLINK("http://4sq.com/8xK7rR","Mitchell Park Horticultural Conservatory (The Domes) ")</f>
        <v>Mitchell Park Horticultural Conservatory (The Domes) </v>
      </c>
    </row>
    <row r="211">
      <c r="A211" s="12" t="s">
        <v>2312</v>
      </c>
      <c r="B211" s="12"/>
      <c r="C211" s="13" t="str">
        <f>HYPERLINK("http://4sq.com/7k4nqU","Apple Bayshore ")</f>
        <v>Apple Bayshore </v>
      </c>
    </row>
    <row r="212">
      <c r="A212" s="12" t="s">
        <v>2313</v>
      </c>
      <c r="B212" s="12"/>
      <c r="C212" s="13" t="str">
        <f>HYPERLINK("http://4sq.com/kzVTUy","Kewaskum Public Library ")</f>
        <v>Kewaskum Public Library </v>
      </c>
    </row>
    <row r="213">
      <c r="A213" s="12" t="s">
        <v>2314</v>
      </c>
      <c r="B213" s="12"/>
      <c r="C213" s="13" t="str">
        <f>HYPERLINK("http://4sq.com/do2tJJ","Coach USA Airport Express ")</f>
        <v>Coach USA Airport Express </v>
      </c>
    </row>
    <row r="214">
      <c r="A214" s="12" t="s">
        <v>2315</v>
      </c>
      <c r="B214" s="12"/>
      <c r="C214" s="13" t="str">
        <f>HYPERLINK("http://4sq.com/4ELNj2","Terminal 5 ")</f>
        <v>Terminal 5 </v>
      </c>
    </row>
    <row r="215">
      <c r="A215" s="12" t="s">
        <v>2316</v>
      </c>
      <c r="B215" s="12"/>
      <c r="C215" s="13" t="str">
        <f>HYPERLINK("http://4sq.com/1hVXHYn","and ann coffee ")</f>
        <v>and ann coffee </v>
      </c>
    </row>
    <row r="216">
      <c r="A216" s="12" t="s">
        <v>2317</v>
      </c>
      <c r="B216" s="12"/>
      <c r="C216" s="13" t="str">
        <f>HYPERLINK("http://4sq.com/1uTcCs4","Local Cafe (คาเฟ่บ้านนอก) ")</f>
        <v>Local Cafe (คาเฟ่บ้านนอก) </v>
      </c>
    </row>
    <row r="217">
      <c r="A217" s="12" t="s">
        <v>2318</v>
      </c>
      <c r="B217" s="12"/>
      <c r="C217" s="13" t="str">
        <f>HYPERLINK("http://4sq.com/1MkbF74","Black Canyon (แบล็คแคนยอน) ")</f>
        <v>Black Canyon (แบล็คแคนยอน) </v>
      </c>
    </row>
    <row r="218">
      <c r="A218" s="12" t="s">
        <v>2319</v>
      </c>
      <c r="B218" s="12"/>
      <c r="C218" s="13" t="str">
        <f>HYPERLINK("http://4sq.com/11TA3I7","ฮอห์ม Hohm Café ")</f>
        <v>ฮอห์ม Hohm Café </v>
      </c>
    </row>
    <row r="219">
      <c r="A219" s="12" t="s">
        <v>2320</v>
      </c>
      <c r="B219" s="12"/>
      <c r="C219" s="13" t="str">
        <f>HYPERLINK("http://4sq.com/bqHTaI","Kad Rin Come Night Market (กาดรินคํา) ")</f>
        <v>Kad Rin Come Night Market (กาดรินคํา) </v>
      </c>
    </row>
    <row r="220">
      <c r="A220" s="12" t="s">
        <v>2321</v>
      </c>
      <c r="B220" s="12"/>
      <c r="C220" s="13" t="str">
        <f>HYPERLINK("http://4sq.com/9JQTiW","Baan Suan (บ้านสวน) ")</f>
        <v>Baan Suan (บ้านสวน) </v>
      </c>
    </row>
    <row r="221">
      <c r="A221" s="12" t="s">
        <v>2322</v>
      </c>
      <c r="B221" s="12"/>
      <c r="C221" s="13" t="str">
        <f>HYPERLINK("https://4sq.com/2FLZZIV","Honey Hill ")</f>
        <v>Honey Hill </v>
      </c>
    </row>
    <row r="222">
      <c r="A222" s="12" t="s">
        <v>2323</v>
      </c>
      <c r="B222" s="12"/>
      <c r="C222" s="13" t="str">
        <f>HYPERLINK("http://4sq.com/1LwwIEn","Let It Be ")</f>
        <v>Let It Be </v>
      </c>
    </row>
    <row r="223">
      <c r="A223" s="12" t="s">
        <v>2324</v>
      </c>
      <c r="B223" s="12"/>
      <c r="C223" s="13" t="str">
        <f>HYPERLINK("http://4sq.com/2k6nHGk","Cafe de JJ ")</f>
        <v>Cafe de JJ </v>
      </c>
    </row>
    <row r="224">
      <c r="A224" s="12" t="s">
        <v>2325</v>
      </c>
      <c r="B224" s="12"/>
      <c r="C224" s="13" t="str">
        <f>HYPERLINK("http://4sq.com/cIVBTv","Tita Gallery ")</f>
        <v>Tita Gallery </v>
      </c>
    </row>
    <row r="225">
      <c r="A225" s="12" t="s">
        <v>2326</v>
      </c>
      <c r="B225" s="12"/>
      <c r="C225" s="13" t="str">
        <f>HYPERLINK("http://4sq.com/2k6v5Df","Coffee In Wild ")</f>
        <v>Coffee In Wild </v>
      </c>
    </row>
    <row r="226">
      <c r="A226" s="12" t="s">
        <v>2327</v>
      </c>
      <c r="B226" s="12"/>
      <c r="C226" s="13" t="str">
        <f>HYPERLINK("http://4sq.com/2k6nHGk","Cafe de JJ ")</f>
        <v>Cafe de JJ </v>
      </c>
    </row>
    <row r="227">
      <c r="A227" s="12" t="s">
        <v>2328</v>
      </c>
      <c r="B227" s="12"/>
      <c r="C227" s="13" t="str">
        <f>HYPERLINK("http://4sq.com/1fbuSWi","Ka-Fe-Vi-No ")</f>
        <v>Ka-Fe-Vi-No </v>
      </c>
    </row>
    <row r="228">
      <c r="A228" s="12" t="s">
        <v>2329</v>
      </c>
      <c r="B228" s="12"/>
      <c r="C228" s="13" t="str">
        <f>HYPERLINK("http://4sq.com/2zRMx7k","ส้มตำเดอนัว ")</f>
        <v>ส้มตำเดอนัว </v>
      </c>
    </row>
    <row r="229">
      <c r="A229" s="12" t="s">
        <v>2330</v>
      </c>
      <c r="B229" s="12"/>
      <c r="C229" s="13" t="str">
        <f>HYPERLINK("http://4sq.com/1oGPJsX","บ้านงามแสงเดือน @แม่ริม ")</f>
        <v>บ้านงามแสงเดือน @แม่ริม </v>
      </c>
    </row>
    <row r="230">
      <c r="A230" s="12" t="s">
        <v>2331</v>
      </c>
      <c r="B230" s="12"/>
      <c r="C230" s="13" t="str">
        <f>HYPERLINK("http://4sq.com/2k6nHGk","Cafe de JJ ")</f>
        <v>Cafe de JJ </v>
      </c>
    </row>
    <row r="231">
      <c r="A231" s="12" t="s">
        <v>2332</v>
      </c>
      <c r="B231" s="12"/>
      <c r="C231" s="13" t="str">
        <f>HYPERLINK("http://4sq.com/mX3A2Y","Kua-Kai Nimman (คั่วไก่นิมมาน) ")</f>
        <v>Kua-Kai Nimman (คั่วไก่นิมมาน) </v>
      </c>
    </row>
    <row r="232">
      <c r="A232" s="12" t="s">
        <v>2333</v>
      </c>
      <c r="B232" s="12"/>
      <c r="C232" s="13" t="str">
        <f>HYPERLINK("http://4sq.com/1FUyWco","Gourmet House (กูร์เมต์เฮ้าส์) ")</f>
        <v>Gourmet House (กูร์เมต์เฮ้าส์) </v>
      </c>
    </row>
    <row r="233">
      <c r="A233" s="12" t="s">
        <v>2334</v>
      </c>
      <c r="B233" s="12"/>
      <c r="C233" s="13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</row>
    <row r="234">
      <c r="A234" s="12" t="s">
        <v>2335</v>
      </c>
      <c r="B234" s="12"/>
      <c r="C234" s="13" t="str">
        <f>HYPERLINK("http://4sq.com/1uTcCs4","Local Cafe (คาเฟ่บ้านนอก) ")</f>
        <v>Local Cafe (คาเฟ่บ้านนอก) </v>
      </c>
    </row>
    <row r="235">
      <c r="A235" s="12" t="s">
        <v>2336</v>
      </c>
      <c r="B235" s="12"/>
      <c r="C235" s="13" t="str">
        <f>HYPERLINK("http://4sq.com/9dAeh7","Boat (โบ๊ต) ")</f>
        <v>Boat (โบ๊ต) </v>
      </c>
    </row>
    <row r="236">
      <c r="A236" s="12" t="s">
        <v>2337</v>
      </c>
      <c r="B236" s="12"/>
      <c r="C236" s="13" t="str">
        <f>HYPERLINK("http://4sq.com/1K2l4NI","Teak Table (ทีค เทเบิล) ")</f>
        <v>Teak Table (ทีค เทเบิล) </v>
      </c>
    </row>
    <row r="237">
      <c r="A237" s="12" t="s">
        <v>2338</v>
      </c>
      <c r="B237" s="12"/>
      <c r="C237" s="13" t="str">
        <f>HYPERLINK("http://4sq.com/dwbrHe","The Salad Concept ")</f>
        <v>The Salad Concept </v>
      </c>
    </row>
    <row r="238">
      <c r="A238" s="12" t="s">
        <v>2339</v>
      </c>
      <c r="B238" s="12"/>
      <c r="C238" s="13" t="str">
        <f>HYPERLINK("http://4sq.com/1JVqZqI","Tsubaki JP'Restaurant ")</f>
        <v>Tsubaki JP'Restaurant </v>
      </c>
    </row>
    <row r="239">
      <c r="A239" s="12" t="s">
        <v>2340</v>
      </c>
      <c r="B239" s="12"/>
      <c r="C239" s="13" t="str">
        <f>HYPERLINK("http://4sq.com/1BMvmPX","Gusto Site (กัสโต้ ไซต์) ")</f>
        <v>Gusto Site (กัสโต้ ไซต์) </v>
      </c>
    </row>
    <row r="240">
      <c r="A240" s="12" t="s">
        <v>2341</v>
      </c>
      <c r="B240" s="12"/>
      <c r="C240" s="13" t="str">
        <f>HYPERLINK("http://4sq.com/1LwwIEn","Let It Be ")</f>
        <v>Let It Be </v>
      </c>
    </row>
    <row r="241">
      <c r="A241" s="12" t="s">
        <v>2341</v>
      </c>
      <c r="B241" s="12"/>
      <c r="C241" s="13" t="str">
        <f>HYPERLINK("http://4sq.com/2bIJz8b","Lamona View Swimming Pool ")</f>
        <v>Lamona View Swimming Pool </v>
      </c>
    </row>
    <row r="242">
      <c r="A242" s="12" t="s">
        <v>2342</v>
      </c>
      <c r="B242" s="12"/>
      <c r="C242" s="13" t="str">
        <f>HYPERLINK("https://4sq.com/2EwNe4h","One Street Food Market ")</f>
        <v>One Street Food Market </v>
      </c>
    </row>
    <row r="243">
      <c r="A243" s="12" t="s">
        <v>2343</v>
      </c>
      <c r="B243" s="12"/>
      <c r="C243" s="13" t="str">
        <f>HYPERLINK("http://4sq.com/1uTcCs4","Local Cafe (คาเฟ่บ้านนอก) ")</f>
        <v>Local Cafe (คาเฟ่บ้านนอก) </v>
      </c>
    </row>
    <row r="244">
      <c r="A244" s="12" t="s">
        <v>2344</v>
      </c>
      <c r="B244" s="12"/>
      <c r="C244" s="13" t="str">
        <f>HYPERLINK("http://4sq.com/VuG5rl","Steak Of The Day ")</f>
        <v>Steak Of The Day </v>
      </c>
    </row>
    <row r="245">
      <c r="A245" s="12" t="s">
        <v>2345</v>
      </c>
      <c r="B245" s="12"/>
      <c r="C245" s="13" t="str">
        <f>HYPERLINK("https://4sq.com/2xYnr3P","Hanging Garden Cafe ")</f>
        <v>Hanging Garden Cafe </v>
      </c>
    </row>
    <row r="246">
      <c r="A246" s="12" t="s">
        <v>2346</v>
      </c>
      <c r="B246" s="12"/>
      <c r="C246" s="13" t="str">
        <f>HYPERLINK("http://4sq.com/dwbrHe","The Salad Concept ")</f>
        <v>The Salad Concept </v>
      </c>
    </row>
    <row r="247">
      <c r="A247" s="12" t="s">
        <v>2347</v>
      </c>
      <c r="B247" s="12"/>
      <c r="C247" s="13" t="str">
        <f>HYPERLINK("http://4sq.com/1MkbF74","Black Canyon (แบล็คแคนยอน) ")</f>
        <v>Black Canyon (แบล็คแคนยอน) </v>
      </c>
    </row>
    <row r="248">
      <c r="A248" s="12" t="s">
        <v>2348</v>
      </c>
      <c r="B248" s="12"/>
      <c r="C248" s="13" t="str">
        <f>HYPERLINK("http://4sq.com/9v5uys","Mon Cham (ม่อนแจ่ม) ")</f>
        <v>Mon Cham (ม่อนแจ่ม) </v>
      </c>
    </row>
    <row r="249">
      <c r="A249" s="12" t="s">
        <v>2349</v>
      </c>
      <c r="B249" s="12"/>
      <c r="C249" s="13" t="str">
        <f>HYPERLINK("http://4sq.com/1MkbF74","Black Canyon (แบล็คแคนยอน) ")</f>
        <v>Black Canyon (แบล็คแคนยอน) </v>
      </c>
    </row>
    <row r="250">
      <c r="A250" s="12" t="s">
        <v>2350</v>
      </c>
      <c r="B250" s="12"/>
      <c r="C250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51">
      <c r="A251" s="12" t="s">
        <v>2351</v>
      </c>
      <c r="B251" s="12"/>
      <c r="C251" s="13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252">
      <c r="A252" s="12" t="s">
        <v>2352</v>
      </c>
      <c r="B252" s="12"/>
      <c r="C252" s="13" t="str">
        <f>HYPERLINK("http://4sq.com/cq6BRd","Kitcha Dental Clinic ")</f>
        <v>Kitcha Dental Clinic </v>
      </c>
    </row>
    <row r="253">
      <c r="A253" s="12" t="s">
        <v>2353</v>
      </c>
      <c r="B253" s="12"/>
      <c r="C253" s="13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254">
      <c r="A254" s="12" t="s">
        <v>2354</v>
      </c>
      <c r="B254" s="12"/>
      <c r="C254" s="13" t="str">
        <f>HYPERLINK("http://4sq.com/cq6BRd","Kitcha Dental Clinic ")</f>
        <v>Kitcha Dental Clinic </v>
      </c>
    </row>
    <row r="255">
      <c r="A255" s="12" t="s">
        <v>2355</v>
      </c>
      <c r="B255" s="12"/>
      <c r="C255" s="13" t="str">
        <f>HYPERLINK("http://4sq.com/2k2Xg3l","cat brothers cafe ")</f>
        <v>cat brothers cafe </v>
      </c>
    </row>
    <row r="256">
      <c r="A256" s="12" t="s">
        <v>2356</v>
      </c>
      <c r="B256" s="12"/>
      <c r="C256" s="13" t="str">
        <f>HYPERLINK("http://4sq.com/1TCmRjN","Hong beach (โฮ่งบีช) ")</f>
        <v>Hong beach (โฮ่งบีช) </v>
      </c>
    </row>
    <row r="257">
      <c r="A257" s="12" t="s">
        <v>2357</v>
      </c>
      <c r="B257" s="12"/>
      <c r="C257" s="13" t="str">
        <f>HYPERLINK("http://4sq.com/12weN37","คาเฟ่ ดินดิน Cafe DinDin ")</f>
        <v>คาเฟ่ ดินดิน Cafe DinDin </v>
      </c>
    </row>
    <row r="258">
      <c r="A258" s="12" t="s">
        <v>2358</v>
      </c>
      <c r="B258" s="12"/>
      <c r="C258" s="13" t="str">
        <f>HYPERLINK("http://4sq.com/2BQaCNx","Ginger Farm Kitchen ")</f>
        <v>Ginger Farm Kitchen </v>
      </c>
    </row>
    <row r="259">
      <c r="A259" s="12" t="s">
        <v>2359</v>
      </c>
      <c r="B259" s="12"/>
      <c r="C259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60">
      <c r="A260" s="12" t="s">
        <v>2360</v>
      </c>
      <c r="B260" s="12"/>
      <c r="C260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261">
      <c r="A261" s="12" t="s">
        <v>2361</v>
      </c>
      <c r="B261" s="12"/>
      <c r="C261" s="13" t="str">
        <f>HYPERLINK("http://4sq.com/yhkjIX","Holiday Inn Express ")</f>
        <v>Holiday Inn Express </v>
      </c>
    </row>
    <row r="262">
      <c r="A262" s="12" t="s">
        <v>2362</v>
      </c>
      <c r="B262" s="12"/>
      <c r="C262" s="13" t="str">
        <f>HYPERLINK("http://4sq.com/6o0qpr","Greyhound Café (เกรฮาวด์ คาเฟ่) ")</f>
        <v>Greyhound Café (เกรฮาวด์ คาเฟ่) </v>
      </c>
    </row>
    <row r="263">
      <c r="A263" s="12" t="s">
        <v>2363</v>
      </c>
      <c r="B263" s="12"/>
      <c r="C263" s="13" t="str">
        <f>HYPERLINK("http://4sq.com/7ypkeq","Loft (ลอฟท์) ")</f>
        <v>Loft (ลอฟท์) </v>
      </c>
    </row>
    <row r="264">
      <c r="A264" s="12" t="s">
        <v>2364</v>
      </c>
      <c r="B264" s="12"/>
      <c r="C264" s="13" t="str">
        <f>HYPERLINK("http://4sq.com/4tnajq","The Peninsula Bangkok ")</f>
        <v>The Peninsula Bangkok </v>
      </c>
    </row>
    <row r="265">
      <c r="A265" s="12" t="s">
        <v>2365</v>
      </c>
      <c r="B265" s="12"/>
      <c r="C265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266">
      <c r="A266" s="12" t="s">
        <v>2366</v>
      </c>
      <c r="B266" s="12"/>
      <c r="C266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67">
      <c r="A267" s="12" t="s">
        <v>2367</v>
      </c>
      <c r="B267" s="12"/>
      <c r="C267" s="13" t="str">
        <f>HYPERLINK("http://4sq.com/cq6BRd","Kitcha Dental Clinic ")</f>
        <v>Kitcha Dental Clinic </v>
      </c>
    </row>
    <row r="268">
      <c r="A268" s="12" t="s">
        <v>2368</v>
      </c>
      <c r="B268" s="12"/>
      <c r="C268" s="13" t="str">
        <f>HYPERLINK("http://4sq.com/gzBkmg","Consulate of the United States of America (สถานกงสุลสหรัฐอเมริกา) ")</f>
        <v>Consulate of the United States of America (สถานกงสุลสหรัฐอเมริกา) </v>
      </c>
    </row>
    <row r="269">
      <c r="A269" s="12" t="s">
        <v>2369</v>
      </c>
      <c r="B269" s="12"/>
      <c r="C269" s="13" t="str">
        <f>HYPERLINK("http://4sq.com/1jCCPEP","Fuji (ฟูจิ) ")</f>
        <v>Fuji (ฟูจิ) </v>
      </c>
    </row>
    <row r="270">
      <c r="A270" s="12" t="s">
        <v>2370</v>
      </c>
      <c r="B270" s="12"/>
      <c r="C270" s="13" t="str">
        <f>HYPERLINK("http://4sq.com/b8c0lQ","Chiang Mai City Hall (ศาลากลางจังหวัดเชียงใหม่) ")</f>
        <v>Chiang Mai City Hall (ศาลากลางจังหวัดเชียงใหม่) </v>
      </c>
    </row>
    <row r="271">
      <c r="A271" s="12" t="s">
        <v>2371</v>
      </c>
      <c r="B271" s="12"/>
      <c r="C271" s="13" t="str">
        <f>HYPERLINK("http://4sq.com/2zeHJZK","PTT Maerim ")</f>
        <v>PTT Maerim </v>
      </c>
    </row>
    <row r="272">
      <c r="A272" s="12" t="s">
        <v>2372</v>
      </c>
      <c r="B272" s="12"/>
      <c r="C272" s="13" t="str">
        <f>HYPERLINK("http://4sq.com/WuhBvI","Pankled Sheep House ")</f>
        <v>Pankled Sheep House </v>
      </c>
    </row>
    <row r="273">
      <c r="A273" s="12" t="s">
        <v>2373</v>
      </c>
      <c r="B273" s="12"/>
      <c r="C273" s="13" t="str">
        <f>HYPERLINK("http://4sq.com/aH3gi2","Nong Beer Restaurant (ร้านน้องเบียร์) ")</f>
        <v>Nong Beer Restaurant (ร้านน้องเบียร์) </v>
      </c>
    </row>
    <row r="274">
      <c r="A274" s="12" t="s">
        <v>2374</v>
      </c>
      <c r="B274" s="12"/>
      <c r="C274" s="13" t="str">
        <f>HYPERLINK("http://4sq.com/11TnsRp","Jikko's Harem ")</f>
        <v>Jikko's Harem </v>
      </c>
    </row>
    <row r="275">
      <c r="A275" s="12" t="s">
        <v>2375</v>
      </c>
      <c r="B275" s="12"/>
      <c r="C275" s="13" t="str">
        <f>HYPERLINK("http://4sq.com/93vSbH","Pang Ma Pha Cave Lod (ถ้ำลอดปางมะผ้า) ")</f>
        <v>Pang Ma Pha Cave Lod (ถ้ำลอดปางมะผ้า) </v>
      </c>
    </row>
    <row r="276">
      <c r="A276" s="12" t="s">
        <v>2376</v>
      </c>
      <c r="B276" s="12"/>
      <c r="C276" s="13" t="str">
        <f>HYPERLINK("http://4sq.com/2ofi5fG","Phu Pha Chan Pha Restaurant (ร้านภูผาจันผา) ")</f>
        <v>Phu Pha Chan Pha Restaurant (ร้านภูผาจันผา) </v>
      </c>
    </row>
    <row r="277">
      <c r="A277" s="12" t="s">
        <v>2377</v>
      </c>
      <c r="B277" s="12"/>
      <c r="C277" s="13" t="str">
        <f>HYPERLINK("http://4sq.com/9GHVBl","Khaotha Coffee (เข้าท่ากาแฟ) ")</f>
        <v>Khaotha Coffee (เข้าท่ากาแฟ) </v>
      </c>
    </row>
    <row r="278">
      <c r="A278" s="12" t="s">
        <v>2378</v>
      </c>
      <c r="B278" s="12"/>
      <c r="C278" s="13" t="str">
        <f>HYPERLINK("http://4sq.com/2xVHcqz","Art Farm Studio ")</f>
        <v>Art Farm Studio </v>
      </c>
    </row>
    <row r="279">
      <c r="A279" s="12" t="s">
        <v>2379</v>
      </c>
      <c r="B279" s="12"/>
      <c r="C279" s="13" t="str">
        <f>HYPERLINK("http://4sq.com/aWduYM","PTT (ปตท.) ")</f>
        <v>PTT (ปตท.) </v>
      </c>
    </row>
    <row r="280">
      <c r="A280" s="12" t="s">
        <v>2380</v>
      </c>
      <c r="B280" s="12"/>
      <c r="C280" s="13" t="str">
        <f>HYPERLINK("http://4sq.com/2mbVd2I","Bamboo Bridge Over Rice Fields ")</f>
        <v>Bamboo Bridge Over Rice Fields </v>
      </c>
    </row>
    <row r="281">
      <c r="A281" s="12" t="s">
        <v>2381</v>
      </c>
      <c r="B281" s="12"/>
      <c r="C281" s="13" t="str">
        <f>HYPERLINK("http://4sq.com/YnNCYm","พุทธอุทยานห้วยคายคีรีมฤคทายวัน ")</f>
        <v>พุทธอุทยานห้วยคายคีรีมฤคทายวัน </v>
      </c>
    </row>
    <row r="282">
      <c r="A282" s="12" t="s">
        <v>2382</v>
      </c>
      <c r="B282" s="12"/>
      <c r="C282" s="13" t="str">
        <f>HYPERLINK("http://4sq.com/1K2l4NI","Teak Table (ทีค เทเบิล) ")</f>
        <v>Teak Table (ทีค เทเบิล) </v>
      </c>
    </row>
    <row r="283">
      <c r="A283" s="12" t="s">
        <v>2383</v>
      </c>
      <c r="B283" s="12"/>
      <c r="C283" s="13" t="str">
        <f>HYPERLINK("http://4sq.com/17q3kXJ","CEMENT THAI HOMEMART (ตั้งหง่วงเซ้ง ไทยโฮมมาร์ท) ")</f>
        <v>CEMENT THAI HOMEMART (ตั้งหง่วงเซ้ง ไทยโฮมมาร์ท) </v>
      </c>
    </row>
    <row r="284">
      <c r="A284" s="12" t="s">
        <v>2384</v>
      </c>
      <c r="B284" s="12"/>
      <c r="C284" s="13" t="str">
        <f>HYPERLINK("http://4sq.com/bz39Hl","สมุดลานนา ")</f>
        <v>สมุดลานนา </v>
      </c>
    </row>
    <row r="285">
      <c r="A285" s="12" t="s">
        <v>2385</v>
      </c>
      <c r="B285" s="12"/>
      <c r="C285" s="13" t="str">
        <f>HYPERLINK("http://4sq.com/QLleMq","Three Little Pigs ")</f>
        <v>Three Little Pigs </v>
      </c>
    </row>
    <row r="286">
      <c r="A286" s="12" t="s">
        <v>2386</v>
      </c>
      <c r="B286" s="12"/>
      <c r="C286" s="13" t="str">
        <f>HYPERLINK("https://4sq.com/2K7YoAn","ก๋วยเตี๋ยวคำหวาน@ptt แม่ริม ")</f>
        <v>ก๋วยเตี๋ยวคำหวาน@ptt แม่ริม </v>
      </c>
    </row>
    <row r="287">
      <c r="A287" s="12" t="s">
        <v>2387</v>
      </c>
      <c r="B287" s="12"/>
      <c r="C287" s="13" t="str">
        <f>HYPERLINK("http://4sq.com/1sQE853","Chic 39 ")</f>
        <v>Chic 39 </v>
      </c>
    </row>
    <row r="288">
      <c r="A288" s="12" t="s">
        <v>2388</v>
      </c>
      <c r="B288" s="12"/>
      <c r="C288" s="13" t="str">
        <f>HYPERLINK("http://4sq.com/wzVD2k","สำนักสงฆ์ร่มไทรคำ ")</f>
        <v>สำนักสงฆ์ร่มไทรคำ </v>
      </c>
    </row>
    <row r="289">
      <c r="A289" s="12" t="s">
        <v>2389</v>
      </c>
      <c r="B289" s="12"/>
      <c r="C289" s="13" t="str">
        <f>HYPERLINK("http://4sq.com/1jUkasi","SUBWAY (ซับเวย์) ")</f>
        <v>SUBWAY (ซับเวย์) </v>
      </c>
    </row>
    <row r="290">
      <c r="A290" s="12" t="s">
        <v>2390</v>
      </c>
      <c r="B290" s="12"/>
      <c r="C290" s="13" t="str">
        <f>HYPERLINK("http://4sq.com/1hVXHYn","and ann coffee ")</f>
        <v>and ann coffee </v>
      </c>
    </row>
    <row r="291">
      <c r="A291" s="12" t="s">
        <v>2391</v>
      </c>
      <c r="B291" s="12"/>
      <c r="C291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92">
      <c r="A292" s="12" t="s">
        <v>2392</v>
      </c>
      <c r="B292" s="12"/>
      <c r="C292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293">
      <c r="A293" s="12" t="s">
        <v>2393</v>
      </c>
      <c r="B293" s="12"/>
      <c r="C293" s="13" t="str">
        <f>HYPERLINK("http://4sq.com/ePKBKH","Det 5 Restaurant &amp; Bar ")</f>
        <v>Det 5 Restaurant &amp; Bar </v>
      </c>
    </row>
    <row r="294">
      <c r="A294" s="12" t="s">
        <v>2394</v>
      </c>
      <c r="B294" s="12"/>
      <c r="C294" s="13" t="str">
        <f>HYPERLINK("http://4sq.com/8BrY6E","InterContinental Bangkok ")</f>
        <v>InterContinental Bangkok </v>
      </c>
    </row>
    <row r="295">
      <c r="A295" s="12" t="s">
        <v>2395</v>
      </c>
      <c r="B295" s="12"/>
      <c r="C295" s="13" t="str">
        <f>HYPERLINK("http://4sq.com/n5ShPO","Viva Monsoon ")</f>
        <v>Viva Monsoon </v>
      </c>
    </row>
    <row r="296">
      <c r="A296" s="12" t="s">
        <v>2396</v>
      </c>
      <c r="B296" s="12"/>
      <c r="C296" s="13" t="str">
        <f>HYPERLINK("http://4sq.com/1HNetVU","The Beach Pub &amp; Restaurant ")</f>
        <v>The Beach Pub &amp; Restaurant </v>
      </c>
    </row>
    <row r="297">
      <c r="A297" s="12" t="s">
        <v>2397</v>
      </c>
      <c r="B297" s="12"/>
      <c r="C297" s="13" t="str">
        <f>HYPERLINK("http://4sq.com/1Dq7W1B","Cafe Coco ")</f>
        <v>Cafe Coco </v>
      </c>
    </row>
    <row r="298">
      <c r="A298" s="12" t="s">
        <v>2398</v>
      </c>
      <c r="B298" s="12"/>
      <c r="C298" s="13" t="str">
        <f>HYPERLINK("http://4sq.com/bNuR0g","Laemtong Bangsaen (แหลมทองบางแสน) ")</f>
        <v>Laemtong Bangsaen (แหลมทองบางแสน) </v>
      </c>
    </row>
    <row r="299">
      <c r="A299" s="12" t="s">
        <v>2399</v>
      </c>
      <c r="B299" s="12"/>
      <c r="C299" s="13" t="str">
        <f>HYPERLINK("http://4sq.com/dqI3BV","BTS Udom Suk (E12) (BTS อุดมสุข) ")</f>
        <v>BTS Udom Suk (E12) (BTS อุดมสุข) </v>
      </c>
    </row>
    <row r="300">
      <c r="A300" s="12" t="s">
        <v>2400</v>
      </c>
      <c r="B300" s="12"/>
      <c r="C300" s="13" t="str">
        <f>HYPERLINK("http://4sq.com/bApRjJ","FCCT-The Foreign Correspondents' Club of Thailand ")</f>
        <v>FCCT-The Foreign Correspondents' Club of Thailand </v>
      </c>
    </row>
    <row r="301">
      <c r="A301" s="12" t="s">
        <v>2401</v>
      </c>
      <c r="B301" s="12"/>
      <c r="C301" s="13" t="str">
        <f>HYPERLINK("http://4sq.com/7KI4ge","BTS Phrom Phong (E5) (BTS พร้อมพงษ์) ")</f>
        <v>BTS Phrom Phong (E5) (BTS พร้อมพงษ์) </v>
      </c>
    </row>
    <row r="302">
      <c r="A302" s="12" t="s">
        <v>2402</v>
      </c>
      <c r="B302" s="12"/>
      <c r="C302" s="13" t="str">
        <f>HYPERLINK("http://4sq.com/aN2sKp","Bei Otto ")</f>
        <v>Bei Otto </v>
      </c>
    </row>
    <row r="303">
      <c r="A303" s="12" t="s">
        <v>2403</v>
      </c>
      <c r="B303" s="12"/>
      <c r="C303" s="13" t="str">
        <f>HYPERLINK("http://4sq.com/bBUjS0","The River (เดอะริเวอร์) ")</f>
        <v>The River (เดอะริเวอร์) </v>
      </c>
    </row>
    <row r="304">
      <c r="A304" s="12" t="s">
        <v>2404</v>
      </c>
      <c r="B304" s="12"/>
      <c r="C304" s="13" t="str">
        <f>HYPERLINK("http://4sq.com/aszzKt","Sethiwan Tower (เศรษฐีวรรณทาวเวอร์) ")</f>
        <v>Sethiwan Tower (เศรษฐีวรรณทาวเวอร์) </v>
      </c>
    </row>
    <row r="305">
      <c r="A305" s="12" t="s">
        <v>2405</v>
      </c>
      <c r="B305" s="12"/>
      <c r="C305" s="13" t="str">
        <f>HYPERLINK("http://4sq.com/10rz0XE","Domestic Departures ")</f>
        <v>Domestic Departures </v>
      </c>
    </row>
    <row r="306">
      <c r="A306" s="12" t="s">
        <v>2406</v>
      </c>
      <c r="B306" s="12"/>
      <c r="C306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07">
      <c r="A307" s="12" t="s">
        <v>2407</v>
      </c>
      <c r="B307" s="12"/>
      <c r="C307" s="13" t="str">
        <f>HYPERLINK("http://4sq.com/17yZfyA","Dhara Dhevi Cake Shop ")</f>
        <v>Dhara Dhevi Cake Shop </v>
      </c>
    </row>
    <row r="308">
      <c r="A308" s="12" t="s">
        <v>2408</v>
      </c>
      <c r="B308" s="12"/>
      <c r="C308" s="13" t="str">
        <f>HYPERLINK("http://4sq.com/2n5LsTI","One Nimman (วันนิมมาน) ")</f>
        <v>One Nimman (วันนิมมาน) </v>
      </c>
    </row>
    <row r="309">
      <c r="A309" s="12" t="s">
        <v>2409</v>
      </c>
      <c r="B309" s="12"/>
      <c r="C309" s="13" t="str">
        <f>HYPERLINK("http://4sq.com/dwbrHe","The Salad Concept ")</f>
        <v>The Salad Concept </v>
      </c>
    </row>
    <row r="310">
      <c r="A310" s="12" t="s">
        <v>2410</v>
      </c>
      <c r="B310" s="12"/>
      <c r="C310" s="13" t="str">
        <f>HYPERLINK("https://4sq.com/2qzRpaE","Wami Music Box ")</f>
        <v>Wami Music Box </v>
      </c>
    </row>
    <row r="311">
      <c r="A311" s="12" t="s">
        <v>2411</v>
      </c>
      <c r="B311" s="12"/>
      <c r="C311" s="13" t="str">
        <f>HYPERLINK("http://4sq.com/139xAVx","Food4thought ")</f>
        <v>Food4thought </v>
      </c>
    </row>
    <row r="312">
      <c r="A312" s="12" t="s">
        <v>2412</v>
      </c>
      <c r="B312" s="12"/>
      <c r="C312" s="13" t="str">
        <f>HYPERLINK("http://4sq.com/1UAssUD","Mamma Mia ")</f>
        <v>Mamma Mia </v>
      </c>
    </row>
    <row r="313">
      <c r="A313" s="12" t="s">
        <v>2413</v>
      </c>
      <c r="B313" s="12"/>
      <c r="C313" s="13" t="str">
        <f>HYPERLINK("http://4sq.com/eu45Ff","ครัวดวงสมพงษ์ ")</f>
        <v>ครัวดวงสมพงษ์ </v>
      </c>
    </row>
    <row r="314">
      <c r="A314" s="12" t="s">
        <v>2414</v>
      </c>
      <c r="B314" s="12"/>
      <c r="C314" s="13" t="str">
        <f>HYPERLINK("http://4sq.com/1oOzchM","Rustic &amp; Blue ")</f>
        <v>Rustic &amp; Blue </v>
      </c>
    </row>
    <row r="315">
      <c r="A315" s="12" t="s">
        <v>2415</v>
      </c>
      <c r="B315" s="12"/>
      <c r="C315" s="13" t="str">
        <f>HYPERLINK("https://4sq.com/2KH4bks","Onsen @ Moncham ")</f>
        <v>Onsen @ Moncham </v>
      </c>
    </row>
    <row r="316">
      <c r="A316" s="12" t="s">
        <v>2416</v>
      </c>
      <c r="B316" s="12"/>
      <c r="C316" s="13" t="str">
        <f>HYPERLINK("http://4sq.com/1HUrpXh","ข้าวซอยรสลำ ")</f>
        <v>ข้าวซอยรสลำ </v>
      </c>
    </row>
    <row r="317">
      <c r="A317" s="12" t="s">
        <v>2417</v>
      </c>
      <c r="B317" s="12"/>
      <c r="C317" s="13" t="str">
        <f>HYPERLINK("http://4sq.com/eu45Ff","ครัวดวงสมพงษ์ ")</f>
        <v>ครัวดวงสมพงษ์ </v>
      </c>
    </row>
    <row r="318">
      <c r="A318" s="12" t="s">
        <v>2418</v>
      </c>
      <c r="B318" s="12"/>
      <c r="C318" s="13" t="str">
        <f>HYPERLINK("http://4sq.com/9adz8k","Susco ")</f>
        <v>Susco </v>
      </c>
    </row>
    <row r="319">
      <c r="A319" s="12" t="s">
        <v>2419</v>
      </c>
      <c r="B319" s="12"/>
      <c r="C319" s="13" t="str">
        <f>HYPERLINK("http://4sq.com/hUO8aV","Girasole Ristorante Italiano ")</f>
        <v>Girasole Ristorante Italiano </v>
      </c>
    </row>
    <row r="320">
      <c r="A320" s="12" t="s">
        <v>2420</v>
      </c>
      <c r="B320" s="12"/>
      <c r="C320" s="13" t="str">
        <f>HYPERLINK("http://4sq.com/18JNSo6","Cowboy Club House ")</f>
        <v>Cowboy Club House </v>
      </c>
    </row>
    <row r="321">
      <c r="A321" s="12" t="s">
        <v>2420</v>
      </c>
      <c r="B321" s="12"/>
      <c r="C321" s="13" t="str">
        <f>HYPERLINK("http://4sq.com/2n7KiFm","F•A•R•M Cowboy ")</f>
        <v>F•A•R•M Cowboy </v>
      </c>
    </row>
    <row r="322">
      <c r="A322" s="12" t="s">
        <v>2421</v>
      </c>
      <c r="B322" s="12"/>
      <c r="C322" s="13" t="str">
        <f>HYPERLINK("http://4sq.com/1LwwIEn","Let It Be ")</f>
        <v>Let It Be </v>
      </c>
    </row>
    <row r="323">
      <c r="A323" s="12" t="s">
        <v>2422</v>
      </c>
      <c r="B323" s="12"/>
      <c r="C323" s="13" t="str">
        <f>HYPERLINK("http://4sq.com/2n5LsTI","One Nimman (วันนิมมาน) ")</f>
        <v>One Nimman (วันนิมมาน) </v>
      </c>
    </row>
    <row r="324">
      <c r="A324" s="12" t="s">
        <v>2423</v>
      </c>
      <c r="B324" s="12"/>
      <c r="C324" s="13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325">
      <c r="A325" s="12" t="s">
        <v>2424</v>
      </c>
      <c r="B325" s="12"/>
      <c r="C325" s="13" t="str">
        <f>HYPERLINK("http://4sq.com/2BQaCNx","Ginger Farm Kitchen ")</f>
        <v>Ginger Farm Kitchen </v>
      </c>
    </row>
    <row r="326">
      <c r="A326" s="12" t="s">
        <v>2425</v>
      </c>
      <c r="B326" s="12"/>
      <c r="C326" s="13" t="str">
        <f>HYPERLINK("http://4sq.com/1TCmRjN","Hong beach (โฮ่งบีช) ")</f>
        <v>Hong beach (โฮ่งบีช) </v>
      </c>
    </row>
    <row r="327">
      <c r="A327" s="12" t="s">
        <v>2426</v>
      </c>
      <c r="B327" s="12"/>
      <c r="C327" s="13" t="str">
        <f>HYPERLINK("http://4sq.com/1lpaXII","Snowbuff Coffee (สโนว์บั๊ฟ คอฟฟี่) ")</f>
        <v>Snowbuff Coffee (สโนว์บั๊ฟ คอฟฟี่) </v>
      </c>
    </row>
    <row r="328">
      <c r="A328" s="12" t="s">
        <v>2427</v>
      </c>
      <c r="B328" s="12"/>
      <c r="C328" s="13" t="str">
        <f>HYPERLINK("http://4sq.com/2lNr0pM","Bombay Hut ")</f>
        <v>Bombay Hut </v>
      </c>
    </row>
    <row r="329">
      <c r="A329" s="12" t="s">
        <v>2428</v>
      </c>
      <c r="B329" s="12"/>
      <c r="C329" s="13" t="str">
        <f>HYPERLINK("http://4sq.com/hhYbCY","International Check In Counter ")</f>
        <v>International Check In Counter </v>
      </c>
    </row>
    <row r="330">
      <c r="A330" s="12" t="s">
        <v>2429</v>
      </c>
      <c r="B330" s="12"/>
      <c r="C330" s="13" t="str">
        <f>HYPERLINK("http://4sq.com/1uTcCs4","Local Cafe (คาเฟ่บ้านนอก) ")</f>
        <v>Local Cafe (คาเฟ่บ้านนอก) </v>
      </c>
    </row>
    <row r="331">
      <c r="A331" s="12" t="s">
        <v>2430</v>
      </c>
      <c r="B331" s="12"/>
      <c r="C331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32">
      <c r="A332" s="12" t="s">
        <v>2431</v>
      </c>
      <c r="B332" s="12"/>
      <c r="C332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333">
      <c r="A333" s="12" t="s">
        <v>2432</v>
      </c>
      <c r="B333" s="12"/>
      <c r="C333" s="13" t="str">
        <f>HYPERLINK("http://4sq.com/crBVSU","Incheon International Airport (ICN) (인천국제공항) ")</f>
        <v>Incheon International Airport (ICN) (인천국제공항) </v>
      </c>
    </row>
    <row r="334">
      <c r="A334" s="12" t="s">
        <v>2433</v>
      </c>
      <c r="B334" s="12"/>
      <c r="C334" s="13" t="str">
        <f>HYPERLINK("http://4sq.com/TMoYjU","Center Mark Hotel (센터마크호텔) ")</f>
        <v>Center Mark Hotel (센터마크호텔) </v>
      </c>
    </row>
    <row r="335">
      <c r="A335" s="12" t="s">
        <v>2434</v>
      </c>
      <c r="B335" s="12"/>
      <c r="C335" s="13" t="str">
        <f>HYPERLINK("http://4sq.com/bbPlwW","Jonggak Stn. (종각역) ")</f>
        <v>Jonggak Stn. (종각역) </v>
      </c>
    </row>
    <row r="336">
      <c r="A336" s="12" t="s">
        <v>2435</v>
      </c>
      <c r="B336" s="12"/>
      <c r="C336" s="13" t="str">
        <f>HYPERLINK("http://4sq.com/dgw9pS","Seoul Station - KTX/Korail (서울역 KTX/코레일) ")</f>
        <v>Seoul Station - KTX/Korail (서울역 KTX/코레일) </v>
      </c>
    </row>
    <row r="337">
      <c r="A337" s="12" t="s">
        <v>2436</v>
      </c>
      <c r="B337" s="12"/>
      <c r="C337" s="13" t="str">
        <f>HYPERLINK("http://4sq.com/bp10id","Gwacheon National Science Museum (국립과천과학관) ")</f>
        <v>Gwacheon National Science Museum (국립과천과학관) </v>
      </c>
    </row>
    <row r="338">
      <c r="A338" s="12" t="s">
        <v>2437</v>
      </c>
      <c r="B338" s="12"/>
      <c r="C338" s="13" t="str">
        <f>HYPERLINK("http://4sq.com/XxzBuJ","Insectarium (국립과천과학관 곤충생태관) ")</f>
        <v>Insectarium (국립과천과학관 곤충생태관) </v>
      </c>
    </row>
    <row r="339">
      <c r="A339" s="12" t="s">
        <v>2438</v>
      </c>
      <c r="B339" s="12"/>
      <c r="C339" s="13" t="str">
        <f>HYPERLINK("http://4sq.com/bg2QHM","고인돌 ")</f>
        <v>고인돌 </v>
      </c>
    </row>
    <row r="340">
      <c r="A340" s="12" t="s">
        <v>2439</v>
      </c>
      <c r="B340" s="12"/>
      <c r="C340" s="13" t="str">
        <f>HYPERLINK("http://4sq.com/TMoYjU","Center Mark Hotel (센터마크호텔) ")</f>
        <v>Center Mark Hotel (센터마크호텔) </v>
      </c>
    </row>
    <row r="341">
      <c r="A341" s="12" t="s">
        <v>2440</v>
      </c>
      <c r="B341" s="12"/>
      <c r="C341" s="13" t="str">
        <f>HYPERLINK("http://4sq.com/8KVQPu","LOTTE Department Store (롯데백화점) ")</f>
        <v>LOTTE Department Store (롯데백화점) </v>
      </c>
    </row>
    <row r="342">
      <c r="A342" s="12" t="s">
        <v>2441</v>
      </c>
      <c r="B342" s="12"/>
      <c r="C342" s="13" t="str">
        <f>HYPERLINK("http://4sq.com/favOPg","The Adventures of Sinbad (신밧드의 모험) ")</f>
        <v>The Adventures of Sinbad (신밧드의 모험) </v>
      </c>
    </row>
    <row r="343">
      <c r="A343" s="12" t="s">
        <v>2442</v>
      </c>
      <c r="B343" s="12"/>
      <c r="C343" s="13" t="str">
        <f>HYPERLINK("http://4sq.com/gEtwAq","Lotte World Hot Air Balloon Ride (롯데월드 풍선비행) ")</f>
        <v>Lotte World Hot Air Balloon Ride (롯데월드 풍선비행) </v>
      </c>
    </row>
    <row r="344">
      <c r="A344" s="12" t="s">
        <v>2443</v>
      </c>
      <c r="B344" s="12"/>
      <c r="C344" s="13" t="str">
        <f>HYPERLINK("http://4sq.com/2d4J8Uq","화포식당 ")</f>
        <v>화포식당 </v>
      </c>
    </row>
    <row r="345">
      <c r="A345" s="12" t="s">
        <v>2444</v>
      </c>
      <c r="B345" s="12"/>
      <c r="C345" s="13" t="str">
        <f>HYPERLINK("http://4sq.com/6Fvzx9","Munmak Service Area - Gangneung-bound (문막휴게소 강릉방향) ")</f>
        <v>Munmak Service Area - Gangneung-bound (문막휴게소 강릉방향) </v>
      </c>
    </row>
    <row r="346">
      <c r="A346" s="12" t="s">
        <v>2445</v>
      </c>
      <c r="B346" s="12"/>
      <c r="C346" s="13" t="str">
        <f>HYPERLINK("http://4sq.com/KbwiF1","White Cabin ")</f>
        <v>White Cabin </v>
      </c>
    </row>
    <row r="347">
      <c r="A347" s="12" t="s">
        <v>2446</v>
      </c>
      <c r="B347" s="12"/>
      <c r="C347" s="13" t="str">
        <f>HYPERLINK("https://4sq.com/2UOIOiN","광명식당 ")</f>
        <v>광명식당 </v>
      </c>
    </row>
    <row r="348">
      <c r="A348" s="12" t="s">
        <v>2447</v>
      </c>
      <c r="B348" s="12"/>
      <c r="C348" s="13" t="str">
        <f>HYPERLINK("http://4sq.com/55BZoU","Phoenix Pyeongchang (휘닉스 평창) ")</f>
        <v>Phoenix Pyeongchang (휘닉스 평창) 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2" t="s">
        <v>2448</v>
      </c>
      <c r="B1" s="12"/>
      <c r="C1" s="13" t="str">
        <f>HYPERLINK("http://4sq.com/1Ey5vKp","bella pino ")</f>
        <v>bella pino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2" t="s">
        <v>2449</v>
      </c>
      <c r="B2" s="12"/>
      <c r="C2" s="13" t="str">
        <f>HYPERLINK("http://4sq.com/1aCKtyK","Pheonix Park Ski Area ")</f>
        <v>Pheonix Park Ski Area </v>
      </c>
      <c r="F2" s="14" t="str">
        <f t="shared" ref="F2:H2" si="1">INDEX(A:C, RANDBETWEEN(1, ROWS(2:117)), RANDBETWEEN(1, COLUMNS(C:C)))</f>
        <v>April 11, 2019 at 08:06PM</v>
      </c>
      <c r="G2" s="8" t="str">
        <f t="shared" si="1"/>
        <v/>
      </c>
      <c r="H2" s="10" t="str">
        <f t="shared" si="1"/>
        <v>HomePro Plus (โฮมโปร พลัส) </v>
      </c>
      <c r="I2" s="11" t="str">
        <f t="array" ref="I2">INDEX(C:C, RANDBETWEEN(1, ROWS(1:116)), RANDBETWEEN(1, COLUMNS(C:C)))</f>
        <v>Siam Paragon (สยามพารากอน) </v>
      </c>
      <c r="J2" s="8" t="str">
        <f>CONCATENATE(F2," ",H2)</f>
        <v>April 11, 2019 at 08:06PM HomePro Plus (โฮมโปร พลัส) </v>
      </c>
    </row>
    <row r="3">
      <c r="A3" s="12" t="s">
        <v>2450</v>
      </c>
      <c r="B3" s="12"/>
      <c r="C3" s="13" t="str">
        <f>HYPERLINK("http://4sq.com/egbCcq","휘닉스파크 곤돌라 ")</f>
        <v>휘닉스파크 곤돌라 </v>
      </c>
    </row>
    <row r="4">
      <c r="A4" s="12" t="s">
        <v>2451</v>
      </c>
      <c r="B4" s="12"/>
      <c r="C4" s="13" t="str">
        <f>HYPERLINK("http://4sq.com/2go5yBm","Phoenix Pyeongchang Snow Park (휘닉스 평창 스노우파크) ")</f>
        <v>Phoenix Pyeongchang Snow Park (휘닉스 평창 스노우파크) </v>
      </c>
    </row>
    <row r="5">
      <c r="A5" s="12" t="s">
        <v>2452</v>
      </c>
      <c r="B5" s="12"/>
      <c r="C5" s="13" t="str">
        <f>HYPERLINK("http://4sq.com/2xjnNQ2","BBQ 치킨 ")</f>
        <v>BBQ 치킨 </v>
      </c>
    </row>
    <row r="6">
      <c r="A6" s="12" t="s">
        <v>2453</v>
      </c>
      <c r="B6" s="12"/>
      <c r="C6" s="13" t="str">
        <f>HYPERLINK("http://4sq.com/2go5yBm","Phoenix Pyeongchang Snow Park (휘닉스 평창 스노우파크) ")</f>
        <v>Phoenix Pyeongchang Snow Park (휘닉스 평창 스노우파크) </v>
      </c>
    </row>
    <row r="7">
      <c r="A7" s="12" t="s">
        <v>2454</v>
      </c>
      <c r="B7" s="12"/>
      <c r="C7" s="13" t="str">
        <f>HYPERLINK("http://4sq.com/1aCKtyK","Pheonix Park Ski Area ")</f>
        <v>Pheonix Park Ski Area </v>
      </c>
    </row>
    <row r="8">
      <c r="A8" s="12" t="s">
        <v>2455</v>
      </c>
      <c r="B8" s="12"/>
      <c r="C8" s="13" t="str">
        <f>HYPERLINK("http://4sq.com/2xjnNQ2","BBQ 치킨 ")</f>
        <v>BBQ 치킨 </v>
      </c>
    </row>
    <row r="9">
      <c r="A9" s="12" t="s">
        <v>2456</v>
      </c>
      <c r="B9" s="12"/>
      <c r="C9" s="13" t="str">
        <f>HYPERLINK("http://4sq.com/1aCKtyK","Pheonix Park Ski Area ")</f>
        <v>Pheonix Park Ski Area </v>
      </c>
    </row>
    <row r="10">
      <c r="A10" s="12" t="s">
        <v>2457</v>
      </c>
      <c r="B10" s="12"/>
      <c r="C10" s="13" t="str">
        <f>HYPERLINK("http://4sq.com/eFRDbR","휘닉스파크 The Hotel ")</f>
        <v>휘닉스파크 The Hotel </v>
      </c>
    </row>
    <row r="11">
      <c r="A11" s="12" t="s">
        <v>2458</v>
      </c>
      <c r="B11" s="12"/>
      <c r="C11" s="13" t="str">
        <f>HYPERLINK("http://4sq.com/nh6Ks4","덕평자연휴게소 푸드코트 ")</f>
        <v>덕평자연휴게소 푸드코트 </v>
      </c>
    </row>
    <row r="12">
      <c r="A12" s="12" t="s">
        <v>2459</v>
      </c>
      <c r="B12" s="12"/>
      <c r="C12" s="13" t="str">
        <f>HYPERLINK("http://4sq.com/RjTK0c","Aventree Hotel Jongno (호텔아벤트리종로) ")</f>
        <v>Aventree Hotel Jongno (호텔아벤트리종로) </v>
      </c>
    </row>
    <row r="13">
      <c r="A13" s="12" t="s">
        <v>2460</v>
      </c>
      <c r="B13" s="12"/>
      <c r="C13" s="13" t="str">
        <f>HYPERLINK("http://4sq.com/2fzNYNJ","Jongno-gu (종로구) ")</f>
        <v>Jongno-gu (종로구) </v>
      </c>
    </row>
    <row r="14">
      <c r="A14" s="12" t="s">
        <v>2461</v>
      </c>
      <c r="B14" s="12"/>
      <c r="C14" s="13" t="str">
        <f>HYPERLINK("http://4sq.com/RjTK0c","Aventree Hotel Jongno (호텔아벤트리종로) ")</f>
        <v>Aventree Hotel Jongno (호텔아벤트리종로) </v>
      </c>
    </row>
    <row r="15">
      <c r="A15" s="12" t="s">
        <v>2462</v>
      </c>
      <c r="B15" s="12"/>
      <c r="C15" s="13" t="str">
        <f>HYPERLINK("http://4sq.com/crBVSU","Incheon International Airport (ICN) (인천국제공항) ")</f>
        <v>Incheon International Airport (ICN) (인천국제공항) </v>
      </c>
    </row>
    <row r="16">
      <c r="A16" s="12" t="s">
        <v>2463</v>
      </c>
      <c r="B16" s="12"/>
      <c r="C16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17">
      <c r="A17" s="12" t="s">
        <v>2464</v>
      </c>
      <c r="B17" s="12"/>
      <c r="C17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18">
      <c r="A18" s="12" t="s">
        <v>2465</v>
      </c>
      <c r="B18" s="12"/>
      <c r="C18" s="13" t="str">
        <f>HYPERLINK("http://4sq.com/1uTcCs4","Local Cafe (คาเฟ่บ้านนอก) ")</f>
        <v>Local Cafe (คาเฟ่บ้านนอก) </v>
      </c>
    </row>
    <row r="19">
      <c r="A19" s="12" t="s">
        <v>2466</v>
      </c>
      <c r="B19" s="12"/>
      <c r="C19" s="13" t="str">
        <f>HYPERLINK("http://4sq.com/nbkCEm","ร้านตุ้มตามสั่ง ")</f>
        <v>ร้านตุ้มตามสั่ง </v>
      </c>
    </row>
    <row r="20">
      <c r="A20" s="12" t="s">
        <v>2467</v>
      </c>
      <c r="B20" s="12"/>
      <c r="C20" s="13" t="str">
        <f>HYPERLINK("http://4sq.com/nVMkQQ","Royal Park Rajapruek (อุทยานหลวงราชพฤกษ์) ")</f>
        <v>Royal Park Rajapruek (อุทยานหลวงราชพฤกษ์) </v>
      </c>
    </row>
    <row r="21">
      <c r="A21" s="12" t="s">
        <v>2468</v>
      </c>
      <c r="B21" s="12"/>
      <c r="C21" s="13" t="str">
        <f>HYPERLINK("http://4sq.com/23EAhNx","Wrap Master ")</f>
        <v>Wrap Master </v>
      </c>
    </row>
    <row r="22">
      <c r="A22" s="12" t="s">
        <v>2469</v>
      </c>
      <c r="B22" s="12"/>
      <c r="C22" s="13" t="str">
        <f>HYPERLINK("http://4sq.com/1uTcCs4","Local Cafe (คาเฟ่บ้านนอก) ")</f>
        <v>Local Cafe (คาเฟ่บ้านนอก) </v>
      </c>
    </row>
    <row r="23">
      <c r="A23" s="12" t="s">
        <v>2470</v>
      </c>
      <c r="B23" s="12"/>
      <c r="C23" s="13" t="str">
        <f>HYPERLINK("http://4sq.com/9Y0ahC","มายเวียดนาม (หนองคายแหนมเนือง) My Vietnamese ")</f>
        <v>มายเวียดนาม (หนองคายแหนมเนือง) My Vietnamese </v>
      </c>
    </row>
    <row r="24">
      <c r="A24" s="12" t="s">
        <v>2471</v>
      </c>
      <c r="B24" s="12"/>
      <c r="C24" s="13" t="str">
        <f>HYPERLINK("http://4sq.com/2n5LsTI","One Nimman (วันนิมมาน) ")</f>
        <v>One Nimman (วันนิมมาน) </v>
      </c>
    </row>
    <row r="25">
      <c r="A25" s="12" t="s">
        <v>2472</v>
      </c>
      <c r="B25" s="12"/>
      <c r="C25" s="13" t="str">
        <f>HYPERLINK("http://4sq.com/o3ZEdO","See Paak Restaurant ")</f>
        <v>See Paak Restaurant </v>
      </c>
    </row>
    <row r="26">
      <c r="A26" s="12" t="s">
        <v>2473</v>
      </c>
      <c r="B26" s="12"/>
      <c r="C26" s="13" t="str">
        <f>HYPERLINK("http://4sq.com/1dHOYY4","Pizzeria Giotto ")</f>
        <v>Pizzeria Giotto </v>
      </c>
    </row>
    <row r="27">
      <c r="A27" s="12" t="s">
        <v>2474</v>
      </c>
      <c r="B27" s="12"/>
      <c r="C27" s="13" t="str">
        <f>HYPERLINK("http://4sq.com/1NlaEZc","Cut 'em all ")</f>
        <v>Cut 'em all </v>
      </c>
    </row>
    <row r="28">
      <c r="A28" s="12" t="s">
        <v>2475</v>
      </c>
      <c r="B28" s="12"/>
      <c r="C28" s="13" t="str">
        <f>HYPERLINK("http://4sq.com/9pLJnm","Makro (แม็คโคร) ")</f>
        <v>Makro (แม็คโคร) </v>
      </c>
    </row>
    <row r="29">
      <c r="A29" s="12" t="s">
        <v>2476</v>
      </c>
      <c r="B29" s="12"/>
      <c r="C29" s="13" t="str">
        <f>HYPERLINK("http://4sq.com/1UAssUD","Mamma Mia ")</f>
        <v>Mamma Mia </v>
      </c>
    </row>
    <row r="30">
      <c r="A30" s="12" t="s">
        <v>2477</v>
      </c>
      <c r="B30" s="12"/>
      <c r="C30" s="13" t="str">
        <f>HYPERLINK("http://4sq.com/VROGQA","Wawee Coffee (กาแฟวาวี) ")</f>
        <v>Wawee Coffee (กาแฟวาวี) </v>
      </c>
    </row>
    <row r="31">
      <c r="A31" s="12" t="s">
        <v>2478</v>
      </c>
      <c r="B31" s="12"/>
      <c r="C31" s="13" t="str">
        <f>HYPERLINK("http://4sq.com/o3ZEdO","See Paak Restaurant ")</f>
        <v>See Paak Restaurant </v>
      </c>
    </row>
    <row r="32">
      <c r="A32" s="12" t="s">
        <v>2479</v>
      </c>
      <c r="B32" s="12"/>
      <c r="C32" s="13" t="str">
        <f>HYPERLINK("http://4sq.com/2pRoxh9","Punspace ")</f>
        <v>Punspace </v>
      </c>
    </row>
    <row r="33">
      <c r="A33" s="12" t="s">
        <v>2480</v>
      </c>
      <c r="B33" s="12"/>
      <c r="C33" s="13" t="str">
        <f>HYPERLINK("http://4sq.com/QLleMq","Three Little Pigs ")</f>
        <v>Three Little Pigs </v>
      </c>
    </row>
    <row r="34">
      <c r="A34" s="12" t="s">
        <v>2481</v>
      </c>
      <c r="B34" s="12"/>
      <c r="C34" s="13" t="str">
        <f>HYPERLINK("http://4sq.com/1iN093h","ก๋วยเตี๋ยวบ้านคุ้ม・ขนมจีน・ข้าวซอย ")</f>
        <v>ก๋วยเตี๋ยวบ้านคุ้ม・ขนมจีน・ข้าวซอย </v>
      </c>
    </row>
    <row r="35">
      <c r="A35" s="12" t="s">
        <v>2482</v>
      </c>
      <c r="B35" s="12"/>
      <c r="C35" s="13" t="str">
        <f>HYPERLINK("http://4sq.com/1K2l4NI","Teak Table (ทีค เทเบิล) ")</f>
        <v>Teak Table (ทีค เทเบิล) </v>
      </c>
    </row>
    <row r="36">
      <c r="A36" s="12" t="s">
        <v>2483</v>
      </c>
      <c r="B36" s="12"/>
      <c r="C36" s="13" t="str">
        <f>HYPERLINK("http://4sq.com/1e6LrSS","KASIKORNBANK (ธนาคารกสิกรไทย) ")</f>
        <v>KASIKORNBANK (ธนาคารกสิกรไทย) </v>
      </c>
    </row>
    <row r="37">
      <c r="A37" s="12" t="s">
        <v>2484</v>
      </c>
      <c r="B37" s="12"/>
      <c r="C37" s="13" t="str">
        <f>HYPERLINK("http://4sq.com/1UAssUD","Mamma Mia ")</f>
        <v>Mamma Mia </v>
      </c>
    </row>
    <row r="38">
      <c r="A38" s="12" t="s">
        <v>2485</v>
      </c>
      <c r="B38" s="12"/>
      <c r="C38" s="13" t="str">
        <f>HYPERLINK("http://4sq.com/biGK3c","กาดหน้ามอ (Kad Na Mor) (กาดหน้ามอ) ")</f>
        <v>กาดหน้ามอ (Kad Na Mor) (กาดหน้ามอ) </v>
      </c>
    </row>
    <row r="39">
      <c r="A39" s="12" t="s">
        <v>2486</v>
      </c>
      <c r="B39" s="12"/>
      <c r="C39" s="13" t="str">
        <f>HYPERLINK("https://4sq.com/2xYnr3P","Hanging Garden Cafe ")</f>
        <v>Hanging Garden Cafe </v>
      </c>
    </row>
    <row r="40">
      <c r="A40" s="12" t="s">
        <v>2487</v>
      </c>
      <c r="B40" s="12"/>
      <c r="C40" s="13" t="str">
        <f>HYPERLINK("http://4sq.com/i6Qcfc","Payap Music Academy (สถาบันดนตรี วิทยาลัยดุริยศิลป์) ")</f>
        <v>Payap Music Academy (สถาบันดนตรี วิทยาลัยดุริยศิลป์) </v>
      </c>
    </row>
    <row r="41">
      <c r="A41" s="12" t="s">
        <v>2488</v>
      </c>
      <c r="B41" s="12"/>
      <c r="C41" s="13" t="str">
        <f>HYPERLINK("http://4sq.com/9K7ydH","Bake &amp; Bite (เบ๊คแอนด์ไบท์) ")</f>
        <v>Bake &amp; Bite (เบ๊คแอนด์ไบท์) </v>
      </c>
    </row>
    <row r="42">
      <c r="A42" s="12" t="s">
        <v>2489</v>
      </c>
      <c r="B42" s="12"/>
      <c r="C42" s="13" t="str">
        <f>HYPERLINK("http://4sq.com/a3WF57","Pizza Mania ")</f>
        <v>Pizza Mania </v>
      </c>
    </row>
    <row r="43">
      <c r="A43" s="12" t="s">
        <v>2490</v>
      </c>
      <c r="B43" s="12"/>
      <c r="C43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44">
      <c r="A44" s="12" t="s">
        <v>2491</v>
      </c>
      <c r="B44" s="12"/>
      <c r="C44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45">
      <c r="A45" s="12" t="s">
        <v>2492</v>
      </c>
      <c r="B45" s="12"/>
      <c r="C45" s="13" t="str">
        <f>HYPERLINK("http://4sq.com/c2PbAQ","Chatrium Hotel Riverside Bangkok ")</f>
        <v>Chatrium Hotel Riverside Bangkok </v>
      </c>
    </row>
    <row r="46">
      <c r="A46" s="12" t="s">
        <v>2493</v>
      </c>
      <c r="B46" s="12"/>
      <c r="C46" s="13" t="str">
        <f>HYPERLINK("https://4sq.com/2FZsxUP","ICON CINECONIC (ไอคอน ซีเนคอนิค) ")</f>
        <v>ICON CINECONIC (ไอคอน ซีเนคอนิค) </v>
      </c>
    </row>
    <row r="47">
      <c r="A47" s="12" t="s">
        <v>2494</v>
      </c>
      <c r="B47" s="12"/>
      <c r="C47" s="13" t="str">
        <f>HYPERLINK("http://4sq.com/crLghq","Rama Gardens Hotel Bangkok (โรงแรมรามาการ์เด้นส์) ")</f>
        <v>Rama Gardens Hotel Bangkok (โรงแรมรามาการ์เด้นส์) </v>
      </c>
    </row>
    <row r="48">
      <c r="A48" s="12" t="s">
        <v>2495</v>
      </c>
      <c r="B48" s="12"/>
      <c r="C48" s="13" t="str">
        <f>HYPERLINK("http://4sq.com/iLuTkv","Supapong Condominium ")</f>
        <v>Supapong Condominium </v>
      </c>
    </row>
    <row r="49">
      <c r="A49" s="12" t="s">
        <v>2496</v>
      </c>
      <c r="B49" s="12"/>
      <c r="C49" s="13" t="str">
        <f>HYPERLINK("http://4sq.com/dwbrHe","The Salad Concept ")</f>
        <v>The Salad Concept </v>
      </c>
    </row>
    <row r="50">
      <c r="A50" s="12" t="s">
        <v>2497</v>
      </c>
      <c r="B50" s="12"/>
      <c r="C50" s="13" t="str">
        <f>HYPERLINK("http://4sq.com/2n5LsTI","One Nimman (วันนิมมาน) ")</f>
        <v>One Nimman (วันนิมมาน) </v>
      </c>
    </row>
    <row r="51">
      <c r="A51" s="12" t="s">
        <v>2498</v>
      </c>
      <c r="B51" s="12"/>
      <c r="C51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52">
      <c r="A52" s="12" t="s">
        <v>2499</v>
      </c>
      <c r="B52" s="12"/>
      <c r="C52" s="13" t="str">
        <f>HYPERLINK("http://4sq.com/9Px8lr","Sky Lounge ")</f>
        <v>Sky Lounge </v>
      </c>
    </row>
    <row r="53">
      <c r="A53" s="12" t="s">
        <v>2499</v>
      </c>
      <c r="B53" s="12"/>
      <c r="C53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54">
      <c r="A54" s="12" t="s">
        <v>2500</v>
      </c>
      <c r="B54" s="12"/>
      <c r="C54" s="13" t="str">
        <f>HYPERLINK("http://4sq.com/qHBPAF","Concourse A (인천국제공항 탑승동 A) ")</f>
        <v>Concourse A (인천국제공항 탑승동 A) </v>
      </c>
    </row>
    <row r="55">
      <c r="A55" s="12" t="s">
        <v>2501</v>
      </c>
      <c r="B55" s="12"/>
      <c r="C55" s="13" t="str">
        <f>HYPERLINK("http://4sq.com/hopy6N","Incheon International Airport Transportation Center (인천국제공항 교통센터) ")</f>
        <v>Incheon International Airport Transportation Center (인천국제공항 교통센터) </v>
      </c>
    </row>
    <row r="56">
      <c r="A56" s="12" t="s">
        <v>2502</v>
      </c>
      <c r="B56" s="12"/>
      <c r="C56" s="13" t="str">
        <f>HYPERLINK("http://4sq.com/19C4ggY","Jung-gu (중구) ")</f>
        <v>Jung-gu (중구) </v>
      </c>
    </row>
    <row r="57">
      <c r="A57" s="12" t="s">
        <v>2503</v>
      </c>
      <c r="B57" s="12"/>
      <c r="C57" s="13" t="str">
        <f>HYPERLINK("http://4sq.com/bB10Fb","Jangchung Gymnasium (장충체육관) ")</f>
        <v>Jangchung Gymnasium (장충체육관) </v>
      </c>
    </row>
    <row r="58">
      <c r="A58" s="12" t="s">
        <v>2504</v>
      </c>
      <c r="B58" s="12"/>
      <c r="C58" s="13" t="str">
        <f>HYPERLINK("http://4sq.com/2hnr78n","Starbucks (스타벅스) ")</f>
        <v>Starbucks (스타벅스) </v>
      </c>
    </row>
    <row r="59">
      <c r="A59" s="12" t="s">
        <v>2505</v>
      </c>
      <c r="B59" s="12"/>
      <c r="C59" s="13" t="str">
        <f>HYPERLINK("http://4sq.com/1aND942","Google Campus Seoul (구글캠퍼스 서울) ")</f>
        <v>Google Campus Seoul (구글캠퍼스 서울) </v>
      </c>
    </row>
    <row r="60">
      <c r="A60" s="12" t="s">
        <v>2506</v>
      </c>
      <c r="B60" s="12"/>
      <c r="C60" s="13" t="str">
        <f>HYPERLINK("http://4sq.com/1nzEgqy","오토코 ")</f>
        <v>오토코 </v>
      </c>
    </row>
    <row r="61">
      <c r="A61" s="12" t="s">
        <v>2507</v>
      </c>
      <c r="B61" s="12"/>
      <c r="C61" s="13" t="str">
        <f>HYPERLINK("http://4sq.com/2hnr78n","Starbucks (스타벅스) ")</f>
        <v>Starbucks (스타벅스) </v>
      </c>
    </row>
    <row r="62">
      <c r="A62" s="12" t="s">
        <v>2508</v>
      </c>
      <c r="B62" s="12"/>
      <c r="C62" s="13" t="str">
        <f>HYPERLINK("https://4sq.com/2QbMV5S","Nonce ")</f>
        <v>Nonce </v>
      </c>
    </row>
    <row r="63">
      <c r="A63" s="12" t="s">
        <v>2509</v>
      </c>
      <c r="B63" s="12"/>
      <c r="C63" s="13" t="str">
        <f>HYPERLINK("http://4sq.com/1BYF6Sx","D Bridge ")</f>
        <v>D Bridge </v>
      </c>
    </row>
    <row r="64">
      <c r="A64" s="12" t="s">
        <v>2510</v>
      </c>
      <c r="B64" s="12"/>
      <c r="C64" s="13" t="str">
        <f>HYPERLINK("http://4sq.com/oQgTQ5","MISS AMERICANO (Miss Americano 미쓰아메리카노) ")</f>
        <v>MISS AMERICANO (Miss Americano 미쓰아메리카노) </v>
      </c>
    </row>
    <row r="65">
      <c r="A65" s="12" t="s">
        <v>2511</v>
      </c>
      <c r="B65" s="12"/>
      <c r="C65" s="13" t="str">
        <f>HYPERLINK("http://4sq.com/o73Qva","Café De L'ambre (카페드람브르) ")</f>
        <v>Café De L'ambre (카페드람브르) </v>
      </c>
    </row>
    <row r="66">
      <c r="A66" s="12" t="s">
        <v>2512</v>
      </c>
      <c r="B66" s="12"/>
      <c r="C66" s="13" t="str">
        <f>HYPERLINK("http://4sq.com/dgeB3C","Gwangjang Market (광장시장) ")</f>
        <v>Gwangjang Market (광장시장) </v>
      </c>
    </row>
    <row r="67">
      <c r="A67" s="12" t="s">
        <v>2513</v>
      </c>
      <c r="B67" s="12"/>
      <c r="C67" s="13" t="str">
        <f>HYPERLINK("http://4sq.com/aHECfj","N Seoul Tower (N서울타워) ")</f>
        <v>N Seoul Tower (N서울타워) </v>
      </c>
    </row>
    <row r="68">
      <c r="A68" s="12" t="s">
        <v>2514</v>
      </c>
      <c r="B68" s="12"/>
      <c r="C68" s="13" t="str">
        <f>HYPERLINK("http://4sq.com/bmXTqd","Sky Hub Lounge East ")</f>
        <v>Sky Hub Lounge East </v>
      </c>
    </row>
    <row r="69">
      <c r="A69" s="12" t="s">
        <v>2515</v>
      </c>
      <c r="B69" s="12"/>
      <c r="C69" s="13" t="str">
        <f>HYPERLINK("http://4sq.com/aWPgbB","HomePro Plus (โฮมโปร พลัส) ")</f>
        <v>HomePro Plus (โฮมโปร พลัส) </v>
      </c>
    </row>
    <row r="70">
      <c r="A70" s="12" t="s">
        <v>2516</v>
      </c>
      <c r="B70" s="12"/>
      <c r="C70" s="13" t="str">
        <f>HYPERLINK("http://4sq.com/dzGU3X","Aun's Duck Boiled Rice (ข้าวต้มเป็ดอ้วน) ")</f>
        <v>Aun's Duck Boiled Rice (ข้าวต้มเป็ดอ้วน) </v>
      </c>
    </row>
    <row r="71">
      <c r="A71" s="12" t="s">
        <v>2517</v>
      </c>
      <c r="B71" s="12"/>
      <c r="C71" s="13" t="str">
        <f>HYPERLINK("http://4sq.com/1LCxZ5K","CentralFestival EastVille (เซ็นทรัลเฟสติวัล อีสต์วิลล์) ")</f>
        <v>CentralFestival EastVille (เซ็นทรัลเฟสติวัล อีสต์วิลล์) </v>
      </c>
    </row>
    <row r="72">
      <c r="A72" s="12" t="s">
        <v>2518</v>
      </c>
      <c r="B72" s="12"/>
      <c r="C72" s="13" t="str">
        <f>HYPERLINK("http://4sq.com/cs9rEE","Banyan Tree ")</f>
        <v>Banyan Tree </v>
      </c>
    </row>
    <row r="73">
      <c r="A73" s="12" t="s">
        <v>2519</v>
      </c>
      <c r="B73" s="12"/>
      <c r="C73" s="13" t="str">
        <f>HYPERLINK("http://4sq.com/blWP0l","Vertigo ")</f>
        <v>Vertigo </v>
      </c>
    </row>
    <row r="74">
      <c r="A74" s="12" t="s">
        <v>2520</v>
      </c>
      <c r="B74" s="12"/>
      <c r="C74" s="13" t="str">
        <f>HYPERLINK("http://4sq.com/1QSOcGC","AIS Shop ")</f>
        <v>AIS Shop </v>
      </c>
    </row>
    <row r="75">
      <c r="A75" s="12" t="s">
        <v>2521</v>
      </c>
      <c r="B75" s="12"/>
      <c r="C75" s="13" t="str">
        <f>HYPERLINK("http://4sq.com/dZGboA","MBK Tower (อาคาร เอ็ม บี เค ทาวเวอร์) ")</f>
        <v>MBK Tower (อาคาร เอ็ม บี เค ทาวเวอร์) </v>
      </c>
    </row>
    <row r="76">
      <c r="A76" s="12" t="s">
        <v>2522</v>
      </c>
      <c r="B76" s="12"/>
      <c r="C76" s="13" t="str">
        <f>HYPERLINK("http://4sq.com/6faMgT","Siam Paragon (สยามพารากอน) ")</f>
        <v>Siam Paragon (สยามพารากอน) </v>
      </c>
    </row>
    <row r="77">
      <c r="A77" s="12" t="s">
        <v>2523</v>
      </c>
      <c r="B77" s="12"/>
      <c r="C77" s="13" t="str">
        <f>HYPERLINK("http://4sq.com/29zUdit","The Fat Cow ")</f>
        <v>The Fat Cow </v>
      </c>
    </row>
    <row r="78">
      <c r="A78" s="12" t="s">
        <v>2524</v>
      </c>
      <c r="B78" s="12"/>
      <c r="C78" s="13" t="str">
        <f>HYPERLINK("http://4sq.com/bC5zUt","Centara Grand at Central Plaza Ladprao Bangkok ")</f>
        <v>Centara Grand at Central Plaza Ladprao Bangkok </v>
      </c>
    </row>
    <row r="79">
      <c r="A79" s="12" t="s">
        <v>2525</v>
      </c>
      <c r="B79" s="12"/>
      <c r="C79" s="13" t="str">
        <f>HYPERLINK("http://4sq.com/1MKXiW5","Mohu Mohu Cafe ")</f>
        <v>Mohu Mohu Cafe </v>
      </c>
    </row>
    <row r="80">
      <c r="A80" s="12" t="s">
        <v>2526</v>
      </c>
      <c r="B80" s="12"/>
      <c r="C80" s="13" t="str">
        <f>HYPERLINK("http://4sq.com/1RIIEQb","Krua Pradiphat (ครัวประดิพัทธ์ 2) ")</f>
        <v>Krua Pradiphat (ครัวประดิพัทธ์ 2) </v>
      </c>
    </row>
    <row r="81">
      <c r="A81" s="12" t="s">
        <v>2527</v>
      </c>
      <c r="B81" s="12"/>
      <c r="C81" s="13" t="str">
        <f>HYPERLINK("https://4sq.com/2K8KGB2","No Name ")</f>
        <v>No Name </v>
      </c>
    </row>
    <row r="82">
      <c r="A82" s="12" t="s">
        <v>2528</v>
      </c>
      <c r="B82" s="12"/>
      <c r="C82" s="13" t="str">
        <f>HYPERLINK("http://4sq.com/13zS2wT","Omise Co., Ltd. ")</f>
        <v>Omise Co., Ltd. </v>
      </c>
    </row>
    <row r="83">
      <c r="A83" s="12" t="s">
        <v>2529</v>
      </c>
      <c r="B83" s="12"/>
      <c r="C83" s="13" t="str">
        <f>HYPERLINK("http://4sq.com/7KI4ge","BTS Phrom Phong (E5) (BTS พร้อมพงษ์) ")</f>
        <v>BTS Phrom Phong (E5) (BTS พร้อมพงษ์) </v>
      </c>
    </row>
    <row r="84">
      <c r="A84" s="12" t="s">
        <v>2530</v>
      </c>
      <c r="B84" s="12"/>
      <c r="C84" s="13" t="str">
        <f>HYPERLINK("http://4sq.com/2ciCGeP","Herrity's ")</f>
        <v>Herrity's </v>
      </c>
    </row>
    <row r="85">
      <c r="A85" s="12" t="s">
        <v>2531</v>
      </c>
      <c r="B85" s="12"/>
      <c r="C85" s="13" t="str">
        <f>HYPERLINK("http://4sq.com/dzGU3X","Aun's Duck Boiled Rice (ข้าวต้มเป็ดอ้วน) ")</f>
        <v>Aun's Duck Boiled Rice (ข้าวต้มเป็ดอ้วน) </v>
      </c>
    </row>
    <row r="86">
      <c r="A86" s="12" t="s">
        <v>2532</v>
      </c>
      <c r="B86" s="12"/>
      <c r="C86" s="13" t="str">
        <f>HYPERLINK("http://4sq.com/fojhDP","สถานสงเคราะห์คนไร้ที่พึ่งหญิง ")</f>
        <v>สถานสงเคราะห์คนไร้ที่พึ่งหญิง </v>
      </c>
    </row>
    <row r="87">
      <c r="A87" s="12" t="s">
        <v>2533</v>
      </c>
      <c r="B87" s="12"/>
      <c r="C87" s="13" t="str">
        <f>HYPERLINK("http://4sq.com/cZBYEf","Nittaya Kai Yang (นิตยาไก่ย่าง) ")</f>
        <v>Nittaya Kai Yang (นิตยาไก่ย่าง) </v>
      </c>
    </row>
    <row r="88">
      <c r="A88" s="12" t="s">
        <v>2534</v>
      </c>
      <c r="B88" s="12"/>
      <c r="C88" s="13" t="str">
        <f>HYPERLINK("http://4sq.com/1LEHR4M","CentralPlaza WestGate (เซ็นทรัลพลาซา เวสต์เกต) ")</f>
        <v>CentralPlaza WestGate (เซ็นทรัลพลาซา เวสต์เกต) </v>
      </c>
    </row>
    <row r="89">
      <c r="A89" s="12" t="s">
        <v>2535</v>
      </c>
      <c r="B89" s="12"/>
      <c r="C89" s="13" t="str">
        <f>HYPERLINK("http://4sq.com/1g1o559","Jones Salad (โจนส์สลัด) ")</f>
        <v>Jones Salad (โจนส์สลัด) </v>
      </c>
    </row>
    <row r="90">
      <c r="A90" s="12" t="s">
        <v>2536</v>
      </c>
      <c r="B90" s="12"/>
      <c r="C90" s="13" t="str">
        <f>HYPERLINK("http://4sq.com/24JCy8I","MRT Talad Bang Yai (PP02) (MRT ตลาดบางใหญ่) ")</f>
        <v>MRT Talad Bang Yai (PP02) (MRT ตลาดบางใหญ่) </v>
      </c>
    </row>
    <row r="91">
      <c r="A91" s="12" t="s">
        <v>2537</v>
      </c>
      <c r="B91" s="12"/>
      <c r="C91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92">
      <c r="A92" s="12" t="s">
        <v>2538</v>
      </c>
      <c r="B92" s="12"/>
      <c r="C92" s="13" t="str">
        <f>HYPERLINK("https://4sq.com/2xYnr3P","Hanging Garden Cafe ")</f>
        <v>Hanging Garden Cafe </v>
      </c>
    </row>
    <row r="93">
      <c r="A93" s="12" t="s">
        <v>2539</v>
      </c>
      <c r="B93" s="12"/>
      <c r="C93" s="13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94">
      <c r="A94" s="12" t="s">
        <v>2540</v>
      </c>
      <c r="B94" s="12"/>
      <c r="C94" s="13" t="str">
        <f>HYPERLINK("http://4sq.com/1g0sKyQ","Krungsri Bank ")</f>
        <v>Krungsri Bank </v>
      </c>
    </row>
    <row r="95">
      <c r="A95" s="12" t="s">
        <v>2541</v>
      </c>
      <c r="B95" s="12"/>
      <c r="C95" s="13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</row>
    <row r="96">
      <c r="A96" s="12" t="s">
        <v>2542</v>
      </c>
      <c r="B96" s="12"/>
      <c r="C96" s="13" t="str">
        <f>HYPERLINK("http://4sq.com/15MH9YQ","TOM N TOMS COFFEE ")</f>
        <v>TOM N TOMS COFFEE </v>
      </c>
    </row>
    <row r="97">
      <c r="A97" s="12" t="s">
        <v>2543</v>
      </c>
      <c r="B97" s="12"/>
      <c r="C97" s="13" t="str">
        <f>HYPERLINK("http://4sq.com/23EAhNx","Wrap Master ")</f>
        <v>Wrap Master </v>
      </c>
    </row>
    <row r="98">
      <c r="A98" s="12" t="s">
        <v>2544</v>
      </c>
      <c r="B98" s="12"/>
      <c r="C98" s="13" t="str">
        <f>HYPERLINK("http://4sq.com/1LwwIEn","Let It Be ")</f>
        <v>Let It Be </v>
      </c>
    </row>
    <row r="99">
      <c r="A99" s="12" t="s">
        <v>2545</v>
      </c>
      <c r="B99" s="12"/>
      <c r="C99" s="13" t="str">
        <f>HYPERLINK("http://4sq.com/1sDwqig","Salad Terrace (สลัดเทอเรส) ")</f>
        <v>Salad Terrace (สลัดเทอเรส) </v>
      </c>
    </row>
    <row r="100">
      <c r="A100" s="12" t="s">
        <v>2546</v>
      </c>
      <c r="B100" s="12"/>
      <c r="C100" s="13" t="str">
        <f>HYPERLINK("http://4sq.com/i6Qcfc","Payap Music Academy (สถาบันดนตรี วิทยาลัยดุริยศิลป์) ")</f>
        <v>Payap Music Academy (สถาบันดนตรี วิทยาลัยดุริยศิลป์) </v>
      </c>
    </row>
    <row r="101">
      <c r="A101" s="12" t="s">
        <v>2547</v>
      </c>
      <c r="B101" s="12"/>
      <c r="C101" s="13" t="str">
        <f>HYPERLINK("http://4sq.com/9K7ydH","Bake &amp; Bite (เบ๊คแอนด์ไบท์) ")</f>
        <v>Bake &amp; Bite (เบ๊คแอนด์ไบท์) </v>
      </c>
    </row>
    <row r="102">
      <c r="A102" s="12" t="s">
        <v>2548</v>
      </c>
      <c r="B102" s="12"/>
      <c r="C102" s="13" t="str">
        <f>HYPERLINK("http://4sq.com/1LwwIEn","Let It Be ")</f>
        <v>Let It Be </v>
      </c>
    </row>
    <row r="103">
      <c r="A103" s="12" t="s">
        <v>2549</v>
      </c>
      <c r="B103" s="12"/>
      <c r="C103" s="13" t="str">
        <f>HYPERLINK("http://4sq.com/zYP57p","Mama Mia ")</f>
        <v>Mama Mia </v>
      </c>
    </row>
    <row r="104">
      <c r="A104" s="12" t="s">
        <v>2550</v>
      </c>
      <c r="B104" s="12"/>
      <c r="C104" s="13" t="str">
        <f>HYPERLINK("http://4sq.com/ifmErl","PTT (ปตท.) ")</f>
        <v>PTT (ปตท.) </v>
      </c>
    </row>
    <row r="105">
      <c r="A105" s="12" t="s">
        <v>2551</v>
      </c>
      <c r="B105" s="12"/>
      <c r="C105" s="13" t="str">
        <f>HYPERLINK("https://4sq.com/2MkRHQH","Grooveyard ")</f>
        <v>Grooveyard </v>
      </c>
    </row>
    <row r="106">
      <c r="A106" s="12" t="s">
        <v>2552</v>
      </c>
      <c r="B106" s="12"/>
      <c r="C106" s="13" t="str">
        <f>HYPERLINK("http://4sq.com/hhYbCY","International Check In Counter ")</f>
        <v>International Check In Counter </v>
      </c>
    </row>
    <row r="107">
      <c r="A107" s="12" t="s">
        <v>2553</v>
      </c>
      <c r="B107" s="12"/>
      <c r="C107" s="13" t="str">
        <f>HYPERLINK("http://4sq.com/5pc0U0","Hong Kong International Airport (HKG) (香港國際機場) ")</f>
        <v>Hong Kong International Airport (HKG) (香港國際機場) </v>
      </c>
    </row>
    <row r="108">
      <c r="A108" s="12" t="s">
        <v>2554</v>
      </c>
      <c r="B108" s="12"/>
      <c r="C108" s="13" t="str">
        <f>HYPERLINK("http://4sq.com/bcGmeg","Shari's Cafe and Pies ")</f>
        <v>Shari's Cafe and Pies </v>
      </c>
    </row>
    <row r="109">
      <c r="A109" s="12" t="s">
        <v>2555</v>
      </c>
      <c r="B109" s="12"/>
      <c r="C109" s="13" t="str">
        <f>HYPERLINK("http://4sq.com/61dhTS","Safeway ")</f>
        <v>Safeway </v>
      </c>
    </row>
    <row r="110">
      <c r="A110" s="12" t="s">
        <v>2556</v>
      </c>
      <c r="B110" s="12"/>
      <c r="C110" s="13" t="str">
        <f>HYPERLINK("http://4sq.com/76RoeL","Target ")</f>
        <v>Target </v>
      </c>
    </row>
    <row r="111">
      <c r="A111" s="12" t="s">
        <v>2557</v>
      </c>
      <c r="B111" s="12"/>
      <c r="C111" s="13" t="str">
        <f>HYPERLINK("http://4sq.com/bcGmeg","Shari's Cafe and Pies ")</f>
        <v>Shari's Cafe and Pies </v>
      </c>
    </row>
    <row r="112">
      <c r="A112" s="12" t="s">
        <v>2558</v>
      </c>
      <c r="B112" s="12"/>
      <c r="C112" s="13" t="str">
        <f>HYPERLINK("http://4sq.com/b8is0f","Pho Big Bowl ")</f>
        <v>Pho Big Bowl </v>
      </c>
    </row>
    <row r="113">
      <c r="A113" s="12" t="s">
        <v>2559</v>
      </c>
      <c r="B113" s="12"/>
      <c r="C113" s="13" t="str">
        <f>HYPERLINK("http://4sq.com/ig2A84","Carl S. English Jr. Botanical Garden ")</f>
        <v>Carl S. English Jr. Botanical Garden </v>
      </c>
    </row>
    <row r="114">
      <c r="A114" s="12" t="s">
        <v>2560</v>
      </c>
      <c r="B114" s="12"/>
      <c r="C114" s="13" t="str">
        <f>HYPERLINK("http://4sq.com/5j2DQ6","Hiram M. Chittenden Locks ")</f>
        <v>Hiram M. Chittenden Locks </v>
      </c>
    </row>
    <row r="115">
      <c r="A115" s="12" t="s">
        <v>2561</v>
      </c>
      <c r="B115" s="12"/>
      <c r="C115" s="13" t="str">
        <f>HYPERLINK("http://4sq.com/dkSw24","Pizzeria Pulcinella ")</f>
        <v>Pizzeria Pulcinella </v>
      </c>
    </row>
    <row r="116">
      <c r="A116" s="12" t="s">
        <v>2562</v>
      </c>
      <c r="B116" s="12"/>
      <c r="C116" s="13" t="str">
        <f>HYPERLINK("http://4sq.com/bUG3e4","Kubota Garden ")</f>
        <v>Kubota Garden </v>
      </c>
    </row>
    <row r="117">
      <c r="A117" s="12" t="s">
        <v>2563</v>
      </c>
      <c r="B117" s="12"/>
      <c r="C117" s="13" t="str">
        <f>HYPERLINK("http://4sq.com/kQMAd8","Seward Park Playground ")</f>
        <v>Seward Park Playground </v>
      </c>
    </row>
    <row r="118">
      <c r="A118" s="12" t="s">
        <v>2564</v>
      </c>
      <c r="B118" s="12"/>
      <c r="C118" s="13" t="str">
        <f>HYPERLINK("http://4sq.com/1MjjutJ","Phat Loi ")</f>
        <v>Phat Loi </v>
      </c>
    </row>
    <row r="119">
      <c r="A119" s="12" t="s">
        <v>2565</v>
      </c>
      <c r="B119" s="12"/>
      <c r="C119" s="13" t="str">
        <f>HYPERLINK("http://4sq.com/8d3yJC","The Museum of Flight ")</f>
        <v>The Museum of Flight </v>
      </c>
    </row>
    <row r="120">
      <c r="A120" s="12" t="s">
        <v>2566</v>
      </c>
      <c r="B120" s="12"/>
      <c r="C120" s="13" t="str">
        <f>HYPERLINK("http://4sq.com/9LeWRV","Randy's Restaurant ")</f>
        <v>Randy's Restaurant </v>
      </c>
    </row>
    <row r="121">
      <c r="A121" s="12" t="s">
        <v>2567</v>
      </c>
      <c r="B121" s="12"/>
      <c r="C121" s="13" t="str">
        <f>HYPERLINK("http://4sq.com/bUG3e4","Kubota Garden ")</f>
        <v>Kubota Garden </v>
      </c>
    </row>
    <row r="122">
      <c r="A122" s="12" t="s">
        <v>2568</v>
      </c>
      <c r="B122" s="12"/>
      <c r="C122" s="13" t="str">
        <f>HYPERLINK("http://4sq.com/caMngS","Flying Pie Pizzeria ")</f>
        <v>Flying Pie Pizzeria </v>
      </c>
    </row>
    <row r="123">
      <c r="A123" s="12" t="s">
        <v>2569</v>
      </c>
      <c r="B123" s="12"/>
      <c r="C123" s="13" t="str">
        <f>HYPERLINK("http://4sq.com/dmN5Zz","Poo Poo Point ")</f>
        <v>Poo Poo Point </v>
      </c>
    </row>
    <row r="124">
      <c r="A124" s="12" t="s">
        <v>2570</v>
      </c>
      <c r="B124" s="12"/>
      <c r="C124" s="13" t="str">
        <f>HYPERLINK("http://4sq.com/h7jDk4","DICK'S Sporting Goods ")</f>
        <v>DICK'S Sporting Goods </v>
      </c>
    </row>
    <row r="125">
      <c r="A125" s="12" t="s">
        <v>2571</v>
      </c>
      <c r="B125" s="12"/>
      <c r="C125" s="13" t="str">
        <f>HYPERLINK("http://4sq.com/2ynKWoI","Nibbana Thai Restaurant ")</f>
        <v>Nibbana Thai Restaurant </v>
      </c>
    </row>
    <row r="126">
      <c r="A126" s="12" t="s">
        <v>2572</v>
      </c>
      <c r="B126" s="12"/>
      <c r="C126" s="13" t="str">
        <f>HYPERLINK("http://4sq.com/bwkyo7","AutoZone ")</f>
        <v>AutoZone </v>
      </c>
    </row>
    <row r="127">
      <c r="A127" s="12" t="s">
        <v>2573</v>
      </c>
      <c r="B127" s="12"/>
      <c r="C127" s="13" t="str">
        <f>HYPERLINK("http://4sq.com/cGSqyy","76 Station ")</f>
        <v>76 Station </v>
      </c>
    </row>
    <row r="128">
      <c r="A128" s="12" t="s">
        <v>2574</v>
      </c>
      <c r="B128" s="12"/>
      <c r="C128" s="13" t="str">
        <f>HYPERLINK("http://4sq.com/awhV3R","Mount St. Helens Visitor Center ")</f>
        <v>Mount St. Helens Visitor Center </v>
      </c>
    </row>
    <row r="129">
      <c r="A129" s="12" t="s">
        <v>2575</v>
      </c>
      <c r="B129" s="12"/>
      <c r="C129" s="13" t="str">
        <f>HYPERLINK("https://4sq.com/2KnNWZB","Castle Lake Viewpoint ")</f>
        <v>Castle Lake Viewpoint </v>
      </c>
    </row>
    <row r="130">
      <c r="A130" s="12" t="s">
        <v>2576</v>
      </c>
      <c r="B130" s="12"/>
      <c r="C130" s="13" t="str">
        <f>HYPERLINK("http://4sq.com/8zPwv5","Fort George Brewery &amp; Public House ")</f>
        <v>Fort George Brewery &amp; Public House </v>
      </c>
    </row>
    <row r="131">
      <c r="A131" s="12" t="s">
        <v>2577</v>
      </c>
      <c r="B131" s="12"/>
      <c r="C131" s="13" t="str">
        <f>HYPERLINK("http://4sq.com/L9yDKo","Astoria Riverwalk Inn ")</f>
        <v>Astoria Riverwalk Inn </v>
      </c>
    </row>
    <row r="132">
      <c r="A132" s="12" t="s">
        <v>2578</v>
      </c>
      <c r="B132" s="12"/>
      <c r="C132" s="13" t="str">
        <f>HYPERLINK("http://4sq.com/d46AbI","Bridgewater Bistro ")</f>
        <v>Bridgewater Bistro </v>
      </c>
    </row>
    <row r="133">
      <c r="A133" s="12" t="s">
        <v>2579</v>
      </c>
      <c r="B133" s="12"/>
      <c r="C133" s="13" t="str">
        <f>HYPERLINK("http://4sq.com/Ks7dSa","Lewis &amp; Clark National Historical Park ")</f>
        <v>Lewis &amp; Clark National Historical Park </v>
      </c>
    </row>
    <row r="134">
      <c r="A134" s="12" t="s">
        <v>2580</v>
      </c>
      <c r="B134" s="12"/>
      <c r="C134" s="13" t="str">
        <f>HYPERLINK("https://4sq.com/2KNMZJ7","Kendra’s Kitchen ")</f>
        <v>Kendra’s Kitchen </v>
      </c>
    </row>
    <row r="135">
      <c r="A135" s="12" t="s">
        <v>2581</v>
      </c>
      <c r="B135" s="12"/>
      <c r="C135" s="13" t="str">
        <f>HYPERLINK("http://4sq.com/dqEw1O","Unfurl ")</f>
        <v>Unfurl </v>
      </c>
    </row>
    <row r="136">
      <c r="A136" s="12" t="s">
        <v>2582</v>
      </c>
      <c r="B136" s="12"/>
      <c r="C136" s="13" t="str">
        <f>HYPERLINK("http://4sq.com/95rGkH","Summit Food Court ")</f>
        <v>Summit Food Court </v>
      </c>
    </row>
    <row r="137">
      <c r="A137" s="12" t="s">
        <v>2583</v>
      </c>
      <c r="B137" s="12"/>
      <c r="C137" s="13" t="str">
        <f>HYPERLINK("http://4sq.com/aSjz38","The LEGO Store ")</f>
        <v>The LEGO Store </v>
      </c>
    </row>
    <row r="138">
      <c r="A138" s="12" t="s">
        <v>2584</v>
      </c>
      <c r="B138" s="12"/>
      <c r="C138" s="13" t="str">
        <f>HYPERLINK("http://4sq.com/8jPjWR","Apple Pioneer Place ")</f>
        <v>Apple Pioneer Place </v>
      </c>
    </row>
    <row r="139">
      <c r="A139" s="12" t="s">
        <v>2585</v>
      </c>
      <c r="B139" s="12"/>
      <c r="C139" s="13" t="str">
        <f>HYPERLINK("http://4sq.com/8taRsw","Fuller's Coffee Shop ")</f>
        <v>Fuller's Coffee Shop </v>
      </c>
    </row>
    <row r="140">
      <c r="A140" s="12" t="s">
        <v>2586</v>
      </c>
      <c r="B140" s="12"/>
      <c r="C140" s="13" t="str">
        <f>HYPERLINK("http://4sq.com/2u9dvC","Powell's City of Books ")</f>
        <v>Powell's City of Books </v>
      </c>
    </row>
    <row r="141">
      <c r="A141" s="12" t="s">
        <v>2587</v>
      </c>
      <c r="B141" s="12"/>
      <c r="C141" s="13" t="str">
        <f>HYPERLINK("http://4sq.com/2rW47jz","Powell's Books Rose Room ")</f>
        <v>Powell's Books Rose Room </v>
      </c>
    </row>
    <row r="142">
      <c r="A142" s="12" t="s">
        <v>2588</v>
      </c>
      <c r="B142" s="12"/>
      <c r="C142" s="13" t="str">
        <f>HYPERLINK("http://4sq.com/4TRI5G","Buffalo Exchange ")</f>
        <v>Buffalo Exchange </v>
      </c>
    </row>
    <row r="143">
      <c r="A143" s="12" t="s">
        <v>2589</v>
      </c>
      <c r="B143" s="12"/>
      <c r="C143" s="13" t="str">
        <f>HYPERLINK("http://4sq.com/2bC0aKN","Butterfly Belly Asian Cuisine ")</f>
        <v>Butterfly Belly Asian Cuisine </v>
      </c>
    </row>
    <row r="144">
      <c r="A144" s="12" t="s">
        <v>2590</v>
      </c>
      <c r="B144" s="12"/>
      <c r="C144" s="13" t="str">
        <f>HYPERLINK("http://4sq.com/2uGU4Ec","Starbucks ")</f>
        <v>Starbucks </v>
      </c>
    </row>
    <row r="145">
      <c r="A145" s="12" t="s">
        <v>2591</v>
      </c>
      <c r="B145" s="12"/>
      <c r="C145" s="13" t="str">
        <f>HYPERLINK("http://4sq.com/m85CXL","Burlingame Park ")</f>
        <v>Burlingame Park </v>
      </c>
    </row>
    <row r="146">
      <c r="A146" s="12" t="s">
        <v>2592</v>
      </c>
      <c r="B146" s="12"/>
      <c r="C146" s="13" t="str">
        <f>HYPERLINK("http://4sq.com/cZn3fj","Daily Cafe - OHSU ")</f>
        <v>Daily Cafe - OHSU </v>
      </c>
    </row>
    <row r="147">
      <c r="A147" s="12" t="s">
        <v>2593</v>
      </c>
      <c r="B147" s="12"/>
      <c r="C147" s="13" t="str">
        <f>HYPERLINK("http://4sq.com/6WjKUa","Portland Aerial Tram - Lower Terminal ")</f>
        <v>Portland Aerial Tram - Lower Terminal </v>
      </c>
    </row>
    <row r="148">
      <c r="A148" s="12" t="s">
        <v>2594</v>
      </c>
      <c r="B148" s="12"/>
      <c r="C148" s="13" t="str">
        <f t="shared" ref="C148:C149" si="2">HYPERLINK("http://4sq.com/7mKgYv","Elizabeth Caruthers Park ")</f>
        <v>Elizabeth Caruthers Park </v>
      </c>
    </row>
    <row r="149">
      <c r="A149" s="12" t="s">
        <v>2595</v>
      </c>
      <c r="B149" s="12"/>
      <c r="C149" s="13" t="str">
        <f t="shared" si="2"/>
        <v>Elizabeth Caruthers Park </v>
      </c>
    </row>
    <row r="150">
      <c r="A150" s="12" t="s">
        <v>2596</v>
      </c>
      <c r="B150" s="12"/>
      <c r="C150" s="13" t="str">
        <f>HYPERLINK("http://4sq.com/99ZGRJ","Hoodland Thriftway ")</f>
        <v>Hoodland Thriftway </v>
      </c>
    </row>
    <row r="151">
      <c r="A151" s="12" t="s">
        <v>2597</v>
      </c>
      <c r="B151" s="12"/>
      <c r="C151" s="13" t="str">
        <f>HYPERLINK("http://4sq.com/c1B1gd","Trillium Lake ")</f>
        <v>Trillium Lake </v>
      </c>
    </row>
    <row r="152">
      <c r="A152" s="12" t="s">
        <v>2598</v>
      </c>
      <c r="B152" s="12"/>
      <c r="C152" s="13" t="str">
        <f>HYPERLINK("http://4sq.com/19GSnTc","Trillium Lake Boat Launch ")</f>
        <v>Trillium Lake Boat Launch </v>
      </c>
    </row>
    <row r="153">
      <c r="A153" s="12" t="s">
        <v>2599</v>
      </c>
      <c r="B153" s="12"/>
      <c r="C153" s="13" t="str">
        <f>HYPERLINK("http://4sq.com/JCZXAN","Little Zig Zag Falls ")</f>
        <v>Little Zig Zag Falls </v>
      </c>
    </row>
    <row r="154">
      <c r="A154" s="12" t="s">
        <v>2600</v>
      </c>
      <c r="B154" s="12"/>
      <c r="C154" s="13" t="str">
        <f>HYPERLINK("http://4sq.com/d0TZiU","Mt. Hood Skibowl ")</f>
        <v>Mt. Hood Skibowl </v>
      </c>
    </row>
    <row r="155">
      <c r="A155" s="12" t="s">
        <v>2601</v>
      </c>
      <c r="B155" s="12"/>
      <c r="C155" s="13" t="str">
        <f>HYPERLINK("http://4sq.com/XkMbvb","Chevron ")</f>
        <v>Chevron </v>
      </c>
    </row>
    <row r="156">
      <c r="A156" s="12" t="s">
        <v>2602</v>
      </c>
      <c r="B156" s="12"/>
      <c r="C156" s="13" t="str">
        <f>HYPERLINK("http://4sq.com/jjWlIx","Mount Hood ")</f>
        <v>Mount Hood </v>
      </c>
    </row>
    <row r="157">
      <c r="A157" s="12" t="s">
        <v>2603</v>
      </c>
      <c r="B157" s="12"/>
      <c r="C157" s="13" t="str">
        <f>HYPERLINK("http://4sq.com/4XUB8y","Timberline Lodge ")</f>
        <v>Timberline Lodge </v>
      </c>
    </row>
    <row r="158">
      <c r="A158" s="12" t="s">
        <v>2604</v>
      </c>
      <c r="B158" s="12"/>
      <c r="C158" s="13" t="str">
        <f>HYPERLINK("http://4sq.com/gBvkkY","Blue Ox Bar ")</f>
        <v>Blue Ox Bar </v>
      </c>
    </row>
    <row r="159">
      <c r="A159" s="12" t="s">
        <v>2605</v>
      </c>
      <c r="B159" s="12"/>
      <c r="C159" s="13" t="str">
        <f>HYPERLINK("http://4sq.com/by7R30","Draper Girls Country Farm ")</f>
        <v>Draper Girls Country Farm </v>
      </c>
    </row>
    <row r="160">
      <c r="A160" s="12" t="s">
        <v>2606</v>
      </c>
      <c r="B160" s="12"/>
      <c r="C160" s="13" t="str">
        <f>HYPERLINK("http://4sq.com/abE0Ai","Hood River Hotel ")</f>
        <v>Hood River Hotel </v>
      </c>
    </row>
    <row r="161">
      <c r="A161" s="12" t="s">
        <v>2607</v>
      </c>
      <c r="B161" s="12"/>
      <c r="C161" s="13" t="str">
        <f>HYPERLINK("http://4sq.com/cFsFnX","Solstice Wood Fire Cafe ")</f>
        <v>Solstice Wood Fire Cafe </v>
      </c>
    </row>
    <row r="162">
      <c r="A162" s="12" t="s">
        <v>2608</v>
      </c>
      <c r="B162" s="12"/>
      <c r="C162" s="13" t="str">
        <f>HYPERLINK("http://4sq.com/cRF6xg","Jackson Park ")</f>
        <v>Jackson Park </v>
      </c>
    </row>
    <row r="163">
      <c r="A163" s="12" t="s">
        <v>2609</v>
      </c>
      <c r="B163" s="12"/>
      <c r="C163" s="13" t="str">
        <f>HYPERLINK("http://4sq.com/a9Emcq","Children's Park ")</f>
        <v>Children's Park </v>
      </c>
    </row>
    <row r="164">
      <c r="A164" s="12" t="s">
        <v>2610</v>
      </c>
      <c r="B164" s="12"/>
      <c r="C164" s="13" t="str">
        <f>HYPERLINK("http://4sq.com/MtW0D7","Feast Natural Market &amp; Deli ")</f>
        <v>Feast Natural Market &amp; Deli </v>
      </c>
    </row>
    <row r="165">
      <c r="A165" s="12" t="s">
        <v>2611</v>
      </c>
      <c r="B165" s="12"/>
      <c r="C165" s="13" t="str">
        <f>HYPERLINK("http://4sq.com/aYtHOo","Rowena Crest ")</f>
        <v>Rowena Crest </v>
      </c>
    </row>
    <row r="166">
      <c r="A166" s="12" t="s">
        <v>2612</v>
      </c>
      <c r="B166" s="12"/>
      <c r="C166" s="13" t="str">
        <f>HYPERLINK("http://4sq.com/bnP5Bi","A &amp; J Select Market ")</f>
        <v>A &amp; J Select Market </v>
      </c>
    </row>
    <row r="167">
      <c r="A167" s="12" t="s">
        <v>2613</v>
      </c>
      <c r="B167" s="12"/>
      <c r="C167" s="13" t="str">
        <f>HYPERLINK("http://4sq.com/2ayXNKT","Skamania Lodge ")</f>
        <v>Skamania Lodge </v>
      </c>
    </row>
    <row r="168">
      <c r="A168" s="12" t="s">
        <v>2614</v>
      </c>
      <c r="B168" s="12"/>
      <c r="C168" s="13" t="str">
        <f>HYPERLINK("http://4sq.com/8f7czk","East Wind Drive-in ")</f>
        <v>East Wind Drive-in </v>
      </c>
    </row>
    <row r="169">
      <c r="A169" s="12" t="s">
        <v>2615</v>
      </c>
      <c r="B169" s="12"/>
      <c r="C169" s="13" t="str">
        <f>HYPERLINK("http://4sq.com/bkg1PT","Stevenson Landing ")</f>
        <v>Stevenson Landing </v>
      </c>
    </row>
    <row r="170">
      <c r="A170" s="12" t="s">
        <v>2616</v>
      </c>
      <c r="B170" s="12"/>
      <c r="C170" s="13" t="str">
        <f>HYPERLINK("http://4sq.com/aP3Fv0","Bridge of the Gods ")</f>
        <v>Bridge of the Gods </v>
      </c>
    </row>
    <row r="171">
      <c r="A171" s="12" t="s">
        <v>2617</v>
      </c>
      <c r="B171" s="12"/>
      <c r="C171" s="13" t="str">
        <f>HYPERLINK("http://4sq.com/GYlsMZ","Multnomah Falls ")</f>
        <v>Multnomah Falls </v>
      </c>
    </row>
    <row r="172">
      <c r="A172" s="12" t="s">
        <v>2618</v>
      </c>
      <c r="B172" s="12"/>
      <c r="C172" s="13" t="str">
        <f>HYPERLINK("http://4sq.com/cyYsak","Craft Warehouse ")</f>
        <v>Craft Warehouse </v>
      </c>
    </row>
    <row r="173">
      <c r="A173" s="12" t="s">
        <v>2619</v>
      </c>
      <c r="B173" s="12"/>
      <c r="C173" s="13" t="str">
        <f>HYPERLINK("http://4sq.com/7uVgRD","Pok Pok ")</f>
        <v>Pok Pok </v>
      </c>
    </row>
    <row r="174">
      <c r="A174" s="12" t="s">
        <v>2620</v>
      </c>
      <c r="B174" s="12"/>
      <c r="C174" s="13" t="str">
        <f>HYPERLINK("http://4sq.com/P5MJRD","Tesla Motors ")</f>
        <v>Tesla Motors </v>
      </c>
    </row>
    <row r="175">
      <c r="A175" s="12" t="s">
        <v>2621</v>
      </c>
      <c r="B175" s="12"/>
      <c r="C175" s="13" t="str">
        <f>HYPERLINK("https://4sq.com/2UPUvIU","Boca Grande ")</f>
        <v>Boca Grande </v>
      </c>
    </row>
    <row r="176">
      <c r="A176" s="12" t="s">
        <v>2622</v>
      </c>
      <c r="B176" s="12"/>
      <c r="C176" s="13" t="str">
        <f>HYPERLINK("http://4sq.com/1Rbtmpj","Basilisk ")</f>
        <v>Basilisk </v>
      </c>
    </row>
    <row r="177">
      <c r="A177" s="12" t="s">
        <v>2623</v>
      </c>
      <c r="B177" s="12"/>
      <c r="C177" s="13" t="str">
        <f>HYPERLINK("http://4sq.com/LEr7qU","Salt &amp; Straw ")</f>
        <v>Salt &amp; Straw </v>
      </c>
    </row>
    <row r="178">
      <c r="A178" s="12" t="s">
        <v>2624</v>
      </c>
      <c r="B178" s="12"/>
      <c r="C178" s="13" t="str">
        <f>HYPERLINK("http://4sq.com/QH3ypg","ARCO ")</f>
        <v>ARCO </v>
      </c>
    </row>
    <row r="179">
      <c r="A179" s="12" t="s">
        <v>2625</v>
      </c>
      <c r="B179" s="12"/>
      <c r="C179" s="13" t="str">
        <f>HYPERLINK("http://4sq.com/aUZDpM","Papa Pete's Pizza ")</f>
        <v>Papa Pete's Pizza </v>
      </c>
    </row>
    <row r="180">
      <c r="A180" s="12" t="s">
        <v>2626</v>
      </c>
      <c r="B180" s="12"/>
      <c r="C180" s="13" t="str">
        <f>HYPERLINK("http://4sq.com/d91HEu","Nike Factory Store ")</f>
        <v>Nike Factory Store </v>
      </c>
    </row>
    <row r="181">
      <c r="A181" s="12" t="s">
        <v>2627</v>
      </c>
      <c r="B181" s="12"/>
      <c r="C181" s="13" t="str">
        <f>HYPERLINK("http://4sq.com/SBR9hN","Coach Factory Outlet ")</f>
        <v>Coach Factory Outlet </v>
      </c>
    </row>
    <row r="182">
      <c r="A182" s="12" t="s">
        <v>2628</v>
      </c>
      <c r="B182" s="12"/>
      <c r="C182" s="13" t="str">
        <f>HYPERLINK("http://4sq.com/5VFIWp","Courtyard by Marriott Seattle Bellevue/Redmond ")</f>
        <v>Courtyard by Marriott Seattle Bellevue/Redmond </v>
      </c>
    </row>
    <row r="183">
      <c r="A183" s="12" t="s">
        <v>2629</v>
      </c>
      <c r="B183" s="12"/>
      <c r="C183" s="13" t="str">
        <f>HYPERLINK("http://4sq.com/c6VkgL","Marriott Courtyard - Lobby ")</f>
        <v>Marriott Courtyard - Lobby </v>
      </c>
    </row>
    <row r="184">
      <c r="A184" s="12" t="s">
        <v>2630</v>
      </c>
      <c r="B184" s="12"/>
      <c r="C184" s="13" t="str">
        <f>HYPERLINK("http://4sq.com/2h6ykb8","Global Innovation Exchange (GIX) ")</f>
        <v>Global Innovation Exchange (GIX) </v>
      </c>
    </row>
    <row r="185">
      <c r="A185" s="12" t="s">
        <v>2631</v>
      </c>
      <c r="B185" s="12"/>
      <c r="C185" s="13" t="str">
        <f>HYPERLINK("http://4sq.com/2sSysCk","Inspiration Playground ")</f>
        <v>Inspiration Playground </v>
      </c>
    </row>
    <row r="186">
      <c r="A186" s="12" t="s">
        <v>2632</v>
      </c>
      <c r="B186" s="12"/>
      <c r="C186" s="13" t="str">
        <f>HYPERLINK("http://4sq.com/5SNkcQ","Peace Arch Border Crossing ")</f>
        <v>Peace Arch Border Crossing </v>
      </c>
    </row>
    <row r="187">
      <c r="A187" s="12" t="s">
        <v>2633</v>
      </c>
      <c r="B187" s="12"/>
      <c r="C187" s="13" t="str">
        <f>HYPERLINK("http://4sq.com/cul7fY","A&amp;W Canada ")</f>
        <v>A&amp;W Canada </v>
      </c>
    </row>
    <row r="188">
      <c r="A188" s="12" t="s">
        <v>2634</v>
      </c>
      <c r="B188" s="12"/>
      <c r="C188" s="13" t="str">
        <f>HYPERLINK("http://4sq.com/1p6N9HM","Kitsilano Yacht Club ")</f>
        <v>Kitsilano Yacht Club </v>
      </c>
    </row>
    <row r="189">
      <c r="A189" s="12" t="s">
        <v>2635</v>
      </c>
      <c r="B189" s="12"/>
      <c r="C189" s="13" t="str">
        <f>HYPERLINK("http://4sq.com/19Wzwms","Kitsilano Seawall ")</f>
        <v>Kitsilano Seawall </v>
      </c>
    </row>
    <row r="190">
      <c r="A190" s="12" t="s">
        <v>2636</v>
      </c>
      <c r="B190" s="12"/>
      <c r="C190" s="13" t="str">
        <f>HYPERLINK("https://4sq.com/2Af3EyT","Mintage Mall ")</f>
        <v>Mintage Mall </v>
      </c>
    </row>
    <row r="191">
      <c r="A191" s="12" t="s">
        <v>2637</v>
      </c>
      <c r="B191" s="12"/>
      <c r="C191" s="13" t="str">
        <f>HYPERLINK("http://4sq.com/2pDUvIq","Marine Park Playground ")</f>
        <v>Marine Park Playground </v>
      </c>
    </row>
    <row r="192">
      <c r="A192" s="12" t="s">
        <v>2638</v>
      </c>
      <c r="B192" s="12"/>
      <c r="C192" s="13" t="str">
        <f>HYPERLINK("http://4sq.com/9UtUNO","Birch Bay State Park ")</f>
        <v>Birch Bay State Park </v>
      </c>
    </row>
    <row r="193">
      <c r="A193" s="12" t="s">
        <v>2639</v>
      </c>
      <c r="B193" s="12"/>
      <c r="C193" s="13" t="str">
        <f>HYPERLINK("http://4sq.com/8zP1pz","Olive Garden ")</f>
        <v>Olive Garden </v>
      </c>
    </row>
    <row r="194">
      <c r="A194" s="12" t="s">
        <v>2640</v>
      </c>
      <c r="B194" s="12"/>
      <c r="C194" s="13" t="str">
        <f>HYPERLINK("http://4sq.com/bDxEzj","Spark Museum of Electrical Invention ")</f>
        <v>Spark Museum of Electrical Invention </v>
      </c>
    </row>
    <row r="195">
      <c r="A195" s="12" t="s">
        <v>2641</v>
      </c>
      <c r="B195" s="12"/>
      <c r="C195" s="13" t="str">
        <f>HYPERLINK("http://4sq.com/nd9S0d","Starvin' Sam's 76 ")</f>
        <v>Starvin' Sam's 76 </v>
      </c>
    </row>
    <row r="196">
      <c r="A196" s="12" t="s">
        <v>2642</v>
      </c>
      <c r="B196" s="12"/>
      <c r="C196" s="13" t="str">
        <f>HYPERLINK("http://4sq.com/c6lkmB","Slough foods ")</f>
        <v>Slough foods </v>
      </c>
    </row>
    <row r="197">
      <c r="A197" s="12" t="s">
        <v>2643</v>
      </c>
      <c r="B197" s="12"/>
      <c r="C197" s="13" t="str">
        <f>HYPERLINK("http://4sq.com/bydes5","City of Bothell ")</f>
        <v>City of Bothell </v>
      </c>
    </row>
    <row r="198">
      <c r="A198" s="12" t="s">
        <v>2644</v>
      </c>
      <c r="B198" s="12"/>
      <c r="C198" s="13" t="str">
        <f>HYPERLINK("http://4sq.com/2h5iIc2","Chick-fil-A ")</f>
        <v>Chick-fil-A </v>
      </c>
    </row>
    <row r="199">
      <c r="A199" s="12" t="s">
        <v>2645</v>
      </c>
      <c r="B199" s="12"/>
      <c r="C199" s="13" t="str">
        <f>HYPERLINK("http://4sq.com/1Wbqf69","MOD Pizza ")</f>
        <v>MOD Pizza </v>
      </c>
    </row>
    <row r="200">
      <c r="A200" s="12" t="s">
        <v>2646</v>
      </c>
      <c r="B200" s="12"/>
      <c r="C200" s="13" t="str">
        <f>HYPERLINK("http://4sq.com/zEXgUG","Ballard Coffee Works ")</f>
        <v>Ballard Coffee Works </v>
      </c>
    </row>
    <row r="201">
      <c r="A201" s="12" t="s">
        <v>2647</v>
      </c>
      <c r="B201" s="12"/>
      <c r="C201" s="13" t="str">
        <f>HYPERLINK("http://4sq.com/dDtBhc","Seattle Public Library - Ballard Branch ")</f>
        <v>Seattle Public Library - Ballard Branch </v>
      </c>
    </row>
    <row r="202">
      <c r="A202" s="12" t="s">
        <v>2648</v>
      </c>
      <c r="B202" s="12"/>
      <c r="C202" s="13" t="str">
        <f>HYPERLINK("http://4sq.com/WY7LXt","Itadakimasu ")</f>
        <v>Itadakimasu </v>
      </c>
    </row>
    <row r="203">
      <c r="A203" s="12" t="s">
        <v>2649</v>
      </c>
      <c r="B203" s="12"/>
      <c r="C203" s="13" t="str">
        <f>HYPERLINK("http://4sq.com/c3UJ3J","Salmon Bay Park ")</f>
        <v>Salmon Bay Park </v>
      </c>
    </row>
    <row r="204">
      <c r="A204" s="12" t="s">
        <v>2650</v>
      </c>
      <c r="B204" s="12"/>
      <c r="C204" s="13" t="str">
        <f>HYPERLINK("http://4sq.com/zEXgUG","Ballard Coffee Works ")</f>
        <v>Ballard Coffee Works </v>
      </c>
    </row>
    <row r="205">
      <c r="A205" s="12" t="s">
        <v>2651</v>
      </c>
      <c r="B205" s="12"/>
      <c r="C205" s="13" t="str">
        <f>HYPERLINK("http://4sq.com/1MJK4Z5","Shelter Lounge ")</f>
        <v>Shelter Lounge </v>
      </c>
    </row>
    <row r="206">
      <c r="A206" s="12" t="s">
        <v>2652</v>
      </c>
      <c r="B206" s="12"/>
      <c r="C206" s="13" t="str">
        <f>HYPERLINK("http://4sq.com/dDtBhc","Seattle Public Library - Ballard Branch ")</f>
        <v>Seattle Public Library - Ballard Branch </v>
      </c>
    </row>
    <row r="207">
      <c r="A207" s="12" t="s">
        <v>2653</v>
      </c>
      <c r="B207" s="12"/>
      <c r="C207" s="13" t="str">
        <f>HYPERLINK("http://4sq.com/1UHUpuS","Arashi Ramen ")</f>
        <v>Arashi Ramen </v>
      </c>
    </row>
    <row r="208">
      <c r="A208" s="12" t="s">
        <v>2654</v>
      </c>
      <c r="B208" s="12"/>
      <c r="C208" s="13" t="str">
        <f>HYPERLINK("http://4sq.com/2e8x1KX","Street Bean Espresso ")</f>
        <v>Street Bean Espresso </v>
      </c>
    </row>
    <row r="209">
      <c r="A209" s="12" t="s">
        <v>2655</v>
      </c>
      <c r="B209" s="12"/>
      <c r="C209" s="13" t="str">
        <f>HYPERLINK("http://4sq.com/abC5oa","Seattle Public Library - University Branch ")</f>
        <v>Seattle Public Library - University Branch </v>
      </c>
    </row>
    <row r="210">
      <c r="A210" s="12" t="s">
        <v>2656</v>
      </c>
      <c r="B210" s="12"/>
      <c r="C210" s="13" t="str">
        <f>HYPERLINK("http://4sq.com/4MZlnM","Thai Tom ")</f>
        <v>Thai Tom </v>
      </c>
    </row>
    <row r="211">
      <c r="A211" s="12" t="s">
        <v>2657</v>
      </c>
      <c r="B211" s="12"/>
      <c r="C211" s="13" t="str">
        <f>HYPERLINK("http://4sq.com/1hC1dT6","uBreakiFix ")</f>
        <v>uBreakiFix </v>
      </c>
    </row>
    <row r="212">
      <c r="A212" s="12" t="s">
        <v>2658</v>
      </c>
      <c r="B212" s="12"/>
      <c r="C212" s="13" t="str">
        <f>HYPERLINK("http://4sq.com/8iBrnA","JOANN Fabrics and Crafts ")</f>
        <v>JOANN Fabrics and Crafts </v>
      </c>
    </row>
    <row r="213">
      <c r="A213" s="12" t="s">
        <v>2659</v>
      </c>
      <c r="B213" s="12"/>
      <c r="C213" s="13" t="str">
        <f>HYPERLINK("http://4sq.com/zEXgUG","Ballard Coffee Works ")</f>
        <v>Ballard Coffee Works </v>
      </c>
    </row>
    <row r="214">
      <c r="A214" s="12" t="s">
        <v>2660</v>
      </c>
      <c r="B214" s="12"/>
      <c r="C214" s="13" t="str">
        <f>HYPERLINK("http://4sq.com/d30cRX","AuroraClean Express Laundry Mat ")</f>
        <v>AuroraClean Express Laundry Mat </v>
      </c>
    </row>
    <row r="215">
      <c r="A215" s="12" t="s">
        <v>2661</v>
      </c>
      <c r="B215" s="12"/>
      <c r="C215" s="13" t="str">
        <f>HYPERLINK("https://4sq.com/2NgU6qV","Cold Plated Dessert ")</f>
        <v>Cold Plated Dessert </v>
      </c>
    </row>
    <row r="216">
      <c r="A216" s="12" t="s">
        <v>2662</v>
      </c>
      <c r="B216" s="12"/>
      <c r="C216" s="13" t="str">
        <f>HYPERLINK("http://4sq.com/coPgp2","University Heights Community Center ")</f>
        <v>University Heights Community Center </v>
      </c>
    </row>
    <row r="217">
      <c r="A217" s="12" t="s">
        <v>2663</v>
      </c>
      <c r="B217" s="12"/>
      <c r="C217" s="13" t="str">
        <f>HYPERLINK("http://4sq.com/dDtBhc","Seattle Public Library - Ballard Branch ")</f>
        <v>Seattle Public Library - Ballard Branch </v>
      </c>
    </row>
    <row r="218">
      <c r="A218" s="12" t="s">
        <v>2664</v>
      </c>
      <c r="B218" s="12"/>
      <c r="C218" s="13" t="str">
        <f>HYPERLINK("http://4sq.com/c5ap2B","Carkeek Park Beach ")</f>
        <v>Carkeek Park Beach </v>
      </c>
    </row>
    <row r="219">
      <c r="A219" s="12" t="s">
        <v>2665</v>
      </c>
      <c r="B219" s="12"/>
      <c r="C219" s="13" t="str">
        <f>HYPERLINK("http://4sq.com/cGfvTv","Jimmy's Pizza &amp; Pasta ")</f>
        <v>Jimmy's Pizza &amp; Pasta </v>
      </c>
    </row>
    <row r="220">
      <c r="A220" s="12" t="s">
        <v>2666</v>
      </c>
      <c r="B220" s="12"/>
      <c r="C220" s="13" t="str">
        <f>HYPERLINK("http://4sq.com/1sQJ9jr","Best Western Plus Skagit Valley Inn And Convention Center ")</f>
        <v>Best Western Plus Skagit Valley Inn And Convention Center </v>
      </c>
    </row>
    <row r="221">
      <c r="A221" s="12" t="s">
        <v>2667</v>
      </c>
      <c r="B221" s="12"/>
      <c r="C221" s="13" t="str">
        <f>HYPERLINK("http://4sq.com/lCSSZy","Panda Express ")</f>
        <v>Panda Express </v>
      </c>
    </row>
    <row r="222">
      <c r="A222" s="12" t="s">
        <v>2668</v>
      </c>
      <c r="B222" s="12"/>
      <c r="C222" s="13" t="str">
        <f>HYPERLINK("http://4sq.com/jsTfFa","Mount Vernon Lions Club Roadside Park ")</f>
        <v>Mount Vernon Lions Club Roadside Park </v>
      </c>
    </row>
    <row r="223">
      <c r="A223" s="12" t="s">
        <v>2669</v>
      </c>
      <c r="B223" s="12"/>
      <c r="C223" s="13" t="str">
        <f>HYPERLINK("http://4sq.com/qn9lB6","Chevron ")</f>
        <v>Chevron </v>
      </c>
    </row>
    <row r="224">
      <c r="A224" s="12" t="s">
        <v>2670</v>
      </c>
      <c r="B224" s="12"/>
      <c r="C224" s="13" t="str">
        <f>HYPERLINK("http://4sq.com/9AAvtT","La Conner Seafood &amp; Prime Rib House ")</f>
        <v>La Conner Seafood &amp; Prime Rib House </v>
      </c>
    </row>
    <row r="225">
      <c r="A225" s="12" t="s">
        <v>2671</v>
      </c>
      <c r="B225" s="12"/>
      <c r="C225" s="13" t="str">
        <f>HYPERLINK("http://4sq.com/2f0Zc9M","Skagit Building Salvage ")</f>
        <v>Skagit Building Salvage </v>
      </c>
    </row>
    <row r="226">
      <c r="A226" s="12" t="s">
        <v>2672</v>
      </c>
      <c r="B226" s="12"/>
      <c r="C226" s="13" t="str">
        <f>HYPERLINK("http://4sq.com/czrhSo","Deception Pass Campground ")</f>
        <v>Deception Pass Campground </v>
      </c>
    </row>
    <row r="227">
      <c r="A227" s="12" t="s">
        <v>2673</v>
      </c>
      <c r="B227" s="12"/>
      <c r="C227" s="13" t="str">
        <f>HYPERLINK("http://4sq.com/hVJKiJ","Deception Pass State Park ")</f>
        <v>Deception Pass State Park </v>
      </c>
    </row>
    <row r="228">
      <c r="A228" s="12" t="s">
        <v>2674</v>
      </c>
      <c r="B228" s="12"/>
      <c r="C228" s="13" t="str">
        <f>HYPERLINK("http://4sq.com/cBypb6","West Beach ")</f>
        <v>West Beach </v>
      </c>
    </row>
    <row r="229">
      <c r="A229" s="12" t="s">
        <v>2675</v>
      </c>
      <c r="B229" s="12"/>
      <c r="C229" s="13" t="str">
        <f>HYPERLINK("http://4sq.com/UnYvYJ","The Beach ")</f>
        <v>The Beach </v>
      </c>
    </row>
    <row r="230">
      <c r="A230" s="12" t="s">
        <v>2676</v>
      </c>
      <c r="B230" s="12"/>
      <c r="C230" s="13" t="str">
        <f>HYPERLINK("http://4sq.com/pyICzd","Coupville Wharf ")</f>
        <v>Coupville Wharf </v>
      </c>
    </row>
    <row r="231">
      <c r="A231" s="12" t="s">
        <v>2676</v>
      </c>
      <c r="B231" s="12"/>
      <c r="C231" s="13" t="str">
        <f>HYPERLINK("http://4sq.com/1ou3JTA","Ebey's Landing National Historical Reserve ")</f>
        <v>Ebey's Landing National Historical Reserve </v>
      </c>
    </row>
    <row r="232">
      <c r="A232" s="12" t="s">
        <v>2677</v>
      </c>
      <c r="B232" s="12"/>
      <c r="C232" s="13" t="str">
        <f>HYPERLINK("http://4sq.com/P1uuKc","Mukilteo/Clinton Ferry Boat ")</f>
        <v>Mukilteo/Clinton Ferry Boat </v>
      </c>
    </row>
    <row r="233">
      <c r="A233" s="12" t="s">
        <v>2678</v>
      </c>
      <c r="B233" s="12"/>
      <c r="C233" s="13" t="str">
        <f>HYPERLINK("http://4sq.com/6w0wm2","Thriftway ")</f>
        <v>Thriftway </v>
      </c>
    </row>
    <row r="234">
      <c r="A234" s="12" t="s">
        <v>2679</v>
      </c>
      <c r="B234" s="12"/>
      <c r="C234" s="13" t="str">
        <f>HYPERLINK("http://4sq.com/d1bxJw","Avis Car Rental ")</f>
        <v>Avis Car Rental </v>
      </c>
    </row>
    <row r="235">
      <c r="A235" s="12" t="s">
        <v>2680</v>
      </c>
      <c r="B235" s="12"/>
      <c r="C235" s="13" t="str">
        <f>HYPERLINK("http://4sq.com/6eeSte","Sea-Tac Cell Phone Lot ")</f>
        <v>Sea-Tac Cell Phone Lot </v>
      </c>
    </row>
    <row r="236">
      <c r="A236" s="12" t="s">
        <v>2681</v>
      </c>
      <c r="B236" s="12"/>
      <c r="C236" s="13" t="str">
        <f>HYPERLINK("http://4sq.com/4wp746","Lowman Beach Park ")</f>
        <v>Lowman Beach Park </v>
      </c>
    </row>
    <row r="237">
      <c r="A237" s="12" t="s">
        <v>2682</v>
      </c>
      <c r="B237" s="12"/>
      <c r="C237" s="13" t="str">
        <f>HYPERLINK("http://4sq.com/HkXQ0L","Cherry Street Coffee House ")</f>
        <v>Cherry Street Coffee House </v>
      </c>
    </row>
    <row r="238">
      <c r="A238" s="12" t="s">
        <v>2683</v>
      </c>
      <c r="B238" s="12"/>
      <c r="C238" s="13" t="str">
        <f>HYPERLINK("http://4sq.com/aMaUgR","Space Needle: Observation Deck ")</f>
        <v>Space Needle: Observation Deck </v>
      </c>
    </row>
    <row r="239">
      <c r="A239" s="12" t="s">
        <v>2684</v>
      </c>
      <c r="B239" s="12"/>
      <c r="C239" s="13" t="str">
        <f>HYPERLINK("http://4sq.com/4RFrz9","Space Needle ")</f>
        <v>Space Needle </v>
      </c>
    </row>
    <row r="240">
      <c r="A240" s="12" t="s">
        <v>2685</v>
      </c>
      <c r="B240" s="12"/>
      <c r="C240" s="13" t="str">
        <f>HYPERLINK("http://4sq.com/ys8lu8","Chihuly Garden and Glass ")</f>
        <v>Chihuly Garden and Glass </v>
      </c>
    </row>
    <row r="241">
      <c r="A241" s="12" t="s">
        <v>2686</v>
      </c>
      <c r="B241" s="12"/>
      <c r="C241" s="13" t="str">
        <f>HYPERLINK("http://4sq.com/1ChoQBr","Zeeks Pizza ")</f>
        <v>Zeeks Pizza </v>
      </c>
    </row>
    <row r="242">
      <c r="A242" s="12" t="s">
        <v>2687</v>
      </c>
      <c r="B242" s="12"/>
      <c r="C242" s="13" t="str">
        <f>HYPERLINK("http://4sq.com/c08NIg","King County Water Taxi ")</f>
        <v>King County Water Taxi </v>
      </c>
    </row>
    <row r="243">
      <c r="A243" s="12" t="s">
        <v>2688</v>
      </c>
      <c r="B243" s="12"/>
      <c r="C243" s="13" t="str">
        <f>HYPERLINK("http://4sq.com/6bfe8m","Seattle Ferry Terminal ")</f>
        <v>Seattle Ferry Terminal </v>
      </c>
    </row>
    <row r="244">
      <c r="A244" s="12" t="s">
        <v>2689</v>
      </c>
      <c r="B244" s="12"/>
      <c r="C244" s="13" t="str">
        <f>HYPERLINK("http://4sq.com/8AveQM","Bainbridge Island Ferry Terminal ")</f>
        <v>Bainbridge Island Ferry Terminal </v>
      </c>
    </row>
    <row r="245">
      <c r="A245" s="12" t="s">
        <v>2690</v>
      </c>
      <c r="B245" s="12"/>
      <c r="C245" s="13" t="str">
        <f>HYPERLINK("http://4sq.com/2ksnzUq","Bruciato ")</f>
        <v>Bruciato </v>
      </c>
    </row>
    <row r="246">
      <c r="A246" s="12" t="s">
        <v>2691</v>
      </c>
      <c r="B246" s="12"/>
      <c r="C246" s="13" t="str">
        <f>HYPERLINK("http://4sq.com/cg9jpU","Calico Cat Toy Shoppe ")</f>
        <v>Calico Cat Toy Shoppe </v>
      </c>
    </row>
    <row r="247">
      <c r="A247" s="12" t="s">
        <v>2692</v>
      </c>
      <c r="B247" s="12"/>
      <c r="C247" s="13" t="str">
        <f>HYPERLINK("http://4sq.com/13H9kdB","Ampersand Cafe ")</f>
        <v>Ampersand Cafe </v>
      </c>
    </row>
    <row r="248">
      <c r="A248" s="12" t="s">
        <v>2693</v>
      </c>
      <c r="B248" s="12"/>
      <c r="C248" s="13" t="str">
        <f>HYPERLINK("http://4sq.com/bxsbpH","Seward Park Audubon Center ")</f>
        <v>Seward Park Audubon Center </v>
      </c>
    </row>
    <row r="249">
      <c r="A249" s="12" t="s">
        <v>2694</v>
      </c>
      <c r="B249" s="12"/>
      <c r="C249" s="13" t="str">
        <f>HYPERLINK("http://4sq.com/1lOBU9S","Big Chickie ")</f>
        <v>Big Chickie </v>
      </c>
    </row>
    <row r="250">
      <c r="A250" s="12" t="s">
        <v>2695</v>
      </c>
      <c r="B250" s="12"/>
      <c r="C250" s="13" t="str">
        <f>HYPERLINK("http://4sq.com/6xciH6","Discovery Park ")</f>
        <v>Discovery Park </v>
      </c>
    </row>
    <row r="251">
      <c r="A251" s="12" t="s">
        <v>2696</v>
      </c>
      <c r="B251" s="12"/>
      <c r="C251" s="13" t="str">
        <f>HYPERLINK("http://4sq.com/7Wrvvx","Daybreak Star Indian Cultural Center ")</f>
        <v>Daybreak Star Indian Cultural Center </v>
      </c>
    </row>
    <row r="252">
      <c r="A252" s="12" t="s">
        <v>2697</v>
      </c>
      <c r="B252" s="12"/>
      <c r="C252" s="13" t="str">
        <f>HYPERLINK("http://4sq.com/X3qhyX","Discovery Park Visitors Center ")</f>
        <v>Discovery Park Visitors Center </v>
      </c>
    </row>
    <row r="253">
      <c r="A253" s="12" t="s">
        <v>2698</v>
      </c>
      <c r="B253" s="12"/>
      <c r="C253" s="13" t="str">
        <f>HYPERLINK("http://4sq.com/JII7wf","Disco Park Playground ")</f>
        <v>Disco Park Playground </v>
      </c>
    </row>
    <row r="254">
      <c r="A254" s="12" t="s">
        <v>2699</v>
      </c>
      <c r="B254" s="12"/>
      <c r="C254" s="13" t="str">
        <f>HYPERLINK("http://4sq.com/cGfW6I","ARCO ")</f>
        <v>ARCO </v>
      </c>
    </row>
    <row r="255">
      <c r="A255" s="12" t="s">
        <v>2699</v>
      </c>
      <c r="B255" s="12"/>
      <c r="C255" s="13" t="str">
        <f>HYPERLINK("http://4sq.com/1Wbqf69","MOD Pizza ")</f>
        <v>MOD Pizza </v>
      </c>
    </row>
    <row r="256">
      <c r="A256" s="12" t="s">
        <v>2700</v>
      </c>
      <c r="B256" s="12"/>
      <c r="C256" s="13" t="str">
        <f>HYPERLINK("http://4sq.com/1TaYxPo","Whispering Willow Park ")</f>
        <v>Whispering Willow Park </v>
      </c>
    </row>
    <row r="257">
      <c r="A257" s="12" t="s">
        <v>2701</v>
      </c>
      <c r="B257" s="12"/>
      <c r="C257" s="13" t="str">
        <f>HYPERLINK("http://4sq.com/arTf9r","Safeway ")</f>
        <v>Safeway </v>
      </c>
    </row>
    <row r="258">
      <c r="A258" s="12" t="s">
        <v>2702</v>
      </c>
      <c r="B258" s="12"/>
      <c r="C258" s="13" t="str">
        <f>HYPERLINK("http://4sq.com/f8dcOQ","Prospectors Steak And Ale House ")</f>
        <v>Prospectors Steak And Ale House </v>
      </c>
    </row>
    <row r="259">
      <c r="A259" s="12" t="s">
        <v>2703</v>
      </c>
      <c r="B259" s="12"/>
      <c r="C259" s="13" t="str">
        <f>HYPERLINK("http://4sq.com/cqUhLG","Gold Bar Family Grocer ")</f>
        <v>Gold Bar Family Grocer </v>
      </c>
    </row>
    <row r="260">
      <c r="A260" s="12" t="s">
        <v>2704</v>
      </c>
      <c r="B260" s="12"/>
      <c r="C260" s="13" t="str">
        <f>HYPERLINK("http://4sq.com/NhUvs2","Smallwoods Harvest ")</f>
        <v>Smallwoods Harvest </v>
      </c>
    </row>
    <row r="261">
      <c r="A261" s="12" t="s">
        <v>2705</v>
      </c>
      <c r="B261" s="12"/>
      <c r="C261" s="13" t="str">
        <f>HYPERLINK("http://foursquare.com/v/4c1e61b88b3aa59331fb9b5f","Big Y Cafe ")</f>
        <v>Big Y Cafe </v>
      </c>
    </row>
    <row r="262">
      <c r="A262" s="12" t="s">
        <v>2706</v>
      </c>
      <c r="B262" s="12"/>
      <c r="C262" s="13" t="str">
        <f>HYPERLINK("http://4sq.com/a9EJs1","Safeway ")</f>
        <v>Safeway </v>
      </c>
    </row>
    <row r="263">
      <c r="A263" s="12" t="s">
        <v>2707</v>
      </c>
      <c r="B263" s="12"/>
      <c r="C263" s="13" t="str">
        <f>HYPERLINK("http://4sq.com/czhtdp","Cle Elum Lake ")</f>
        <v>Cle Elum Lake </v>
      </c>
    </row>
    <row r="264">
      <c r="A264" s="12" t="s">
        <v>2708</v>
      </c>
      <c r="B264" s="12"/>
      <c r="C264" s="13" t="str">
        <f>HYPERLINK("http://4sq.com/16uaOWt","Speelyi Beach ")</f>
        <v>Speelyi Beach </v>
      </c>
    </row>
    <row r="265">
      <c r="A265" s="12" t="s">
        <v>2709</v>
      </c>
      <c r="B265" s="12"/>
      <c r="C265" s="13" t="str">
        <f>HYPERLINK("http://4sq.com/9xyRIA","Safeway Gas Station ")</f>
        <v>Safeway Gas Station </v>
      </c>
    </row>
    <row r="266">
      <c r="A266" s="12" t="s">
        <v>2710</v>
      </c>
      <c r="B266" s="12"/>
      <c r="C266" s="13" t="str">
        <f>HYPERLINK("http://4sq.com/dopaqo","Blewett Pass ")</f>
        <v>Blewett Pass </v>
      </c>
    </row>
    <row r="267">
      <c r="A267" s="12" t="s">
        <v>2711</v>
      </c>
      <c r="B267" s="12"/>
      <c r="C267" s="13" t="str">
        <f>HYPERLINK("http://4sq.com/151MagZ","Bavarian Bistro ")</f>
        <v>Bavarian Bistro </v>
      </c>
    </row>
    <row r="268">
      <c r="A268" s="12" t="s">
        <v>2712</v>
      </c>
      <c r="B268" s="12"/>
      <c r="C268" s="13" t="str">
        <f>HYPERLINK("http://4sq.com/9T1wzd","Danish Bakery ")</f>
        <v>Danish Bakery </v>
      </c>
    </row>
    <row r="269">
      <c r="A269" s="12" t="s">
        <v>2713</v>
      </c>
      <c r="B269" s="12"/>
      <c r="C269" s="13" t="str">
        <f>HYPERLINK("http://4sq.com/2eWbdA2","Yodelin Broth ")</f>
        <v>Yodelin Broth </v>
      </c>
    </row>
    <row r="270">
      <c r="A270" s="12" t="s">
        <v>2714</v>
      </c>
      <c r="B270" s="12"/>
      <c r="C270" s="13" t="str">
        <f>HYPERLINK("http://4sq.com/gnS11I","Mango Thai Cuisine &amp; Bar ")</f>
        <v>Mango Thai Cuisine &amp; Bar </v>
      </c>
    </row>
    <row r="271">
      <c r="A271" s="12" t="s">
        <v>2715</v>
      </c>
      <c r="B271" s="12"/>
      <c r="C271" s="13" t="str">
        <f>HYPERLINK("http://4sq.com/2r9FgW","Target ")</f>
        <v>Target </v>
      </c>
    </row>
    <row r="272">
      <c r="A272" s="12" t="s">
        <v>2716</v>
      </c>
      <c r="B272" s="12"/>
      <c r="C272" s="13" t="str">
        <f>HYPERLINK("http://4sq.com/1JLEG8D","Frēlard Pizza Company ")</f>
        <v>Frēlard Pizza Company </v>
      </c>
    </row>
    <row r="273">
      <c r="A273" s="12" t="s">
        <v>2717</v>
      </c>
      <c r="B273" s="12"/>
      <c r="C273" s="13" t="str">
        <f>HYPERLINK("http://4sq.com/2TAe6E","Paramount Theatre ")</f>
        <v>Paramount Theatre </v>
      </c>
    </row>
    <row r="274">
      <c r="A274" s="12" t="s">
        <v>2718</v>
      </c>
      <c r="B274" s="12"/>
      <c r="C274" s="13" t="str">
        <f>HYPERLINK("http://4sq.com/4ED9B2","Nike Seattle ")</f>
        <v>Nike Seattle </v>
      </c>
    </row>
    <row r="275">
      <c r="A275" s="12" t="s">
        <v>2719</v>
      </c>
      <c r="B275" s="12"/>
      <c r="C275" s="13" t="str">
        <f>HYPERLINK("http://4sq.com/2eXKFH","King Street Station (SEA) ")</f>
        <v>King Street Station (SEA) </v>
      </c>
    </row>
    <row r="276">
      <c r="A276" s="12" t="s">
        <v>2720</v>
      </c>
      <c r="B276" s="12"/>
      <c r="C276" s="13" t="str">
        <f>HYPERLINK("http://4sq.com/L7TU5","Moore Theatre ")</f>
        <v>Moore Theatre </v>
      </c>
    </row>
    <row r="277">
      <c r="A277" s="12" t="s">
        <v>2721</v>
      </c>
      <c r="B277" s="12"/>
      <c r="C277" s="13" t="str">
        <f>HYPERLINK("http://4sq.com/8C3ePA","Starbucks ")</f>
        <v>Starbucks </v>
      </c>
    </row>
    <row r="278">
      <c r="A278" s="12" t="s">
        <v>2722</v>
      </c>
      <c r="B278" s="12"/>
      <c r="C278" s="13" t="str">
        <f>HYPERLINK("https://4sq.com/2IfxhU2","Joe Chocolate Co ")</f>
        <v>Joe Chocolate Co </v>
      </c>
    </row>
    <row r="279">
      <c r="A279" s="12" t="s">
        <v>2723</v>
      </c>
      <c r="B279" s="12"/>
      <c r="C279" s="13" t="str">
        <f>HYPERLINK("http://4sq.com/g1MHtP","Panda Express ")</f>
        <v>Panda Express </v>
      </c>
    </row>
    <row r="280">
      <c r="A280" s="12" t="s">
        <v>2723</v>
      </c>
      <c r="B280" s="12"/>
      <c r="C280" s="13" t="str">
        <f>HYPERLINK("http://4sq.com/77hVWN","Target ")</f>
        <v>Target </v>
      </c>
    </row>
    <row r="281">
      <c r="A281" s="12" t="s">
        <v>2724</v>
      </c>
      <c r="B281" s="12"/>
      <c r="C281" s="13" t="str">
        <f>HYPERLINK("http://4sq.com/cP8hCY","Mount Baker Beach ")</f>
        <v>Mount Baker Beach </v>
      </c>
    </row>
    <row r="282">
      <c r="A282" s="12" t="s">
        <v>2725</v>
      </c>
      <c r="B282" s="12"/>
      <c r="C282" s="13" t="str">
        <f>HYPERLINK("http://4sq.com/d7Xfnl","Mount Baker Park ")</f>
        <v>Mount Baker Park </v>
      </c>
    </row>
    <row r="283">
      <c r="A283" s="12" t="s">
        <v>2726</v>
      </c>
      <c r="B283" s="12"/>
      <c r="C283" s="13" t="str">
        <f>HYPERLINK("http://4sq.com/9WBNQl","Econolodge ")</f>
        <v>Econolodge </v>
      </c>
    </row>
    <row r="284">
      <c r="A284" s="12" t="s">
        <v>2727</v>
      </c>
      <c r="B284" s="12"/>
      <c r="C284" s="13" t="str">
        <f>HYPERLINK("http://4sq.com/1HUvASK","Super Six ")</f>
        <v>Super Six </v>
      </c>
    </row>
    <row r="285">
      <c r="A285" s="12" t="s">
        <v>2728</v>
      </c>
      <c r="B285" s="12"/>
      <c r="C285" s="13" t="str">
        <f>HYPERLINK("http://4sq.com/bSrSfF","Pho Tai ")</f>
        <v>Pho Tai </v>
      </c>
    </row>
    <row r="286">
      <c r="A286" s="12" t="s">
        <v>2729</v>
      </c>
      <c r="B286" s="12"/>
      <c r="C286" s="13" t="str">
        <f>HYPERLINK("http://4sq.com/98Iky1","Bed Bath &amp; Beyond ")</f>
        <v>Bed Bath &amp; Beyond </v>
      </c>
    </row>
    <row r="287">
      <c r="A287" s="12" t="s">
        <v>2729</v>
      </c>
      <c r="B287" s="12"/>
      <c r="C287" s="13" t="str">
        <f>HYPERLINK("http://4sq.com/7Is9ku","REI ")</f>
        <v>REI </v>
      </c>
    </row>
    <row r="288">
      <c r="A288" s="12" t="s">
        <v>2730</v>
      </c>
      <c r="B288" s="12"/>
      <c r="C288" s="13" t="str">
        <f>HYPERLINK("http://4sq.com/V23mys","ARCO ")</f>
        <v>ARCO </v>
      </c>
    </row>
    <row r="289">
      <c r="A289" s="12" t="s">
        <v>2731</v>
      </c>
      <c r="B289" s="12"/>
      <c r="C289" s="13" t="str">
        <f>HYPERLINK("http://4sq.com/d1bxJw","Avis Car Rental ")</f>
        <v>Avis Car Rental </v>
      </c>
    </row>
    <row r="290">
      <c r="A290" s="12" t="s">
        <v>2732</v>
      </c>
      <c r="B290" s="12"/>
      <c r="C290" s="13" t="str">
        <f>HYPERLINK("http://4sq.com/2q9cxD","Seattle-Tacoma International Airport (SEA) ")</f>
        <v>Seattle-Tacoma International Airport (SEA) </v>
      </c>
    </row>
    <row r="291">
      <c r="A291" s="12" t="s">
        <v>2733</v>
      </c>
      <c r="B291" s="12"/>
      <c r="C291" s="13" t="str">
        <f>HYPERLINK("http://4sq.com/gQux0q","The Club at SEA ")</f>
        <v>The Club at SEA </v>
      </c>
    </row>
    <row r="292">
      <c r="A292" s="12" t="s">
        <v>2734</v>
      </c>
      <c r="B292" s="12"/>
      <c r="C292" s="13" t="str">
        <f>HYPERLINK("http://4sq.com/9dybiM","Terminal 1 (一號客運大樓) ")</f>
        <v>Terminal 1 (一號客運大樓) </v>
      </c>
    </row>
    <row r="293">
      <c r="A293" s="12" t="s">
        <v>2735</v>
      </c>
      <c r="B293" s="12"/>
      <c r="C293" s="13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</row>
    <row r="294">
      <c r="A294" s="12" t="s">
        <v>2736</v>
      </c>
      <c r="B294" s="12"/>
      <c r="C294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295">
      <c r="A295" s="12" t="s">
        <v>2737</v>
      </c>
      <c r="B295" s="12"/>
      <c r="C295" s="13" t="str">
        <f>HYPERLINK("http://4sq.com/2x0Cqvu","Saded Cafe' ")</f>
        <v>Saded Cafe' </v>
      </c>
    </row>
    <row r="296">
      <c r="A296" s="12" t="s">
        <v>2738</v>
      </c>
      <c r="B296" s="12"/>
      <c r="C296" s="13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297">
      <c r="A297" s="12" t="s">
        <v>2739</v>
      </c>
      <c r="B297" s="12"/>
      <c r="C297" s="13" t="str">
        <f>HYPERLINK("http://4sq.com/dwbrHe","The Salad Concept ")</f>
        <v>The Salad Concept </v>
      </c>
    </row>
    <row r="298">
      <c r="A298" s="12" t="s">
        <v>2740</v>
      </c>
      <c r="B298" s="12"/>
      <c r="C298" s="13" t="str">
        <f>HYPERLINK("http://4sq.com/1rCQT2C","Tiger Ted Café (ไทเกอร์ เท็ด คาเฟ่) ")</f>
        <v>Tiger Ted Café (ไทเกอร์ เท็ด คาเฟ่) </v>
      </c>
    </row>
    <row r="299">
      <c r="A299" s="12" t="s">
        <v>2741</v>
      </c>
      <c r="B299" s="12"/>
      <c r="C299" s="13" t="str">
        <f>HYPERLINK("http://4sq.com/o3ZEdO","See Paak Restaurant ")</f>
        <v>See Paak Restaurant </v>
      </c>
    </row>
    <row r="300">
      <c r="A300" s="12" t="s">
        <v>2742</v>
      </c>
      <c r="B300" s="12"/>
      <c r="C300" s="13" t="str">
        <f>HYPERLINK("https://4sq.com/2rv2b2K","level9 ")</f>
        <v>level9 </v>
      </c>
    </row>
    <row r="301">
      <c r="A301" s="12" t="s">
        <v>2743</v>
      </c>
      <c r="B301" s="12"/>
      <c r="C301" s="13" t="str">
        <f>HYPERLINK("http://4sq.com/139xAVx","Food4thought ")</f>
        <v>Food4thought </v>
      </c>
    </row>
    <row r="302">
      <c r="A302" s="12" t="s">
        <v>2744</v>
      </c>
      <c r="B302" s="12"/>
      <c r="C302" s="13" t="str">
        <f>HYPERLINK("http://4sq.com/2dySMPy","The Ironwood ")</f>
        <v>The Ironwood </v>
      </c>
    </row>
    <row r="303">
      <c r="A303" s="12" t="s">
        <v>2745</v>
      </c>
      <c r="B303" s="12"/>
      <c r="C303" s="13" t="str">
        <f>HYPERLINK("http://4sq.com/2zJP5B9","ครัวคำหวาน ")</f>
        <v>ครัวคำหวาน </v>
      </c>
    </row>
    <row r="304">
      <c r="A304" s="12" t="s">
        <v>2746</v>
      </c>
      <c r="B304" s="12"/>
      <c r="C304" s="13" t="str">
        <f>HYPERLINK("http://4sq.com/kTWAVQ","www.Bywoodwind.com ")</f>
        <v>www.Bywoodwind.com </v>
      </c>
    </row>
    <row r="305">
      <c r="A305" s="12" t="s">
        <v>2747</v>
      </c>
      <c r="B305" s="12"/>
      <c r="C305" s="13" t="str">
        <f>HYPERLINK("http://4sq.com/1dHOYY4","Pizzeria Giotto ")</f>
        <v>Pizzeria Giotto </v>
      </c>
    </row>
    <row r="306">
      <c r="A306" s="12" t="s">
        <v>2748</v>
      </c>
      <c r="B306" s="12"/>
      <c r="C306" s="13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307">
      <c r="A307" s="12" t="s">
        <v>2749</v>
      </c>
      <c r="B307" s="12"/>
      <c r="C307" s="13" t="str">
        <f>HYPERLINK("http://4sq.com/1GTh6Sq","I Din Klin Krog (ไอ ดิน กลิ่น ครก) ")</f>
        <v>I Din Klin Krog (ไอ ดิน กลิ่น ครก) </v>
      </c>
    </row>
    <row r="308">
      <c r="A308" s="12" t="s">
        <v>2750</v>
      </c>
      <c r="B308" s="12"/>
      <c r="C308" s="13" t="str">
        <f>HYPERLINK("http://4sq.com/1GCDoss","เดิมเดิม ")</f>
        <v>เดิมเดิม </v>
      </c>
    </row>
    <row r="309">
      <c r="A309" s="12" t="s">
        <v>2751</v>
      </c>
      <c r="B309" s="12"/>
      <c r="C309" s="13" t="str">
        <f>HYPERLINK("http://4sq.com/104JYXo","Sausage King Garden ")</f>
        <v>Sausage King Garden </v>
      </c>
    </row>
    <row r="310">
      <c r="A310" s="12" t="s">
        <v>2752</v>
      </c>
      <c r="B310" s="12"/>
      <c r="C310" s="13" t="str">
        <f>HYPERLINK("http://4sq.com/1TCmRjN","Hong beach (โฮ่งบีช) ")</f>
        <v>Hong beach (โฮ่งบีช) </v>
      </c>
    </row>
    <row r="311">
      <c r="A311" s="12" t="s">
        <v>2753</v>
      </c>
      <c r="B311" s="12"/>
      <c r="C311" s="13" t="str">
        <f>HYPERLINK("http://4sq.com/1LwwIEn","Let It Be ")</f>
        <v>Let It Be </v>
      </c>
    </row>
    <row r="312">
      <c r="A312" s="12" t="s">
        <v>2754</v>
      </c>
      <c r="B312" s="12"/>
      <c r="C312" s="13" t="str">
        <f>HYPERLINK("https://4sq.com/2HmVp7S","Hakone​ Cafe ")</f>
        <v>Hakone​ Cafe </v>
      </c>
    </row>
    <row r="313">
      <c r="A313" s="12" t="s">
        <v>2755</v>
      </c>
      <c r="B313" s="12"/>
      <c r="C313" s="13" t="str">
        <f>HYPERLINK("http://4sq.com/1363Mx2","Chiangdao Camp (ค่ายเยาวชนฯเชียงดาว) ")</f>
        <v>Chiangdao Camp (ค่ายเยาวชนฯเชียงดาว) </v>
      </c>
    </row>
    <row r="314">
      <c r="A314" s="12" t="s">
        <v>2756</v>
      </c>
      <c r="B314" s="12"/>
      <c r="C314" s="13" t="str">
        <f>HYPERLINK("http://4sq.com/PM881F","Hot Spring เชียงดาว ")</f>
        <v>Hot Spring เชียงดาว </v>
      </c>
    </row>
    <row r="315">
      <c r="A315" s="12" t="s">
        <v>2757</v>
      </c>
      <c r="B315" s="12"/>
      <c r="C315" s="13" t="str">
        <f>HYPERLINK("http://4sq.com/bhliDn","Star Visa Service ")</f>
        <v>Star Visa Service </v>
      </c>
    </row>
    <row r="316">
      <c r="A316" s="12" t="s">
        <v>2758</v>
      </c>
      <c r="B316" s="12"/>
      <c r="C316" s="13" t="str">
        <f>HYPERLINK("http://4sq.com/o3ZEdO","See Paak Restaurant ")</f>
        <v>See Paak Restaurant </v>
      </c>
    </row>
    <row r="317">
      <c r="A317" s="12" t="s">
        <v>2759</v>
      </c>
      <c r="B317" s="12"/>
      <c r="C317" s="13" t="str">
        <f>HYPERLINK("http://4sq.com/I28LVE","Café de Oasis (คาเฟ่ เดอ โอเอซิส) ")</f>
        <v>Café de Oasis (คาเฟ่ เดอ โอเอซิส) </v>
      </c>
    </row>
    <row r="318">
      <c r="A318" s="12" t="s">
        <v>2760</v>
      </c>
      <c r="B318" s="12"/>
      <c r="C318" s="13" t="str">
        <f>HYPERLINK("http://4sq.com/1glAL7r","The Duke's ")</f>
        <v>The Duke's </v>
      </c>
    </row>
    <row r="319">
      <c r="A319" s="12" t="s">
        <v>2761</v>
      </c>
      <c r="B319" s="12"/>
      <c r="C319" s="13" t="str">
        <f>HYPERLINK("http://4sq.com/2fWhfSJ","ก๋วยเตี๋ยวหมูต้มยำ สูตรพิษณุโลก ")</f>
        <v>ก๋วยเตี๋ยวหมูต้มยำ สูตรพิษณุโลก </v>
      </c>
    </row>
    <row r="320">
      <c r="A320" s="12" t="s">
        <v>2762</v>
      </c>
      <c r="B320" s="12"/>
      <c r="C320" s="13" t="str">
        <f>HYPERLINK("https://4sq.com/2MkRHQH","Grooveyard ")</f>
        <v>Grooveyard </v>
      </c>
    </row>
    <row r="321">
      <c r="A321" s="12" t="s">
        <v>2763</v>
      </c>
      <c r="B321" s="12"/>
      <c r="C321" s="13" t="str">
        <f>HYPERLINK("http://4sq.com/zjSUlB","Domestic Departures ")</f>
        <v>Domestic Departures </v>
      </c>
    </row>
    <row r="322">
      <c r="A322" s="12" t="s">
        <v>2764</v>
      </c>
      <c r="B322" s="12"/>
      <c r="C322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23">
      <c r="A323" s="12" t="s">
        <v>2765</v>
      </c>
      <c r="B323" s="12"/>
      <c r="C323" s="13" t="str">
        <f>HYPERLINK("https://4sq.com/2MrC8DM","Mango Mood ")</f>
        <v>Mango Mood </v>
      </c>
    </row>
    <row r="324">
      <c r="A324" s="12" t="s">
        <v>2766</v>
      </c>
      <c r="B324" s="12"/>
      <c r="C324" s="13" t="str">
        <f>HYPERLINK("http://4sq.com/5gnRsF","MBK Center (เอ็ม บี เค เซ็นเตอร์) ")</f>
        <v>MBK Center (เอ็ม บี เค เซ็นเตอร์) </v>
      </c>
    </row>
    <row r="325">
      <c r="A325" s="12" t="s">
        <v>2767</v>
      </c>
      <c r="B325" s="12"/>
      <c r="C325" s="13" t="str">
        <f>HYPERLINK("http://4sq.com/8qFeBm","All Seasons Place (ออล ซีซั่นส์ เพลส) ")</f>
        <v>All Seasons Place (ออล ซีซั่นส์ เพลส) </v>
      </c>
    </row>
    <row r="326">
      <c r="A326" s="12" t="s">
        <v>2768</v>
      </c>
      <c r="B326" s="12"/>
      <c r="C326" s="13" t="str">
        <f>HYPERLINK("http://4sq.com/cA2VbC","Au Bon Pain (โอ บอง แปง) ")</f>
        <v>Au Bon Pain (โอ บอง แปง) </v>
      </c>
    </row>
    <row r="327">
      <c r="A327" s="12" t="s">
        <v>2769</v>
      </c>
      <c r="B327" s="12"/>
      <c r="C327" s="13" t="str">
        <f>HYPERLINK("http://4sq.com/6mrTi5","Sindhorn Building (อาคารสินธร) ")</f>
        <v>Sindhorn Building (อาคารสินธร) </v>
      </c>
    </row>
    <row r="328">
      <c r="A328" s="12" t="s">
        <v>2770</v>
      </c>
      <c r="B328" s="12"/>
      <c r="C328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29">
      <c r="A329" s="12" t="s">
        <v>2771</v>
      </c>
      <c r="B329" s="12"/>
      <c r="C329" s="13" t="str">
        <f>HYPERLINK("http://4sq.com/Tis8JR","Domestic Departures ")</f>
        <v>Domestic Departures </v>
      </c>
    </row>
    <row r="330">
      <c r="A330" s="12" t="s">
        <v>2772</v>
      </c>
      <c r="B330" s="12"/>
      <c r="C330" s="13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</row>
    <row r="331">
      <c r="A331" s="12" t="s">
        <v>2773</v>
      </c>
      <c r="B331" s="12"/>
      <c r="C331" s="13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</row>
    <row r="332">
      <c r="A332" s="12" t="s">
        <v>2774</v>
      </c>
      <c r="B332" s="12"/>
      <c r="C332" s="13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</row>
    <row r="333">
      <c r="A333" s="12" t="s">
        <v>2775</v>
      </c>
      <c r="B333" s="12"/>
      <c r="C333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34">
      <c r="A334" s="12" t="s">
        <v>2776</v>
      </c>
      <c r="B334" s="12"/>
      <c r="C334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35">
      <c r="A335" s="12" t="s">
        <v>2777</v>
      </c>
      <c r="B335" s="12"/>
      <c r="C335" s="13" t="str">
        <f>HYPERLINK("https://4sq.com/2MrC8DM","Mango Mood ")</f>
        <v>Mango Mood </v>
      </c>
    </row>
    <row r="336">
      <c r="A336" s="12" t="s">
        <v>2778</v>
      </c>
      <c r="B336" s="12"/>
      <c r="C336" s="13" t="str">
        <f>HYPERLINK("https://4sq.com/2Cl0dc5","Mixt Chatuchak (มิกซ์ จตุจักร) ")</f>
        <v>Mixt Chatuchak (มิกซ์ จตุจักร) </v>
      </c>
    </row>
    <row r="337">
      <c r="A337" s="12" t="s">
        <v>2779</v>
      </c>
      <c r="B337" s="12"/>
      <c r="C337" s="13" t="str">
        <f>HYPERLINK("http://4sq.com/cakSey","PTT (ปตท.) ")</f>
        <v>PTT (ปตท.) </v>
      </c>
    </row>
    <row r="338">
      <c r="A338" s="12" t="s">
        <v>2780</v>
      </c>
      <c r="B338" s="12"/>
      <c r="C338" s="13" t="str">
        <f>HYPERLINK("http://4sq.com/9SquVM","I Sea ")</f>
        <v>I Sea </v>
      </c>
    </row>
    <row r="339">
      <c r="A339" s="12" t="s">
        <v>2781</v>
      </c>
      <c r="B339" s="12"/>
      <c r="C339" s="13" t="str">
        <f>HYPERLINK("http://4sq.com/9Z6CED","Veranda Resort and Spa (วีรันดา รีสอร์ท แอนด์ สปา) ")</f>
        <v>Veranda Resort and Spa (วีรันดา รีสอร์ท แอนด์ สปา) </v>
      </c>
    </row>
    <row r="340">
      <c r="A340" s="12" t="s">
        <v>2782</v>
      </c>
      <c r="B340" s="12"/>
      <c r="C340" s="13" t="str">
        <f>HYPERLINK("http://4sq.com/dyWTNV","Mrigadayavan Palace (พระราชนิเวศน์มฤคทายวัน) ")</f>
        <v>Mrigadayavan Palace (พระราชนิเวศน์มฤคทายวัน) </v>
      </c>
    </row>
    <row r="341">
      <c r="A341" s="12" t="s">
        <v>2783</v>
      </c>
      <c r="B341" s="12"/>
      <c r="C341" s="13" t="str">
        <f>HYPERLINK("https://4sq.com/2MrC8DM","Mango Mood ")</f>
        <v>Mango Mood </v>
      </c>
    </row>
    <row r="342">
      <c r="A342" s="12" t="s">
        <v>2784</v>
      </c>
      <c r="B342" s="12"/>
      <c r="C342" s="13" t="str">
        <f>HYPERLINK("http://4sq.com/93o1Tn","Hub 39 (ฮับ 39) ")</f>
        <v>Hub 39 (ฮับ 39) </v>
      </c>
    </row>
    <row r="343">
      <c r="A343" s="12" t="s">
        <v>2785</v>
      </c>
      <c r="B343" s="12"/>
      <c r="C343" s="13" t="str">
        <f>HYPERLINK("http://4sq.com/2rLfKOq","Craftsman Bangkok ")</f>
        <v>Craftsman Bangkok </v>
      </c>
    </row>
    <row r="344">
      <c r="A344" s="12" t="s">
        <v>2786</v>
      </c>
      <c r="B344" s="12"/>
      <c r="C344" s="13" t="str">
        <f>HYPERLINK("http://4sq.com/fO3KyX","The Grand Palace (พระบรมมหาราชวัง) ")</f>
        <v>The Grand Palace (พระบรมมหาราชวัง) </v>
      </c>
    </row>
    <row r="345">
      <c r="A345" s="12" t="s">
        <v>2787</v>
      </c>
      <c r="B345" s="12"/>
      <c r="C345" s="13" t="str">
        <f>HYPERLINK("http://4sq.com/c7PWam","Sala Arun Cafe &amp; Residence ")</f>
        <v>Sala Arun Cafe &amp; Residence </v>
      </c>
    </row>
    <row r="346">
      <c r="A346" s="12" t="s">
        <v>2788</v>
      </c>
      <c r="B346" s="12"/>
      <c r="C346" s="13" t="str">
        <f>HYPERLINK("http://4sq.com/1gedq0v","Eat Sight Story ")</f>
        <v>Eat Sight Story </v>
      </c>
    </row>
    <row r="347">
      <c r="A347" s="12" t="s">
        <v>2789</v>
      </c>
      <c r="B347" s="12"/>
      <c r="C347" s="13" t="str">
        <f>HYPERLINK("http://4sq.com/Mj7oRC","25 Degrees (ทเว้นตี้ไฟว์ ดีกรีส์) ")</f>
        <v>25 Degrees (ทเว้นตี้ไฟว์ ดีกรีส์) </v>
      </c>
    </row>
    <row r="348">
      <c r="A348" s="12" t="s">
        <v>2790</v>
      </c>
      <c r="B348" s="12"/>
      <c r="C348" s="13" t="str">
        <f>HYPERLINK("http://4sq.com/2rLfKOq","Craftsman Bangkok ")</f>
        <v>Craftsman Bangkok </v>
      </c>
    </row>
    <row r="349">
      <c r="A349" s="12" t="s">
        <v>2791</v>
      </c>
      <c r="B349" s="12"/>
      <c r="C349" s="13" t="str">
        <f>HYPERLINK("http://4sq.com/15jihx3","Casa Lapin (คาซ่า ลาแปง) ")</f>
        <v>Casa Lapin (คาซ่า ลาแปง) </v>
      </c>
    </row>
    <row r="350">
      <c r="A350" s="12" t="s">
        <v>2792</v>
      </c>
      <c r="B350" s="12"/>
      <c r="C350" s="13" t="str">
        <f>HYPERLINK("https://4sq.com/2MrC8DM","Mango Mood ")</f>
        <v>Mango Mood </v>
      </c>
    </row>
    <row r="351">
      <c r="A351" s="12" t="s">
        <v>2793</v>
      </c>
      <c r="B351" s="12"/>
      <c r="C351" s="13" t="str">
        <f>HYPERLINK("http://4sq.com/Tis8JR","Domestic Departures ")</f>
        <v>Domestic Departures </v>
      </c>
    </row>
    <row r="352">
      <c r="A352" s="12" t="s">
        <v>2794</v>
      </c>
      <c r="B352" s="12"/>
      <c r="C352" s="13" t="str">
        <f>HYPERLINK("http://4sq.com/2gQOzac","Miracle Co-Working Space ")</f>
        <v>Miracle Co-Working Space </v>
      </c>
    </row>
    <row r="353">
      <c r="A353" s="12" t="s">
        <v>2795</v>
      </c>
      <c r="B353" s="12"/>
      <c r="C353" s="1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354">
      <c r="A354" s="12" t="s">
        <v>2796</v>
      </c>
      <c r="B354" s="12"/>
      <c r="C354" s="13" t="str">
        <f>HYPERLINK("http://4sq.com/1GCDoss","เดิมเดิม ")</f>
        <v>เดิมเดิม </v>
      </c>
    </row>
    <row r="355">
      <c r="A355" s="12" t="s">
        <v>2797</v>
      </c>
      <c r="B355" s="12"/>
      <c r="C355" s="13" t="str">
        <f>HYPERLINK("https://4sq.com/2F0Mvw5","N THRÉE coffee &amp; eatery #maerim ")</f>
        <v>N THRÉE coffee &amp; eatery #maerim </v>
      </c>
    </row>
    <row r="356">
      <c r="A356" s="12" t="s">
        <v>2798</v>
      </c>
      <c r="B356" s="12"/>
      <c r="C356" s="13" t="str">
        <f>HYPERLINK("http://4sq.com/I28LVE","Café de Oasis (คาเฟ่ เดอ โอเอซิส) ")</f>
        <v>Café de Oasis (คาเฟ่ เดอ โอเอซิส) </v>
      </c>
    </row>
    <row r="357">
      <c r="A357" s="12" t="s">
        <v>2799</v>
      </c>
      <c r="B357" s="12"/>
      <c r="C357" s="13" t="str">
        <f>HYPERLINK("https://4sq.com/2NtMfti","Houses And Horses ")</f>
        <v>Houses And Horses </v>
      </c>
    </row>
    <row r="358">
      <c r="A358" s="12" t="s">
        <v>2800</v>
      </c>
      <c r="B358" s="12"/>
      <c r="C358" s="13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</row>
    <row r="359">
      <c r="A359" s="12" t="s">
        <v>2801</v>
      </c>
      <c r="B359" s="12"/>
      <c r="C359" s="13" t="str">
        <f>HYPERLINK("http://4sq.com/l2ei3c","Rimdoi Resort ")</f>
        <v>Rimdoi Resort </v>
      </c>
    </row>
    <row r="360">
      <c r="A360" s="12" t="s">
        <v>2802</v>
      </c>
      <c r="B360" s="12"/>
      <c r="C360" s="13" t="str">
        <f>HYPERLINK("https://4sq.com/3730zAO","Kusuma Coffee ")</f>
        <v>Kusuma Coffee </v>
      </c>
    </row>
    <row r="361">
      <c r="A361" s="12" t="s">
        <v>2803</v>
      </c>
      <c r="B361" s="12"/>
      <c r="C361" s="13" t="str">
        <f>HYPERLINK("http://4sq.com/rBZICq","Maple Coffee ")</f>
        <v>Maple Coffee </v>
      </c>
    </row>
    <row r="362">
      <c r="A362" s="12" t="s">
        <v>2804</v>
      </c>
      <c r="B362" s="12"/>
      <c r="C362" s="13" t="str">
        <f>HYPERLINK("http://4sq.com/1E6cigO","จุดชมวิวม่อนสน ")</f>
        <v>จุดชมวิวม่อนสน </v>
      </c>
    </row>
    <row r="363">
      <c r="A363" s="12" t="s">
        <v>2805</v>
      </c>
      <c r="B363" s="12"/>
      <c r="C363" s="13" t="str">
        <f>HYPERLINK("http://4sq.com/hNpn6Q","ดอยอ่างขาง ")</f>
        <v>ดอยอ่างขาง </v>
      </c>
    </row>
    <row r="364">
      <c r="A364" s="12" t="s">
        <v>2806</v>
      </c>
      <c r="B364" s="12"/>
      <c r="C364" s="13" t="str">
        <f>HYPERLINK("http://4sq.com/howrqq","Wat Tham Chiang Dao (วัดถ้ำเชียงดาว) ")</f>
        <v>Wat Tham Chiang Dao (วัดถ้ำเชียงดาว) </v>
      </c>
    </row>
    <row r="365">
      <c r="A365" s="12" t="s">
        <v>2807</v>
      </c>
      <c r="B365" s="12"/>
      <c r="C365" s="13" t="str">
        <f>HYPERLINK("http://4sq.com/i8oIhU","Chiang Dao Cave (ถ้ำเชียงดาว) ")</f>
        <v>Chiang Dao Cave (ถ้ำเชียงดาว) </v>
      </c>
    </row>
    <row r="366">
      <c r="A366" s="12" t="s">
        <v>2808</v>
      </c>
      <c r="B366" s="12"/>
      <c r="C366" s="13" t="str">
        <f>HYPERLINK("http://4sq.com/zjSUlB","Domestic Departures ")</f>
        <v>Domestic Departures </v>
      </c>
    </row>
    <row r="367">
      <c r="A367" s="12" t="s">
        <v>2809</v>
      </c>
      <c r="B367" s="12"/>
      <c r="C367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68">
      <c r="A368" s="12" t="s">
        <v>2810</v>
      </c>
      <c r="B368" s="12"/>
      <c r="C368" s="13" t="str">
        <f>HYPERLINK("http://4sq.com/15jihx3","Casa Lapin (คาซ่า ลาแปง) ")</f>
        <v>Casa Lapin (คาซ่า ลาแปง) </v>
      </c>
    </row>
    <row r="369">
      <c r="A369" s="12" t="s">
        <v>2811</v>
      </c>
      <c r="B369" s="12"/>
      <c r="C369" s="13" t="str">
        <f>HYPERLINK("http://4sq.com/9GnJDm","AIS Shop @Shinawatra Tower 1 ")</f>
        <v>AIS Shop @Shinawatra Tower 1 </v>
      </c>
    </row>
    <row r="370">
      <c r="A370" s="12" t="s">
        <v>2812</v>
      </c>
      <c r="B370" s="12"/>
      <c r="C370" s="13" t="str">
        <f>HYPERLINK("http://4sq.com/5UyTcV","Starbucks (สตาร์บัคส์) ")</f>
        <v>Starbucks (สตาร์บัคส์) </v>
      </c>
    </row>
    <row r="371">
      <c r="A371" s="12" t="s">
        <v>2813</v>
      </c>
      <c r="B371" s="12"/>
      <c r="C371" s="13" t="str">
        <f>HYPERLINK("http://4sq.com/2hofltd","Cast Iron Burgerhaus ")</f>
        <v>Cast Iron Burgerhaus </v>
      </c>
    </row>
    <row r="372">
      <c r="A372" s="12" t="s">
        <v>2814</v>
      </c>
      <c r="B372" s="12"/>
      <c r="C372" s="1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373">
      <c r="A373" s="12" t="s">
        <v>2815</v>
      </c>
      <c r="B373" s="12"/>
      <c r="C373" s="13" t="str">
        <f>HYPERLINK("http://4sq.com/2pNeIA4","Miracle Lounge ")</f>
        <v>Miracle Lounge </v>
      </c>
    </row>
    <row r="374">
      <c r="A374" s="12" t="s">
        <v>2816</v>
      </c>
      <c r="B374" s="12"/>
      <c r="C374" s="13" t="str">
        <f>HYPERLINK("http://4sq.com/zYP57p","Mama Mia ")</f>
        <v>Mama Mia </v>
      </c>
    </row>
    <row r="375">
      <c r="A375" s="12" t="s">
        <v>2817</v>
      </c>
      <c r="B375" s="12"/>
      <c r="C375" s="13" t="str">
        <f>HYPERLINK("http://4sq.com/1jUkasi","SUBWAY (ซับเวย์) ")</f>
        <v>SUBWAY (ซับเวย์) </v>
      </c>
    </row>
    <row r="376">
      <c r="A376" s="12" t="s">
        <v>2818</v>
      </c>
      <c r="B376" s="12"/>
      <c r="C376" s="13" t="str">
        <f>HYPERLINK("https://4sq.com/2MkRHQH","Grooveyard ")</f>
        <v>Grooveyard </v>
      </c>
    </row>
    <row r="377">
      <c r="A377" s="12" t="s">
        <v>2819</v>
      </c>
      <c r="B377" s="12"/>
      <c r="C377" s="13" t="str">
        <f>HYPERLINK("http://4sq.com/I28LVE","Café de Oasis (คาเฟ่ เดอ โอเอซิส) ")</f>
        <v>Café de Oasis (คาเฟ่ เดอ โอเอซิส) </v>
      </c>
    </row>
    <row r="378">
      <c r="A378" s="12" t="s">
        <v>2820</v>
      </c>
      <c r="B378" s="12"/>
      <c r="C378" s="13" t="str">
        <f>HYPERLINK("http://4sq.com/o3ZEdO","See Paak Restaurant ")</f>
        <v>See Paak Restaurant </v>
      </c>
    </row>
    <row r="379">
      <c r="A379" s="12" t="s">
        <v>2821</v>
      </c>
      <c r="B379" s="12"/>
      <c r="C379" s="13" t="str">
        <f>HYPERLINK("http://4sq.com/1LwwIEn","Let It Be ")</f>
        <v>Let It Be </v>
      </c>
    </row>
    <row r="380">
      <c r="A380" s="12" t="s">
        <v>2822</v>
      </c>
      <c r="B380" s="12"/>
      <c r="C380" s="13" t="str">
        <f>HYPERLINK("http://4sq.com/10QOCd0","The Mexican Grill ")</f>
        <v>The Mexican Grill </v>
      </c>
    </row>
    <row r="381">
      <c r="A381" s="12" t="s">
        <v>2823</v>
      </c>
      <c r="B381" s="12"/>
      <c r="C381" s="13" t="str">
        <f>HYPERLINK("http://4sq.com/J658Ij","Lobby ")</f>
        <v>Lobby </v>
      </c>
    </row>
    <row r="382">
      <c r="A382" s="12" t="s">
        <v>2824</v>
      </c>
      <c r="B382" s="12"/>
      <c r="C382" s="13" t="str">
        <f>HYPERLINK("https://4sq.com/2MkRHQH","Grooveyard ")</f>
        <v>Grooveyard </v>
      </c>
    </row>
    <row r="383">
      <c r="A383" s="12" t="s">
        <v>2825</v>
      </c>
      <c r="B383" s="12"/>
      <c r="C383" s="13" t="str">
        <f t="shared" ref="C383:C384" si="3">HYPERLINK("http://4sq.com/o20q60","Omelette Bakery Cafe ")</f>
        <v>Omelette Bakery Cafe </v>
      </c>
    </row>
    <row r="384">
      <c r="A384" s="12" t="s">
        <v>2825</v>
      </c>
      <c r="B384" s="12"/>
      <c r="C384" s="13" t="str">
        <f t="shared" si="3"/>
        <v>Omelette Bakery Cafe </v>
      </c>
    </row>
    <row r="385">
      <c r="A385" s="12" t="s">
        <v>2826</v>
      </c>
      <c r="B385" s="12"/>
      <c r="C385" s="13" t="str">
        <f>HYPERLINK("http://4sq.com/1LwwIEn","Let It Be ")</f>
        <v>Let It Be </v>
      </c>
    </row>
    <row r="386">
      <c r="A386" s="12" t="s">
        <v>2827</v>
      </c>
      <c r="B386" s="12"/>
      <c r="C386" s="13" t="str">
        <f>HYPERLINK("http://foursquare.com/v/4c73348313228cfaa1512d65","The Salad Concept ")</f>
        <v>The Salad Concept </v>
      </c>
    </row>
    <row r="387">
      <c r="A387" s="12" t="s">
        <v>2828</v>
      </c>
      <c r="B387" s="12"/>
      <c r="C387" s="13" t="str">
        <f>HYPERLINK("http://foursquare.com/v/591ec791b8fd9d18dbaa4730","MICU3 รพ.นครพิงค์ ")</f>
        <v>MICU3 รพ.นครพิงค์ </v>
      </c>
    </row>
    <row r="388">
      <c r="A388" s="12" t="s">
        <v>2829</v>
      </c>
      <c r="B388" s="12"/>
      <c r="C388" s="13" t="str">
        <f>HYPERLINK("http://foursquare.com/v/4c00b56834ccc928b412e2cd","Pankled Coffee (แป้นเกล็ด คอฟฟี่) ")</f>
        <v>Pankled Coffee (แป้นเกล็ด คอฟฟี่) </v>
      </c>
    </row>
    <row r="389">
      <c r="A389" s="12" t="s">
        <v>2830</v>
      </c>
      <c r="B389" s="12"/>
      <c r="C389" s="13" t="str">
        <f>HYPERLINK("http://foursquare.com/v/56947ba6498e01095bcde7b1","Om Garden Cafe ")</f>
        <v>Om Garden Cafe </v>
      </c>
    </row>
    <row r="390">
      <c r="A390" s="12" t="s">
        <v>2831</v>
      </c>
      <c r="B390" s="12"/>
      <c r="C390" s="13" t="str">
        <f>HYPERLINK("http://foursquare.com/v/548febcd498e488ccaf72935","Village Farm ")</f>
        <v>Village Farm </v>
      </c>
    </row>
    <row r="391">
      <c r="A391" s="12" t="s">
        <v>2832</v>
      </c>
      <c r="B391" s="12"/>
      <c r="C391" s="13" t="str">
        <f>HYPERLINK("http://foursquare.com/v/5e05a1cc482d2d0008a68248","Tubpi ")</f>
        <v>Tubpi </v>
      </c>
    </row>
    <row r="392">
      <c r="A392" s="12" t="s">
        <v>2833</v>
      </c>
      <c r="B392" s="12"/>
      <c r="C392" s="13" t="str">
        <f>HYPERLINK("http://foursquare.com/v/51b030ef498efa391334b8d5","Reverie Siam ")</f>
        <v>Reverie Siam </v>
      </c>
    </row>
    <row r="393">
      <c r="A393" s="12" t="s">
        <v>2834</v>
      </c>
      <c r="B393" s="12"/>
      <c r="C393" s="13" t="str">
        <f>HYPERLINK("http://foursquare.com/v/4d2b3c8177a2a1cd60687bb7","Café d'tist ")</f>
        <v>Café d'tist </v>
      </c>
    </row>
    <row r="394">
      <c r="A394" s="12" t="s">
        <v>2835</v>
      </c>
      <c r="B394" s="12"/>
      <c r="C394" s="13" t="str">
        <f>HYPERLINK("http://foursquare.com/v/53d46ffe498ece88aee94191","Lemon Thyme Cafe ")</f>
        <v>Lemon Thyme Cafe </v>
      </c>
    </row>
    <row r="395">
      <c r="A395" s="12" t="s">
        <v>2836</v>
      </c>
      <c r="B395" s="12"/>
      <c r="C395" s="13" t="str">
        <f>HYPERLINK("http://foursquare.com/v/59eb66c386f4cc18060e7889","Art Farm Studio ")</f>
        <v>Art Farm Studio </v>
      </c>
    </row>
    <row r="396">
      <c r="A396" s="12" t="s">
        <v>2837</v>
      </c>
      <c r="B396" s="12"/>
      <c r="C396" s="13" t="str">
        <f>HYPERLINK("http://foursquare.com/v/5684c8a3498eede815d3ea7e","ศูนย์วัฒนธรรมจีนยูนนาน ")</f>
        <v>ศูนย์วัฒนธรรมจีนยูนนาน </v>
      </c>
    </row>
    <row r="397">
      <c r="A397" s="12" t="s">
        <v>2838</v>
      </c>
      <c r="B397" s="12"/>
      <c r="C397" s="13" t="str">
        <f>HYPERLINK("http://foursquare.com/v/4baca383f964a52004003be3","Baan Suan Mae Rim Restaurant (บ้านสวนแม่ริม) ")</f>
        <v>Baan Suan Mae Rim Restaurant (บ้านสวนแม่ริม) </v>
      </c>
    </row>
    <row r="398">
      <c r="A398" s="12" t="s">
        <v>2839</v>
      </c>
      <c r="B398" s="12"/>
      <c r="C398" s="13" t="str">
        <f>HYPERLINK("http://foursquare.com/v/4d68de131a88b1f7eba4235d","Caltex (คาลเท็กซ์) ")</f>
        <v>Caltex (คาลเท็กซ์) </v>
      </c>
    </row>
    <row r="399">
      <c r="A399" s="12" t="s">
        <v>2840</v>
      </c>
      <c r="B399" s="12"/>
      <c r="C399" s="13" t="str">
        <f>HYPERLINK("http://foursquare.com/v/516548aee4b02da86110629f","Lumdee Te Khuadang (ลำดีตี้ขัวแดง) ")</f>
        <v>Lumdee Te Khuadang (ลำดีตี้ขัวแดง) </v>
      </c>
    </row>
    <row r="400">
      <c r="A400" s="12" t="s">
        <v>2841</v>
      </c>
      <c r="B400" s="12"/>
      <c r="C400" s="13" t="str">
        <f>HYPERLINK("http://foursquare.com/v/5cf11ccc1af852002c19d692","Grooveyard ")</f>
        <v>Grooveyard </v>
      </c>
    </row>
    <row r="401">
      <c r="A401" s="12" t="s">
        <v>2842</v>
      </c>
      <c r="B401" s="12"/>
      <c r="C401" s="13" t="str">
        <f>HYPERLINK("http://foursquare.com/v/4c0641e5d3842d7fff48bf41","Makro (แม็คโคร) ")</f>
        <v>Makro (แม็คโคร) 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2" t="s">
        <v>2843</v>
      </c>
      <c r="B1" s="12"/>
      <c r="C1" s="13" t="str">
        <f>HYPERLINK("http://foursquare.com/v/53437cef498e597e9d2a105b","and ann coffee ")</f>
        <v>and ann coffee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2" t="s">
        <v>2844</v>
      </c>
      <c r="B2" s="12"/>
      <c r="C2" s="13" t="str">
        <f>HYPERLINK("http://foursquare.com/v/5c4bf475ea1e44002c2c8583","Terra ")</f>
        <v>Terra </v>
      </c>
      <c r="F2" s="14" t="str">
        <f t="shared" ref="F2:H2" si="1">INDEX(A:C, RANDBETWEEN(1, ROWS(2:117)), RANDBETWEEN(1, COLUMNS(C:C)))</f>
        <v>May 03, 2020 at 05:33AM</v>
      </c>
      <c r="G2" s="8" t="str">
        <f t="shared" si="1"/>
        <v/>
      </c>
      <c r="H2" s="10" t="str">
        <f t="shared" si="1"/>
        <v>Phuket Checkpoint (ด่านตรวจภูเก็ต) </v>
      </c>
      <c r="I2" s="11" t="str">
        <f t="array" ref="I2">INDEX(C:C, RANDBETWEEN(1, ROWS(1:116)), RANDBETWEEN(1, COLUMNS(C:C)))</f>
        <v>Ohlanla Coffee </v>
      </c>
      <c r="J2" s="8" t="str">
        <f>CONCATENATE(F2," ",H2)</f>
        <v>May 03, 2020 at 05:33AM Phuket Checkpoint (ด่านตรวจภูเก็ต) </v>
      </c>
    </row>
    <row r="3">
      <c r="A3" s="12" t="s">
        <v>2845</v>
      </c>
      <c r="B3" s="12"/>
      <c r="C3" s="13" t="str">
        <f t="shared" ref="C3:C4" si="2">HYPERLINK("http://foursquare.com/v/4e812c63b6347681cf28da50","Omelette Bakery Cafe ")</f>
        <v>Omelette Bakery Cafe </v>
      </c>
    </row>
    <row r="4">
      <c r="A4" s="12" t="s">
        <v>2846</v>
      </c>
      <c r="B4" s="12"/>
      <c r="C4" s="13" t="str">
        <f t="shared" si="2"/>
        <v>Omelette Bakery Cafe </v>
      </c>
    </row>
    <row r="5">
      <c r="A5" s="12" t="s">
        <v>2847</v>
      </c>
      <c r="B5" s="12"/>
      <c r="C5" s="13" t="str">
        <f>HYPERLINK("http://foursquare.com/v/4c71d6bd4bc4236a08f7c97a","Siam Commercial Bank (ธนาคารไทยพาณิชย์) ")</f>
        <v>Siam Commercial Bank (ธนาคารไทยพาณิชย์) </v>
      </c>
    </row>
    <row r="6">
      <c r="A6" s="12" t="s">
        <v>2848</v>
      </c>
      <c r="B6" s="12"/>
      <c r="C6" s="13" t="str">
        <f>HYPERLINK("http://foursquare.com/v/52936b3711d236a1a41721ff","Manifreshto ")</f>
        <v>Manifreshto </v>
      </c>
    </row>
    <row r="7">
      <c r="A7" s="12" t="s">
        <v>2849</v>
      </c>
      <c r="B7" s="12"/>
      <c r="C7" s="13" t="str">
        <f>HYPERLINK("http://foursquare.com/v/4d035558c2e537044b04b167","Doi Pui ")</f>
        <v>Doi Pui </v>
      </c>
    </row>
    <row r="8">
      <c r="A8" s="12" t="s">
        <v>2850</v>
      </c>
      <c r="B8" s="12"/>
      <c r="C8" s="13" t="str">
        <f>HYPERLINK("http://foursquare.com/v/4b6a5a4ef964a5202cd32be3","The Garden Restaurant ")</f>
        <v>The Garden Restaurant </v>
      </c>
    </row>
    <row r="9">
      <c r="A9" s="12" t="s">
        <v>2851</v>
      </c>
      <c r="B9" s="12"/>
      <c r="C9" s="13" t="str">
        <f>HYPERLINK("http://foursquare.com/v/5cf11ccc1af852002c19d692","Grooveyard ")</f>
        <v>Grooveyard </v>
      </c>
    </row>
    <row r="10">
      <c r="A10" s="12" t="s">
        <v>2852</v>
      </c>
      <c r="B10" s="12"/>
      <c r="C10" s="13" t="str">
        <f>HYPERLINK("http://foursquare.com/v/53437cef498e597e9d2a105b","and ann coffee ")</f>
        <v>and ann coffee </v>
      </c>
    </row>
    <row r="11">
      <c r="A11" s="12" t="s">
        <v>2853</v>
      </c>
      <c r="B11" s="12"/>
      <c r="C11" s="13" t="str">
        <f>HYPERLINK("http://foursquare.com/v/4d9968d261a3a1cdbbfde342","ครัวดวงสมพงษ์ ")</f>
        <v>ครัวดวงสมพงษ์ </v>
      </c>
    </row>
    <row r="12">
      <c r="A12" s="12" t="s">
        <v>2854</v>
      </c>
      <c r="B12" s="12"/>
      <c r="C12" s="13" t="str">
        <f>HYPERLINK("http://foursquare.com/v/51a96312498e5a9d360d455c","Food4thought ")</f>
        <v>Food4thought </v>
      </c>
    </row>
    <row r="13">
      <c r="A13" s="12" t="s">
        <v>2855</v>
      </c>
      <c r="B13" s="12"/>
      <c r="C13" s="13" t="str">
        <f>HYPERLINK("http://foursquare.com/v/5af973fb67af3a002c4f8904","NM Dental Clinic ")</f>
        <v>NM Dental Clinic </v>
      </c>
    </row>
    <row r="14">
      <c r="A14" s="12" t="s">
        <v>2856</v>
      </c>
      <c r="B14" s="12"/>
      <c r="C14" s="13" t="str">
        <f>HYPERLINK("http://foursquare.com/v/54a76fc9498ee803e30b8e94","Jario Coffee (จาริโอ้ คอฟฟี่) ")</f>
        <v>Jario Coffee (จาริโอ้ คอฟฟี่) </v>
      </c>
    </row>
    <row r="15">
      <c r="A15" s="12" t="s">
        <v>2857</v>
      </c>
      <c r="B15" s="12"/>
      <c r="C15" s="13" t="str">
        <f>HYPERLINK("http://foursquare.com/v/57becb6d498e9235fffaaa02","Lamona View Swimming Pool ")</f>
        <v>Lamona View Swimming Pool </v>
      </c>
    </row>
    <row r="16">
      <c r="A16" s="12" t="s">
        <v>2858</v>
      </c>
      <c r="B16" s="12"/>
      <c r="C16" s="13" t="str">
        <f>HYPERLINK("http://foursquare.com/v/5cf11ccc1af852002c19d692","Grooveyard ")</f>
        <v>Grooveyard </v>
      </c>
    </row>
    <row r="17">
      <c r="A17" s="12" t="s">
        <v>2859</v>
      </c>
      <c r="B17" s="12"/>
      <c r="C17" s="13" t="str">
        <f>HYPERLINK("http://foursquare.com/v/5652fb0f498efc7329587118","salsa kitchen ")</f>
        <v>salsa kitchen </v>
      </c>
    </row>
    <row r="18">
      <c r="A18" s="12" t="s">
        <v>2860</v>
      </c>
      <c r="B18" s="12"/>
      <c r="C18" s="13" t="str">
        <f>HYPERLINK("http://foursquare.com/v/5a7ddd6f4b78c533d010e7a6","Ginger Farm Kitchen (จินเจอร์ ฟาร์ม คิทเช่น) ")</f>
        <v>Ginger Farm Kitchen (จินเจอร์ ฟาร์ม คิทเช่น) </v>
      </c>
    </row>
    <row r="19">
      <c r="A19" s="12" t="s">
        <v>2861</v>
      </c>
      <c r="B19" s="12"/>
      <c r="C19" s="13" t="str">
        <f>HYPERLINK("http://foursquare.com/v/53cf0964498e17abac63e3ea","SUBWAY (ซับเวย์) ")</f>
        <v>SUBWAY (ซับเวย์) </v>
      </c>
    </row>
    <row r="20">
      <c r="A20" s="12" t="s">
        <v>2862</v>
      </c>
      <c r="B20" s="12"/>
      <c r="C20" s="13" t="str">
        <f>HYPERLINK("http://foursquare.com/v/5c4bf475ea1e44002c2c8583","Terra ")</f>
        <v>Terra </v>
      </c>
    </row>
    <row r="21">
      <c r="A21" s="12" t="s">
        <v>2863</v>
      </c>
      <c r="B21" s="12"/>
      <c r="C21" s="13" t="str">
        <f>HYPERLINK("http://foursquare.com/v/4d0edc465c816ea826777f20","Wat Phrathat Chum Mueang (วัดพระธาตุชุ่มเมือง) ")</f>
        <v>Wat Phrathat Chum Mueang (วัดพระธาตุชุ่มเมือง) </v>
      </c>
    </row>
    <row r="22">
      <c r="A22" s="12" t="s">
        <v>2864</v>
      </c>
      <c r="B22" s="12"/>
      <c r="C22" s="13" t="str">
        <f>HYPERLINK("http://foursquare.com/v/5cf11ccc1af852002c19d692","Grooveyard ")</f>
        <v>Grooveyard </v>
      </c>
    </row>
    <row r="23">
      <c r="A23" s="12" t="s">
        <v>2865</v>
      </c>
      <c r="B23" s="12"/>
      <c r="C23" s="13" t="str">
        <f>HYPERLINK("http://foursquare.com/v/519aeea3498eb8db77a2e186","Oh Ka Ju Organic Salad &amp; Coffee (สวนผักโอ้กะจู๋) ")</f>
        <v>Oh Ka Ju Organic Salad &amp; Coffee (สวนผักโอ้กะจู๋) </v>
      </c>
    </row>
    <row r="24">
      <c r="A24" s="12" t="s">
        <v>2866</v>
      </c>
      <c r="B24" s="12"/>
      <c r="C24" s="13" t="str">
        <f>HYPERLINK("http://foursquare.com/v/56ecfcd2498ebcce49b381fc","Let It Be ")</f>
        <v>Let It Be </v>
      </c>
    </row>
    <row r="25">
      <c r="A25" s="12" t="s">
        <v>2867</v>
      </c>
      <c r="B25" s="12"/>
      <c r="C25" s="13" t="str">
        <f>HYPERLINK("http://foursquare.com/v/53cf0964498e17abac63e3ea","SUBWAY (ซับเวย์) ")</f>
        <v>SUBWAY (ซับเวย์) </v>
      </c>
    </row>
    <row r="26">
      <c r="A26" s="12" t="s">
        <v>2868</v>
      </c>
      <c r="B26" s="12"/>
      <c r="C26" s="13" t="str">
        <f>HYPERLINK("http://foursquare.com/v/525a507711d2688d8baf9da2","The Duke's (เดอะดุ๊กส์) ")</f>
        <v>The Duke's (เดอะดุ๊กส์) </v>
      </c>
    </row>
    <row r="27">
      <c r="A27" s="12" t="s">
        <v>2869</v>
      </c>
      <c r="B27" s="12"/>
      <c r="C27" s="13" t="str">
        <f>HYPERLINK("http://foursquare.com/v/56ecfcd2498ebcce49b381fc","Let It Be ")</f>
        <v>Let It Be </v>
      </c>
    </row>
    <row r="28">
      <c r="A28" s="12" t="s">
        <v>2870</v>
      </c>
      <c r="B28" s="12"/>
      <c r="C28" s="13" t="str">
        <f>HYPERLINK("http://foursquare.com/v/4d20278b16cfb60c4b035761","Caltex พรหมพิราม ")</f>
        <v>Caltex พรหมพิราม </v>
      </c>
    </row>
    <row r="29">
      <c r="A29" s="12" t="s">
        <v>2871</v>
      </c>
      <c r="B29" s="12"/>
      <c r="C29" s="13" t="str">
        <f>HYPERLINK("http://foursquare.com/v/55fd0a80498edff47e6a4508","โบราณนิยม @ เขาค้อ ")</f>
        <v>โบราณนิยม @ เขาค้อ </v>
      </c>
    </row>
    <row r="30">
      <c r="A30" s="12" t="s">
        <v>2872</v>
      </c>
      <c r="B30" s="12"/>
      <c r="C30" s="13" t="str">
        <f>HYPERLINK("http://foursquare.com/v/548980a1498eeb0698e6e75f","View Point Khao Kho Hotel (โรงแรมวิวพอยท์ เขาค้อ) ")</f>
        <v>View Point Khao Kho Hotel (โรงแรมวิวพอยท์ เขาค้อ) </v>
      </c>
    </row>
    <row r="31">
      <c r="A31" s="12" t="s">
        <v>2873</v>
      </c>
      <c r="B31" s="12"/>
      <c r="C31" s="13" t="str">
        <f>HYPERLINK("http://foursquare.com/v/58737716c5f8a7566a4b553f","180All Day All Season ")</f>
        <v>180All Day All Season </v>
      </c>
    </row>
    <row r="32">
      <c r="A32" s="12" t="s">
        <v>2874</v>
      </c>
      <c r="B32" s="12"/>
      <c r="C32" s="13" t="str">
        <f>HYPERLINK("http://foursquare.com/v/578dbb42498ee07e7a7772d4","PTT (ปตท.) ")</f>
        <v>PTT (ปตท.) </v>
      </c>
    </row>
    <row r="33">
      <c r="A33" s="12" t="s">
        <v>2875</v>
      </c>
      <c r="B33" s="12"/>
      <c r="C33" s="13" t="str">
        <f>HYPERLINK("http://foursquare.com/v/4f015f208231bcb7053f223a","Wat Khao Chong Pran (วัดเขาช่องพราน) ")</f>
        <v>Wat Khao Chong Pran (วัดเขาช่องพราน) </v>
      </c>
    </row>
    <row r="34">
      <c r="A34" s="12" t="s">
        <v>2876</v>
      </c>
      <c r="B34" s="12"/>
      <c r="C34" s="13" t="str">
        <f>HYPERLINK("http://foursquare.com/v/5e77fe977ebc8d00088abd7d","The Sun Resort ")</f>
        <v>The Sun Resort </v>
      </c>
    </row>
    <row r="35">
      <c r="A35" s="12" t="s">
        <v>2877</v>
      </c>
      <c r="B35" s="12"/>
      <c r="C35" s="13" t="str">
        <f>HYPERLINK("http://foursquare.com/v/4d6c910a129a6ea86eb5e655","PTT Park Station (ปตท. พาร์ค) ")</f>
        <v>PTT Park Station (ปตท. พาร์ค) </v>
      </c>
    </row>
    <row r="36">
      <c r="A36" s="12" t="s">
        <v>2878</v>
      </c>
      <c r="B36" s="12"/>
      <c r="C36" s="13" t="str">
        <f>HYPERLINK("http://foursquare.com/v/5ca70e423d4791002cbb66cb","Starbucks (สตาร์บัคส์) ")</f>
        <v>Starbucks (สตาร์บัคส์) </v>
      </c>
    </row>
    <row r="37">
      <c r="A37" s="12" t="s">
        <v>2879</v>
      </c>
      <c r="B37" s="12"/>
      <c r="C37" s="13" t="str">
        <f>HYPERLINK("http://foursquare.com/v/4c9c456d03133704950654d5","Ao Noi Beach ")</f>
        <v>Ao Noi Beach </v>
      </c>
    </row>
    <row r="38">
      <c r="A38" s="12" t="s">
        <v>2880</v>
      </c>
      <c r="B38" s="12"/>
      <c r="C38" s="13" t="str">
        <f>HYPERLINK("http://foursquare.com/v/4d1d6514f7a9a14358f70f9f","Ao Manao (อ่าวมะนาว) ")</f>
        <v>Ao Manao (อ่าวมะนาว) </v>
      </c>
    </row>
    <row r="39">
      <c r="A39" s="12" t="s">
        <v>2881</v>
      </c>
      <c r="B39" s="12"/>
      <c r="C39" s="13" t="str">
        <f>HYPERLINK("http://foursquare.com/v/4eb50415775b544c271a73c9","สะพานปลาทับสะแก ")</f>
        <v>สะพานปลาทับสะแก </v>
      </c>
    </row>
    <row r="40">
      <c r="A40" s="12" t="s">
        <v>2882</v>
      </c>
      <c r="B40" s="12"/>
      <c r="C40" s="13" t="str">
        <f>HYPERLINK("http://foursquare.com/v/4bdcdaf7afe8c9b60e585185","หาดสน รีสอร์ท ")</f>
        <v>หาดสน รีสอร์ท </v>
      </c>
    </row>
    <row r="41">
      <c r="A41" s="12" t="s">
        <v>2883</v>
      </c>
      <c r="B41" s="12"/>
      <c r="C41" s="13" t="str">
        <f t="shared" ref="C41:C42" si="3">HYPERLINK("http://foursquare.com/v/5b40975cb1ec13002c5b3ece","Café Fishery ")</f>
        <v>Café Fishery </v>
      </c>
    </row>
    <row r="42">
      <c r="A42" s="12" t="s">
        <v>2884</v>
      </c>
      <c r="B42" s="12"/>
      <c r="C42" s="13" t="str">
        <f t="shared" si="3"/>
        <v>Café Fishery </v>
      </c>
    </row>
    <row r="43">
      <c r="A43" s="12" t="s">
        <v>2885</v>
      </c>
      <c r="B43" s="12"/>
      <c r="C43" s="13" t="str">
        <f>HYPERLINK("http://foursquare.com/v/4bdd062ed33f2d7f90258a3c","Bang Boet Beach (หาดบางเบิด) ")</f>
        <v>Bang Boet Beach (หาดบางเบิด) </v>
      </c>
    </row>
    <row r="44">
      <c r="A44" s="12" t="s">
        <v>2886</v>
      </c>
      <c r="B44" s="12"/>
      <c r="C44" s="13" t="str">
        <f>HYPERLINK("http://foursquare.com/v/4d747877170ab1f79e15f594","โครงการพัฒนาส่วนพระองค์ บ้านบางเบิด ")</f>
        <v>โครงการพัฒนาส่วนพระองค์ บ้านบางเบิด </v>
      </c>
    </row>
    <row r="45">
      <c r="A45" s="12" t="s">
        <v>2887</v>
      </c>
      <c r="B45" s="12"/>
      <c r="C45" s="13" t="str">
        <f>HYPERLINK("http://foursquare.com/v/4ee83bc9d3e31fdba186cabb","Sand Dune in Chumphon (เนินทรายงามที่ชุมพร) ")</f>
        <v>Sand Dune in Chumphon (เนินทรายงามที่ชุมพร) </v>
      </c>
    </row>
    <row r="46">
      <c r="A46" s="12" t="s">
        <v>2888</v>
      </c>
      <c r="B46" s="12"/>
      <c r="C46" s="13" t="str">
        <f>HYPERLINK("http://foursquare.com/v/4f8ab443e4b0ab5c891134d7","Wat Kaew Prasert (วัดแก้วประเสริฐ) ")</f>
        <v>Wat Kaew Prasert (วัดแก้วประเสริฐ) </v>
      </c>
    </row>
    <row r="47">
      <c r="A47" s="12" t="s">
        <v>2889</v>
      </c>
      <c r="B47" s="12"/>
      <c r="C47" s="13" t="str">
        <f>HYPERLINK("http://foursquare.com/v/4d1c0701763fb1f7419d8766","PTT Kao Phang ")</f>
        <v>PTT Kao Phang </v>
      </c>
    </row>
    <row r="48">
      <c r="A48" s="12" t="s">
        <v>2890</v>
      </c>
      <c r="B48" s="12"/>
      <c r="C48" s="13" t="str">
        <f>HYPERLINK("http://foursquare.com/v/4c3c4c7fb36ac9284fd80386","Our Jungle House Resort ")</f>
        <v>Our Jungle House Resort </v>
      </c>
    </row>
    <row r="49">
      <c r="A49" s="12" t="s">
        <v>2891</v>
      </c>
      <c r="B49" s="12"/>
      <c r="C49" s="13" t="str">
        <f>HYPERLINK("http://foursquare.com/v/5e7aed100da524000775019e","Esso ")</f>
        <v>Esso </v>
      </c>
    </row>
    <row r="50">
      <c r="A50" s="12" t="s">
        <v>2892</v>
      </c>
      <c r="B50" s="12"/>
      <c r="C50" s="13" t="str">
        <f>HYPERLINK("http://foursquare.com/v/4d86dcdc5e70224b60023f09","Mai Khao Beach (หาดไม้ขาว) ")</f>
        <v>Mai Khao Beach (หาดไม้ขาว) </v>
      </c>
    </row>
    <row r="51">
      <c r="A51" s="12" t="s">
        <v>2893</v>
      </c>
      <c r="B51" s="12"/>
      <c r="C51" s="13" t="str">
        <f>HYPERLINK("http://foursquare.com/v/5779cb22498e605ee4019439","Maikhao Plaza ")</f>
        <v>Maikhao Plaza </v>
      </c>
    </row>
    <row r="52">
      <c r="A52" s="12" t="s">
        <v>2894</v>
      </c>
      <c r="B52" s="12"/>
      <c r="C52" s="13" t="str">
        <f>HYPERLINK("http://foursquare.com/v/583667b7f697e03e516eb502","Shell Gas Station ")</f>
        <v>Shell Gas Station </v>
      </c>
    </row>
    <row r="53">
      <c r="A53" s="12" t="s">
        <v>2895</v>
      </c>
      <c r="B53" s="12"/>
      <c r="C53" s="13" t="str">
        <f>HYPERLINK("http://foursquare.com/v/5779cb22498e605ee4019439","Maikhao Plaza ")</f>
        <v>Maikhao Plaza </v>
      </c>
    </row>
    <row r="54">
      <c r="A54" s="12" t="s">
        <v>2896</v>
      </c>
      <c r="B54" s="12"/>
      <c r="C54" s="13" t="str">
        <f>HYPERLINK("http://foursquare.com/v/4bce8f1eb6c49c742d709791","Laem Phrom Thep (แหลมพรหมเทพ) ")</f>
        <v>Laem Phrom Thep (แหลมพรหมเทพ) </v>
      </c>
    </row>
    <row r="55">
      <c r="A55" s="12" t="s">
        <v>2897</v>
      </c>
      <c r="B55" s="12"/>
      <c r="C55" s="13" t="str">
        <f>HYPERLINK("http://foursquare.com/v/4d60f847b6b9a1cd71fc8151","Yanui Beach (หาดยะนุ้ย) ")</f>
        <v>Yanui Beach (หาดยะนุ้ย) </v>
      </c>
    </row>
    <row r="56">
      <c r="A56" s="12" t="s">
        <v>2898</v>
      </c>
      <c r="B56" s="12"/>
      <c r="C56" s="13" t="str">
        <f>HYPERLINK("http://foursquare.com/v/4d5e181d338bb60ced990bbd","Karon View Point (จุดชมวิวกะรน) ")</f>
        <v>Karon View Point (จุดชมวิวกะรน) </v>
      </c>
    </row>
    <row r="57">
      <c r="A57" s="12" t="s">
        <v>2899</v>
      </c>
      <c r="B57" s="12"/>
      <c r="C57" s="13" t="str">
        <f>HYPERLINK("http://foursquare.com/v/547ea997498eab78dbb31d4e","Makro (แม็คโคร) ")</f>
        <v>Makro (แม็คโคร) </v>
      </c>
    </row>
    <row r="58">
      <c r="A58" s="12" t="s">
        <v>2900</v>
      </c>
      <c r="B58" s="12"/>
      <c r="C58" s="13" t="str">
        <f>HYPERLINK("http://foursquare.com/v/4d777e7fa32ca1cd519b1bdb","KASIKORNBANK (ธนาคารกสิกรไทย) ")</f>
        <v>KASIKORNBANK (ธนาคารกสิกรไทย) </v>
      </c>
    </row>
    <row r="59">
      <c r="A59" s="12" t="s">
        <v>2901</v>
      </c>
      <c r="B59" s="12"/>
      <c r="C59" s="13" t="str">
        <f>HYPERLINK("http://foursquare.com/v/4d148657cc216ea80c805cd3","A Spoonful of Sugar ")</f>
        <v>A Spoonful of Sugar </v>
      </c>
    </row>
    <row r="60">
      <c r="A60" s="12" t="s">
        <v>2902</v>
      </c>
      <c r="B60" s="12"/>
      <c r="C60" s="13" t="str">
        <f>HYPERLINK("http://foursquare.com/v/55704eda498e9ea7858e6dde","modena pizza ")</f>
        <v>modena pizza </v>
      </c>
    </row>
    <row r="61">
      <c r="A61" s="12" t="s">
        <v>2903</v>
      </c>
      <c r="B61" s="12"/>
      <c r="C61" s="13" t="str">
        <f>HYPERLINK("http://foursquare.com/v/4d93283662ad548112fe7a4b","Sala Mexicali ")</f>
        <v>Sala Mexicali </v>
      </c>
    </row>
    <row r="62">
      <c r="A62" s="12" t="s">
        <v>2904</v>
      </c>
      <c r="B62" s="12"/>
      <c r="C62" s="13" t="str">
        <f>HYPERLINK("http://foursquare.com/v/557cfa28498e2f0258a2f798","Baan Kanom ")</f>
        <v>Baan Kanom </v>
      </c>
    </row>
    <row r="63">
      <c r="A63" s="12" t="s">
        <v>2905</v>
      </c>
      <c r="B63" s="12"/>
      <c r="C63" s="13" t="str">
        <f>HYPERLINK("http://foursquare.com/v/5bb895559fca56002cbc0531","Bangchak Petrol Station ")</f>
        <v>Bangchak Petrol Station </v>
      </c>
    </row>
    <row r="64">
      <c r="A64" s="12" t="s">
        <v>2906</v>
      </c>
      <c r="B64" s="12"/>
      <c r="C64" s="13" t="str">
        <f>HYPERLINK("http://foursquare.com/v/4da8510f43a12d0c264de8b7","Phuket Checkpoint (ด่านตรวจภูเก็ต) ")</f>
        <v>Phuket Checkpoint (ด่านตรวจภูเก็ต) </v>
      </c>
    </row>
    <row r="65">
      <c r="A65" s="12" t="s">
        <v>2907</v>
      </c>
      <c r="B65" s="12"/>
      <c r="C65" s="13" t="str">
        <f>HYPERLINK("http://foursquare.com/v/4dc3ec04d164eb9c9fc75f41","ระเบียงเล ")</f>
        <v>ระเบียงเล </v>
      </c>
    </row>
    <row r="66">
      <c r="A66" s="12" t="s">
        <v>2908</v>
      </c>
      <c r="B66" s="12"/>
      <c r="C66" s="13" t="str">
        <f>HYPERLINK("http://foursquare.com/v/5870ac558ee5605eaf2fa631","7-11 Ptt ")</f>
        <v>7-11 Ptt </v>
      </c>
    </row>
    <row r="67">
      <c r="A67" s="12" t="s">
        <v>2909</v>
      </c>
      <c r="B67" s="12"/>
      <c r="C67" s="13" t="str">
        <f>HYPERLINK("http://foursquare.com/v/57a1f101498e5a76c845742a","X2 Khao Lak Anda Mani ")</f>
        <v>X2 Khao Lak Anda Mani </v>
      </c>
    </row>
    <row r="68">
      <c r="A68" s="12" t="s">
        <v>2910</v>
      </c>
      <c r="B68" s="12"/>
      <c r="C68" s="13" t="str">
        <f>HYPERLINK("http://foursquare.com/v/5623796f498ee2c4efe5e143","ปั้มบางจาก@หินลาด คุระบุรี พังงา ")</f>
        <v>ปั้มบางจาก@หินลาด คุระบุรี พังงา </v>
      </c>
    </row>
    <row r="69">
      <c r="A69" s="12" t="s">
        <v>2911</v>
      </c>
      <c r="B69" s="12"/>
      <c r="C69" s="13" t="str">
        <f>HYPERLINK("http://foursquare.com/v/4f486b25e4b072f5aa80501b","ครัวสุขสำราญ ")</f>
        <v>ครัวสุขสำราญ </v>
      </c>
    </row>
    <row r="70">
      <c r="A70" s="12" t="s">
        <v>2912</v>
      </c>
      <c r="B70" s="12"/>
      <c r="C70" s="13" t="str">
        <f>HYPERLINK("http://foursquare.com/v/4d39e2d26de7721ed210e949","ตู้ยามสันติ ระนอง ")</f>
        <v>ตู้ยามสันติ ระนอง </v>
      </c>
    </row>
    <row r="71">
      <c r="A71" s="12" t="s">
        <v>2913</v>
      </c>
      <c r="B71" s="12"/>
      <c r="C71" s="13" t="str">
        <f>HYPERLINK("http://foursquare.com/v/57121d1f498e5f7025caca37","ปตท. มาบอำมฤต ")</f>
        <v>ปตท. มาบอำมฤต </v>
      </c>
    </row>
    <row r="72">
      <c r="A72" s="12" t="s">
        <v>2914</v>
      </c>
      <c r="B72" s="12"/>
      <c r="C72" s="13" t="str">
        <f>HYPERLINK("http://foursquare.com/v/4c14e3c2a9c220a1082c589d","Shell (เชลล์) ")</f>
        <v>Shell (เชลล์) </v>
      </c>
    </row>
    <row r="73">
      <c r="A73" s="12" t="s">
        <v>2915</v>
      </c>
      <c r="B73" s="12"/>
      <c r="C73" s="13" t="str">
        <f>HYPERLINK("http://foursquare.com/v/5a26a393d0a14909febc8107","Starbucks (สตาร์บัคส์) ")</f>
        <v>Starbucks (สตาร์บัคส์) </v>
      </c>
    </row>
    <row r="74">
      <c r="A74" s="12" t="s">
        <v>2916</v>
      </c>
      <c r="B74" s="12"/>
      <c r="C74" s="13" t="str">
        <f>HYPERLINK("http://foursquare.com/v/4e33845b88772aabd8adfac2","PTT (ปตท.) ")</f>
        <v>PTT (ปตท.) </v>
      </c>
    </row>
    <row r="75">
      <c r="A75" s="12" t="s">
        <v>2917</v>
      </c>
      <c r="B75" s="12"/>
      <c r="C75" s="13" t="str">
        <f>HYPERLINK("http://foursquare.com/v/4ba062faf964a5207d6b37e3","Nakornping Hospital (โรงพยาบาลนครพิงค์) ")</f>
        <v>Nakornping Hospital (โรงพยาบาลนครพิงค์) </v>
      </c>
    </row>
    <row r="76">
      <c r="A76" s="12" t="s">
        <v>2918</v>
      </c>
      <c r="B76" s="12"/>
      <c r="C76" s="13" t="str">
        <f>HYPERLINK("http://foursquare.com/v/5cf11ccc1af852002c19d692","Grooveyard ")</f>
        <v>Grooveyard </v>
      </c>
    </row>
    <row r="77">
      <c r="A77" s="12" t="s">
        <v>2919</v>
      </c>
      <c r="B77" s="12"/>
      <c r="C77" s="13" t="str">
        <f>HYPERLINK("http://foursquare.com/v/55c5d9fe498e95c958736bdd","The Duke's ")</f>
        <v>The Duke's </v>
      </c>
    </row>
    <row r="78">
      <c r="A78" s="12" t="s">
        <v>2920</v>
      </c>
      <c r="B78" s="12"/>
      <c r="C78" s="13" t="str">
        <f>HYPERLINK("http://foursquare.com/v/5af973fb67af3a002c4f8904","NM Dental Clinic ")</f>
        <v>NM Dental Clinic </v>
      </c>
    </row>
    <row r="79">
      <c r="A79" s="12" t="s">
        <v>2921</v>
      </c>
      <c r="B79" s="12"/>
      <c r="C79" s="13" t="str">
        <f>HYPERLINK("http://foursquare.com/v/4baca383f964a52004003be3","Baan Suan Mae Rim Restaurant (บ้านสวนแม่ริม) ")</f>
        <v>Baan Suan Mae Rim Restaurant (บ้านสวนแม่ริม) </v>
      </c>
    </row>
    <row r="80">
      <c r="A80" s="12" t="s">
        <v>2922</v>
      </c>
      <c r="B80" s="12"/>
      <c r="C80" s="13" t="str">
        <f>HYPERLINK("http://foursquare.com/v/571a4fd9cd108e2fcd8a4b0d","Ohlanla Coffee ")</f>
        <v>Ohlanla Coffee </v>
      </c>
    </row>
    <row r="81">
      <c r="A81" s="12" t="s">
        <v>2923</v>
      </c>
      <c r="B81" s="12"/>
      <c r="C81" s="13" t="str">
        <f>HYPERLINK("http://foursquare.com/v/56ecfcd2498ebcce49b381fc","Let It Be ")</f>
        <v>Let It Be </v>
      </c>
    </row>
    <row r="82">
      <c r="A82" s="12" t="s">
        <v>2924</v>
      </c>
      <c r="B82" s="12"/>
      <c r="C82" s="13" t="str">
        <f>HYPERLINK("http://foursquare.com/v/52e12131498ef5f156977c16","Starbucks (สตาร์บัคส์) ")</f>
        <v>Starbucks (สตาร์บัคส์) </v>
      </c>
    </row>
    <row r="83">
      <c r="A83" s="12" t="s">
        <v>2925</v>
      </c>
      <c r="B83" s="12"/>
      <c r="C83" s="13" t="str">
        <f>HYPERLINK("http://foursquare.com/v/4e8f5867be7b7962e9183ac6","สถานีตำรวจภูธรช้างเผือก ")</f>
        <v>สถานีตำรวจภูธรช้างเผือก </v>
      </c>
    </row>
    <row r="84">
      <c r="A84" s="12" t="s">
        <v>2926</v>
      </c>
      <c r="B84" s="12"/>
      <c r="C84" s="13" t="str">
        <f>HYPERLINK("http://foursquare.com/v/4d6b9fa2a27f236aa25ca066","Esso (เอสโซ่) ")</f>
        <v>Esso (เอสโซ่) </v>
      </c>
    </row>
    <row r="85">
      <c r="A85" s="12" t="s">
        <v>2927</v>
      </c>
      <c r="B85" s="12"/>
      <c r="C85" s="13" t="str">
        <f>HYPERLINK("http://foursquare.com/v/4f462c49e4b081614e1bb018","คลินิก บ้านหมอเป้ ")</f>
        <v>คลินิก บ้านหมอเป้ </v>
      </c>
    </row>
    <row r="86">
      <c r="A86" s="12" t="s">
        <v>2928</v>
      </c>
      <c r="B86" s="12"/>
      <c r="C86" s="13" t="str">
        <f t="shared" ref="C86:C87" si="4">HYPERLINK("http://foursquare.com/v/5cf11ccc1af852002c19d692","Grooveyard ")</f>
        <v>Grooveyard </v>
      </c>
    </row>
    <row r="87">
      <c r="A87" s="12" t="s">
        <v>2929</v>
      </c>
      <c r="B87" s="12"/>
      <c r="C87" s="13" t="str">
        <f t="shared" si="4"/>
        <v>Grooveyard </v>
      </c>
    </row>
    <row r="88">
      <c r="A88" s="12" t="s">
        <v>2930</v>
      </c>
      <c r="B88" s="12"/>
      <c r="C88" s="13" t="str">
        <f>HYPERLINK("http://foursquare.com/v/5ef6eff45cb67a0008ec5d6a","Cafe De Saigon ")</f>
        <v>Cafe De Saigon </v>
      </c>
    </row>
    <row r="89">
      <c r="A89" s="12" t="s">
        <v>2931</v>
      </c>
      <c r="B89" s="12"/>
      <c r="C89" s="13" t="str">
        <f>HYPERLINK("http://foursquare.com/v/5584d557498e385926fb8c37","Teak Table (ทีค เทเบิล) ")</f>
        <v>Teak Table (ทีค เทเบิล) </v>
      </c>
    </row>
    <row r="90">
      <c r="A90" s="12" t="s">
        <v>2932</v>
      </c>
      <c r="B90" s="12"/>
      <c r="C90" s="13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</row>
    <row r="91">
      <c r="A91" s="12" t="s">
        <v>2933</v>
      </c>
      <c r="B91" s="12"/>
      <c r="C91" s="13" t="str">
        <f>HYPERLINK("http://foursquare.com/v/4e812c63b6347681cf28da50","Omelette Bakery Cafe ")</f>
        <v>Omelette Bakery Cafe </v>
      </c>
    </row>
    <row r="92">
      <c r="A92" s="12" t="s">
        <v>2934</v>
      </c>
      <c r="B92" s="12"/>
      <c r="C92" s="13" t="str">
        <f>HYPERLINK("http://foursquare.com/v/5d305e95211fba0008f03993","Nern Noom Cafe (เนินนุ่มคาเฟ่) ")</f>
        <v>Nern Noom Cafe (เนินนุ่มคาเฟ่) </v>
      </c>
    </row>
    <row r="93">
      <c r="A93" s="12" t="s">
        <v>2935</v>
      </c>
      <c r="B93" s="12"/>
      <c r="C93" s="13" t="str">
        <f>HYPERLINK("http://foursquare.com/v/4baeee6df964a5208ce23be3","Airport Business Park ")</f>
        <v>Airport Business Park </v>
      </c>
    </row>
    <row r="94">
      <c r="A94" s="12" t="s">
        <v>2936</v>
      </c>
      <c r="B94" s="12"/>
      <c r="C94" s="13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</row>
    <row r="95">
      <c r="A95" s="12" t="s">
        <v>2937</v>
      </c>
      <c r="B95" s="12"/>
      <c r="C95" s="13" t="str">
        <f>HYPERLINK("http://foursquare.com/v/4b2df07cf964a5201bdc24e3","Don Mueang International Airport (DMK) (ท่าอากาศยานดอนเมือง) ")</f>
        <v>Don Mueang International Airport (DMK) (ท่าอากาศยานดอนเมือง) </v>
      </c>
    </row>
    <row r="96">
      <c r="A96" s="12" t="s">
        <v>2938</v>
      </c>
      <c r="B96" s="12"/>
      <c r="C96" s="13" t="str">
        <f>HYPERLINK("http://foursquare.com/v/4c4d142a13d120a14f965501","Emporium Department Store (เอ็มโพเรียม ดีพาร์ทเม้นท์สโตร์) ")</f>
        <v>Emporium Department Store (เอ็มโพเรียม ดีพาร์ทเม้นท์สโตร์) </v>
      </c>
    </row>
    <row r="97">
      <c r="A97" s="12" t="s">
        <v>2939</v>
      </c>
      <c r="B97" s="12"/>
      <c r="C97" s="13" t="str">
        <f>HYPERLINK("http://foursquare.com/v/54ace09b498eef83f03117cc","Another Hound Café (อนาเธอร์ฮาวด์ คาเฟ่) ")</f>
        <v>Another Hound Café (อนาเธอร์ฮาวด์ คาเฟ่) </v>
      </c>
    </row>
    <row r="98">
      <c r="A98" s="12" t="s">
        <v>2940</v>
      </c>
      <c r="B98" s="12"/>
      <c r="C98" s="13" t="str">
        <f>HYPERLINK("http://foursquare.com/v/4b599441f964a5205b8d28e3","Wat That Tong (วัดธาตุทอง) ")</f>
        <v>Wat That Tong (วัดธาตุทอง) </v>
      </c>
    </row>
    <row r="99">
      <c r="A99" s="12" t="s">
        <v>2941</v>
      </c>
      <c r="B99" s="12"/>
      <c r="C99" s="13" t="str">
        <f>HYPERLINK("http://foursquare.com/v/5c7a548a5d891b002cb919a0","TOM N TOMS (ทัม แอนด์ ทัมส์) ")</f>
        <v>TOM N TOMS (ทัม แอนด์ ทัมส์) </v>
      </c>
    </row>
    <row r="100">
      <c r="A100" s="12" t="s">
        <v>2942</v>
      </c>
      <c r="B100" s="12"/>
      <c r="C100" s="13" t="str">
        <f>HYPERLINK("http://foursquare.com/v/4b2df07cf964a5201bdc24e3","Don Mueang International Airport (DMK) (ท่าอากาศยานดอนเมือง) ")</f>
        <v>Don Mueang International Airport (DMK) (ท่าอากาศยานดอนเมือง) </v>
      </c>
    </row>
    <row r="101">
      <c r="A101" s="12" t="s">
        <v>2943</v>
      </c>
      <c r="B101" s="12"/>
      <c r="C101" s="13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</row>
    <row r="102">
      <c r="A102" s="12" t="s">
        <v>2944</v>
      </c>
      <c r="B102" s="12"/>
      <c r="C102" s="13" t="str">
        <f>HYPERLINK("http://foursquare.com/v/4df192a122718759f817ddc2","Convention Hall 2 @ Le Meridien ")</f>
        <v>Convention Hall 2 @ Le Meridien </v>
      </c>
    </row>
    <row r="103">
      <c r="A103" s="12" t="s">
        <v>2945</v>
      </c>
      <c r="B103" s="12"/>
      <c r="C103" s="13" t="str">
        <f>HYPERLINK("http://foursquare.com/v/52f8413f498e18ee6d07815f","Bangkok Hospital Chiang Mai (โรงพยาบาลกรุงเทพเชียงใหม่) ")</f>
        <v>Bangkok Hospital Chiang Mai (โรงพยาบาลกรุงเทพเชียงใหม่) </v>
      </c>
    </row>
    <row r="104">
      <c r="A104" s="12" t="s">
        <v>2946</v>
      </c>
      <c r="B104" s="12"/>
      <c r="C104" s="13" t="str">
        <f>HYPERLINK("http://foursquare.com/v/4e812c63b6347681cf28da50","Omelette Bakery Cafe ")</f>
        <v>Omelette Bakery Cafe </v>
      </c>
    </row>
    <row r="105">
      <c r="A105" s="12" t="s">
        <v>2947</v>
      </c>
      <c r="B105" s="12"/>
      <c r="C105" s="13" t="str">
        <f>HYPERLINK("http://foursquare.com/v/571b5beb498e64cbcd9b4720","Honda Safety Riding Park Chiang Mai ")</f>
        <v>Honda Safety Riding Park Chiang Mai </v>
      </c>
    </row>
    <row r="106">
      <c r="A106" s="12" t="s">
        <v>2948</v>
      </c>
      <c r="B106" s="12"/>
      <c r="C106" s="13" t="str">
        <f>HYPERLINK("http://foursquare.com/v/4b5937f2f964a520be8128e3","สำนักงานขนส่งจังหวัดเชียงใหม่ ")</f>
        <v>สำนักงานขนส่งจังหวัดเชียงใหม่ </v>
      </c>
    </row>
    <row r="107">
      <c r="A107" s="12" t="s">
        <v>2949</v>
      </c>
      <c r="B107" s="12"/>
      <c r="C107" s="13" t="str">
        <f>HYPERLINK("http://foursquare.com/v/50ff87c2e4b09cb498012b5a","The Mexican Grill ")</f>
        <v>The Mexican Grill </v>
      </c>
    </row>
    <row r="108">
      <c r="A108" s="12" t="s">
        <v>2950</v>
      </c>
      <c r="B108" s="12"/>
      <c r="C108" s="13" t="str">
        <f>HYPERLINK("http://foursquare.com/v/531dad8f498eba29b3ddd52c","Pizzeria Giotto ")</f>
        <v>Pizzeria Giotto </v>
      </c>
    </row>
    <row r="109">
      <c r="A109" s="12" t="s">
        <v>2951</v>
      </c>
      <c r="B109" s="12"/>
      <c r="C109" s="13" t="str">
        <f>HYPERLINK("http://foursquare.com/v/571b5beb498e64cbcd9b4720","Honda Safety Riding Park Chiang Mai ")</f>
        <v>Honda Safety Riding Park Chiang Mai </v>
      </c>
    </row>
    <row r="110">
      <c r="A110" s="12" t="s">
        <v>2952</v>
      </c>
      <c r="B110" s="12"/>
      <c r="C110" s="13" t="str">
        <f>HYPERLINK("http://foursquare.com/v/58985cb40393cc2d0c948258","BUCOLIQ ")</f>
        <v>BUCOLIQ </v>
      </c>
    </row>
    <row r="111">
      <c r="A111" s="12" t="s">
        <v>2953</v>
      </c>
      <c r="B111" s="12"/>
      <c r="C111" s="13" t="str">
        <f>HYPERLINK("http://foursquare.com/v/4cfdf78a7f2db1f750bb3ad4","Abacus Coffee (อาบาคัส คอฟฟี่) ")</f>
        <v>Abacus Coffee (อาบาคัส คอฟฟี่) </v>
      </c>
    </row>
    <row r="112">
      <c r="A112" s="12" t="s">
        <v>2953</v>
      </c>
      <c r="B112" s="12"/>
      <c r="C112" s="13" t="str">
        <f>HYPERLINK("http://foursquare.com/v/4bc8e8fc762beee1a4ae3d38","Horizon Village And Resort Chiang Mai ")</f>
        <v>Horizon Village And Resort Chiang Mai </v>
      </c>
    </row>
    <row r="113">
      <c r="A113" s="12" t="s">
        <v>2954</v>
      </c>
      <c r="B113" s="12"/>
      <c r="C113" s="13" t="str">
        <f>HYPERLINK("http://foursquare.com/v/4e812c63b6347681cf28da50","Omelette Bakery Cafe ")</f>
        <v>Omelette Bakery Cafe </v>
      </c>
    </row>
    <row r="114">
      <c r="A114" s="12" t="s">
        <v>2955</v>
      </c>
      <c r="B114" s="12"/>
      <c r="C114" s="13" t="str">
        <f>HYPERLINK("http://foursquare.com/v/4cc8f141e7926dcbe2745977","ก๋วยเตี๋ยวรสเยี่ยม สูตรไต้หวัน ")</f>
        <v>ก๋วยเตี๋ยวรสเยี่ยม สูตรไต้หวัน </v>
      </c>
    </row>
    <row r="115">
      <c r="A115" s="12" t="s">
        <v>2956</v>
      </c>
      <c r="B115" s="12"/>
      <c r="C115" s="13" t="str">
        <f>HYPERLINK("http://foursquare.com/v/4c73348313228cfaa1512d65","The Salad Concept ")</f>
        <v>The Salad Concept </v>
      </c>
    </row>
    <row r="116">
      <c r="A116" s="12" t="s">
        <v>2957</v>
      </c>
      <c r="B116" s="12"/>
      <c r="C116" s="13" t="str">
        <f>HYPERLINK("http://foursquare.com/v/4f6330cee4b0ce431be58d6d","Natwat Home Café (ณัฐวัฒน์โฮมคาเฟ่) ")</f>
        <v>Natwat Home Café (ณัฐวัฒน์โฮมคาเฟ่) </v>
      </c>
    </row>
    <row r="117">
      <c r="A117" s="12" t="s">
        <v>2958</v>
      </c>
      <c r="B117" s="12"/>
      <c r="C117" s="13" t="str">
        <f>HYPERLINK("http://foursquare.com/v/4ef43f396da1a067a655e219","Health Care Medical Clinic ")</f>
        <v>Health Care Medical Clinic </v>
      </c>
    </row>
    <row r="118">
      <c r="A118" s="12" t="s">
        <v>2959</v>
      </c>
      <c r="B118" s="12"/>
      <c r="C118" s="13" t="str">
        <f>HYPERLINK("http://foursquare.com/v/4b5937f2f964a520be8128e3","สำนักงานขนส่งจังหวัดเชียงใหม่ ")</f>
        <v>สำนักงานขนส่งจังหวัดเชียงใหม่ </v>
      </c>
    </row>
    <row r="119">
      <c r="A119" s="12" t="s">
        <v>2960</v>
      </c>
      <c r="B119" s="12"/>
      <c r="C119" s="13" t="str">
        <f>HYPERLINK("http://foursquare.com/v/528c144f11d2c105b44abe8a","Café de Oasis (คาเฟ่ เดอ โอเอซิส) ")</f>
        <v>Café de Oasis (คาเฟ่ เดอ โอเอซิส) </v>
      </c>
    </row>
    <row r="120">
      <c r="A120" s="12" t="s">
        <v>2961</v>
      </c>
      <c r="B120" s="12"/>
      <c r="C120" s="13" t="str">
        <f>HYPERLINK("http://foursquare.com/v/4e812c63b6347681cf28da50","Omelette Bakery Cafe ")</f>
        <v>Omelette Bakery Cafe </v>
      </c>
    </row>
    <row r="121">
      <c r="A121" s="12" t="s">
        <v>2962</v>
      </c>
      <c r="B121" s="12"/>
      <c r="C121" s="13" t="str">
        <f>HYPERLINK("http://foursquare.com/v/5c52c50e75eee40039610c8a","Only Coffee ")</f>
        <v>Only Coffee </v>
      </c>
    </row>
    <row r="122">
      <c r="A122" s="12" t="s">
        <v>2963</v>
      </c>
      <c r="B122" s="12"/>
      <c r="C122" s="13" t="str">
        <f>HYPERLINK("http://foursquare.com/v/4b5937f2f964a520be8128e3","สำนักงานขนส่งจังหวัดเชียงใหม่ ")</f>
        <v>สำนักงานขนส่งจังหวัดเชียงใหม่ </v>
      </c>
    </row>
    <row r="123">
      <c r="A123" s="12" t="s">
        <v>2964</v>
      </c>
      <c r="B123" s="12"/>
      <c r="C123" s="13" t="str">
        <f>HYPERLINK("http://foursquare.com/v/56ecfcd2498ebcce49b381fc","Let It Be ")</f>
        <v>Let It Be </v>
      </c>
    </row>
    <row r="124">
      <c r="A124" s="12" t="s">
        <v>2965</v>
      </c>
      <c r="B124" s="12"/>
      <c r="C124" s="13" t="str">
        <f>HYPERLINK("http://foursquare.com/v/5c2c3598033693002c92dbc1","N THRÉE coffee &amp; eatery ")</f>
        <v>N THRÉE coffee &amp; eatery </v>
      </c>
    </row>
    <row r="125">
      <c r="A125" s="12" t="s">
        <v>2966</v>
      </c>
      <c r="B125" s="12"/>
      <c r="C125" s="13" t="str">
        <f>HYPERLINK("http://foursquare.com/v/4ccd102c2dc43704d41dcc08","Starbucks (สตาร์บัคส์) ")</f>
        <v>Starbucks (สตาร์บัคส์) </v>
      </c>
    </row>
    <row r="126">
      <c r="A126" s="12" t="s">
        <v>2967</v>
      </c>
      <c r="B126" s="12"/>
      <c r="C126" s="13" t="str">
        <f>HYPERLINK("http://foursquare.com/v/4bc2b8b24cdfc9b6db7f9621","Chiang Mai Immigration (ตรวจคนเข้าเมือง จ.เชียงใหม่) ")</f>
        <v>Chiang Mai Immigration (ตรวจคนเข้าเมือง จ.เชียงใหม่) </v>
      </c>
    </row>
    <row r="127">
      <c r="A127" s="12" t="s">
        <v>2968</v>
      </c>
      <c r="B127" s="12"/>
      <c r="C127" s="13" t="str">
        <f>HYPERLINK("http://foursquare.com/v/545f0548498ed0dddfd3b422","ก๋วยเตี๋ยวเรือ อองตอง ")</f>
        <v>ก๋วยเตี๋ยวเรือ อองตอง </v>
      </c>
    </row>
    <row r="128">
      <c r="A128" s="12" t="s">
        <v>2969</v>
      </c>
      <c r="B128" s="12"/>
      <c r="C128" s="13" t="str">
        <f>HYPERLINK("http://foursquare.com/v/5cf11ccc1af852002c19d692","Grooveyard ")</f>
        <v>Grooveyard </v>
      </c>
    </row>
    <row r="129">
      <c r="A129" s="12" t="s">
        <v>2970</v>
      </c>
      <c r="B129" s="12"/>
      <c r="C129" s="13" t="str">
        <f>HYPERLINK("http://foursquare.com/v/52e21304498ee77ecb808c26","Yayoi (ยาโยอิ) ")</f>
        <v>Yayoi (ยาโยอิ) </v>
      </c>
    </row>
    <row r="130">
      <c r="A130" s="12" t="s">
        <v>2971</v>
      </c>
      <c r="B130" s="12"/>
      <c r="C130" s="13" t="str">
        <f>HYPERLINK("http://foursquare.com/v/59fec2e99deb7d0ce9ff3022","Chez Nous -Artisan Baking Atelier ")</f>
        <v>Chez Nous -Artisan Baking Atelier </v>
      </c>
    </row>
    <row r="131">
      <c r="A131" s="12" t="s">
        <v>2972</v>
      </c>
      <c r="B131" s="12"/>
      <c r="C131" s="13" t="str">
        <f>HYPERLINK("http://foursquare.com/v/52df9421498e284e36f29263","Isuzu ")</f>
        <v>Isuzu </v>
      </c>
    </row>
    <row r="132">
      <c r="A132" s="12" t="s">
        <v>2973</v>
      </c>
      <c r="B132" s="12"/>
      <c r="C132" s="13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</row>
    <row r="133">
      <c r="A133" s="12" t="s">
        <v>2973</v>
      </c>
      <c r="B133" s="12"/>
      <c r="C133" s="13" t="str">
        <f>HYPERLINK("http://foursquare.com/v/4db12a338154905aadbad2f4","Gate 4 (ประตู 4) ")</f>
        <v>Gate 4 (ประตู 4) </v>
      </c>
    </row>
    <row r="134">
      <c r="A134" s="12" t="s">
        <v>2974</v>
      </c>
      <c r="B134" s="12"/>
      <c r="C134" s="1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135">
      <c r="A135" s="12" t="s">
        <v>2975</v>
      </c>
      <c r="B135" s="12"/>
      <c r="C135" s="13" t="str">
        <f>HYPERLINK("http://foursquare.com/v/4c74b5dd66be6dcbfc8ebe0f","ARL Makkasan (A6) (ARL มักกะสัน) ")</f>
        <v>ARL Makkasan (A6) (ARL มักกะสัน) </v>
      </c>
    </row>
    <row r="136">
      <c r="A136" s="12" t="s">
        <v>2976</v>
      </c>
      <c r="B136" s="12"/>
      <c r="C136" s="13" t="str">
        <f>HYPERLINK("http://foursquare.com/v/5be2a12eda7080002c52fe97","Café Amazon (คาเฟ่ อเมซอน) ")</f>
        <v>Café Amazon (คาเฟ่ อเมซอน) </v>
      </c>
    </row>
    <row r="137">
      <c r="A137" s="12" t="s">
        <v>2977</v>
      </c>
      <c r="B137" s="12"/>
      <c r="C137" s="13" t="str">
        <f>HYPERLINK("http://foursquare.com/v/5e639c4539f73e0008120f28","Getfresh ")</f>
        <v>Getfresh </v>
      </c>
    </row>
    <row r="138">
      <c r="A138" s="12" t="s">
        <v>2978</v>
      </c>
      <c r="B138" s="12"/>
      <c r="C138" s="13" t="str">
        <f>HYPERLINK("http://foursquare.com/v/4bdec8c96198c9b6dacc14ff","Esplanade Ratchadapisek (เอสพละนาด รัชดาภิเษก) ")</f>
        <v>Esplanade Ratchadapisek (เอสพละนาด รัชดาภิเษก) </v>
      </c>
    </row>
    <row r="139">
      <c r="A139" s="12" t="s">
        <v>2979</v>
      </c>
      <c r="B139" s="12"/>
      <c r="C139" s="13" t="str">
        <f>HYPERLINK("http://foursquare.com/v/4b55aaa3f964a52009eb27e3","MRT Phra Ram 9 (BL20) (MRT พระราม 9) ")</f>
        <v>MRT Phra Ram 9 (BL20) (MRT พระราม 9) </v>
      </c>
    </row>
    <row r="140">
      <c r="A140" s="12" t="s">
        <v>2979</v>
      </c>
      <c r="B140" s="12"/>
      <c r="C140" s="13" t="str">
        <f>HYPERLINK("http://foursquare.com/v/4ee7f10200397d4697a87834","CentralPlaza Grand Rama 9 (เซ็นทรัลพลาซา แกรนด์ พระราม 9) ")</f>
        <v>CentralPlaza Grand Rama 9 (เซ็นทรัลพลาซา แกรนด์ พระราม 9) </v>
      </c>
    </row>
    <row r="141">
      <c r="A141" s="12" t="s">
        <v>2980</v>
      </c>
      <c r="B141" s="12"/>
      <c r="C141" s="13" t="str">
        <f>HYPERLINK("http://foursquare.com/v/4b45b65bf964a5207b0f26e3","BTS Chong Nonsi (S3) (BTS ช่องนนทรี) ")</f>
        <v>BTS Chong Nonsi (S3) (BTS ช่องนนทรี) </v>
      </c>
    </row>
    <row r="142">
      <c r="A142" s="12" t="s">
        <v>2981</v>
      </c>
      <c r="B142" s="12"/>
      <c r="C142" s="13" t="str">
        <f>HYPERLINK("http://foursquare.com/v/4edf4a18f9f436d12695ce40","Dean &amp; DeLuca (ดีน แอนด์ เดลูก้า) ")</f>
        <v>Dean &amp; DeLuca (ดีน แอนด์ เดลูก้า) </v>
      </c>
    </row>
    <row r="143">
      <c r="A143" s="12" t="s">
        <v>2982</v>
      </c>
      <c r="B143" s="12"/>
      <c r="C143" s="13" t="str">
        <f>HYPERLINK("http://foursquare.com/v/5254dc77498ecd6b7a4b6fdc","The Shoppes Grand Rama 9 (เดอะ ช็อปปส์ แกรนด์ พระราม 9) ")</f>
        <v>The Shoppes Grand Rama 9 (เดอะ ช็อปปส์ แกรนด์ พระราม 9) </v>
      </c>
    </row>
    <row r="144">
      <c r="A144" s="12" t="s">
        <v>2983</v>
      </c>
      <c r="B144" s="12"/>
      <c r="C144" s="13" t="str">
        <f>HYPERLINK("http://foursquare.com/v/5d872f6570a68c00089f5268","The Melting Clock ")</f>
        <v>The Melting Clock </v>
      </c>
    </row>
    <row r="145">
      <c r="A145" s="12" t="s">
        <v>2984</v>
      </c>
      <c r="B145" s="12"/>
      <c r="C145" s="13" t="str">
        <f>HYPERLINK("http://foursquare.com/v/4b6e2853f964a52081ae2ce3","BITEC (ไบเทค) ")</f>
        <v>BITEC (ไบเทค) </v>
      </c>
    </row>
    <row r="146">
      <c r="A146" s="12" t="s">
        <v>2985</v>
      </c>
      <c r="B146" s="12"/>
      <c r="C146" s="13" t="str">
        <f>HYPERLINK("http://foursquare.com/v/4b584060f964a520a44f28e3","BTS National Stadium (W1) (BTS สนามกีฬาแห่งชาติ) ")</f>
        <v>BTS National Stadium (W1) (BTS สนามกีฬาแห่งชาติ) </v>
      </c>
    </row>
    <row r="147">
      <c r="A147" s="12" t="s">
        <v>2986</v>
      </c>
      <c r="B147" s="12"/>
      <c r="C147" s="13" t="str">
        <f>HYPERLINK("http://foursquare.com/v/4b506953f964a520832227e3","MBK Center (เอ็ม บี เค เซ็นเตอร์) ")</f>
        <v>MBK Center (เอ็ม บี เค เซ็นเตอร์) </v>
      </c>
    </row>
    <row r="148">
      <c r="A148" s="12" t="s">
        <v>2987</v>
      </c>
      <c r="B148" s="12"/>
      <c r="C148" s="13" t="str">
        <f>HYPERLINK("http://foursquare.com/v/4b99411cf964a520da6d35e3","ARL Phaya Thai (A8) (ARL พญาไท) ")</f>
        <v>ARL Phaya Thai (A8) (ARL พญาไท) </v>
      </c>
    </row>
    <row r="149">
      <c r="A149" s="12" t="s">
        <v>2988</v>
      </c>
      <c r="B149" s="12"/>
      <c r="C149" s="13" t="str">
        <f>HYPERLINK("http://foursquare.com/v/52df9421498e284e36f29263","Isuzu ")</f>
        <v>Isuzu </v>
      </c>
    </row>
    <row r="150">
      <c r="A150" s="12" t="s">
        <v>2989</v>
      </c>
      <c r="B150" s="12"/>
      <c r="C150" s="13" t="str">
        <f>HYPERLINK("http://foursquare.com/v/5f6eb8f18dabce608e3254f8","Phan Fa ")</f>
        <v>Phan Fa </v>
      </c>
    </row>
    <row r="151">
      <c r="A151" s="12" t="s">
        <v>2990</v>
      </c>
      <c r="B151" s="12"/>
      <c r="C151" s="13" t="str">
        <f>HYPERLINK("http://foursquare.com/v/5c9f2cd6f193c0002c7d8cb9","Warm Cup ")</f>
        <v>Warm Cup </v>
      </c>
    </row>
    <row r="152">
      <c r="A152" s="12" t="s">
        <v>2991</v>
      </c>
      <c r="B152" s="12"/>
      <c r="C152" s="13" t="str">
        <f>HYPERLINK("http://foursquare.com/v/5c2c3598033693002c92dbc1","N THRÉE coffee &amp; eatery ")</f>
        <v>N THRÉE coffee &amp; eatery </v>
      </c>
    </row>
    <row r="153">
      <c r="A153" s="12" t="s">
        <v>2992</v>
      </c>
      <c r="B153" s="12"/>
      <c r="C153" s="13" t="str">
        <f>HYPERLINK("http://foursquare.com/v/5add69946fd62622a54794df","ก๋วยเตี๋ยวคำหวาน@ptt แม่ริม ")</f>
        <v>ก๋วยเตี๋ยวคำหวาน@ptt แม่ริม </v>
      </c>
    </row>
    <row r="154">
      <c r="A154" s="12" t="s">
        <v>2993</v>
      </c>
      <c r="B154" s="12"/>
      <c r="C154" s="13" t="str">
        <f>HYPERLINK("http://foursquare.com/v/54a7e3b6498e87a65dcaa996","pansawan ")</f>
        <v>pansawan </v>
      </c>
    </row>
    <row r="155">
      <c r="A155" s="12" t="s">
        <v>2994</v>
      </c>
      <c r="B155" s="12"/>
      <c r="C155" s="13" t="str">
        <f>HYPERLINK("http://foursquare.com/v/531dad8f498eba29b3ddd52c","Pizzeria Giotto ")</f>
        <v>Pizzeria Giotto </v>
      </c>
    </row>
    <row r="156">
      <c r="A156" s="12" t="s">
        <v>2995</v>
      </c>
      <c r="B156" s="12"/>
      <c r="C156" s="13" t="str">
        <f>HYPERLINK("http://foursquare.com/v/51ea20f4498e817979f6c45a","A 2 C U T ")</f>
        <v>A 2 C U T </v>
      </c>
    </row>
    <row r="157">
      <c r="A157" s="12" t="s">
        <v>2996</v>
      </c>
      <c r="B157" s="12"/>
      <c r="C157" s="13" t="str">
        <f>HYPERLINK("http://foursquare.com/v/5e4782bdaae6a700081757ef","กำเบ้อ Gramber Cafe ")</f>
        <v>กำเบ้อ Gramber Cafe </v>
      </c>
    </row>
    <row r="158">
      <c r="A158" s="12" t="s">
        <v>2997</v>
      </c>
      <c r="B158" s="12"/>
      <c r="C158" s="13" t="str">
        <f>HYPERLINK("http://foursquare.com/v/4e812c63b6347681cf28da50","Omelette Bakery Cafe ")</f>
        <v>Omelette Bakery Cafe </v>
      </c>
    </row>
    <row r="159">
      <c r="A159" s="12" t="s">
        <v>2998</v>
      </c>
      <c r="B159" s="12"/>
      <c r="C159" s="13" t="str">
        <f>HYPERLINK("http://foursquare.com/v/5285715811d2a3e51493a025","Central Department Store (ห้างสรรพสินค้าเซ็นทรัล) ")</f>
        <v>Central Department Store (ห้างสรรพสินค้าเซ็นทรัล) </v>
      </c>
    </row>
    <row r="160">
      <c r="A160" s="12" t="s">
        <v>2999</v>
      </c>
      <c r="B160" s="12"/>
      <c r="C160" s="13" t="str">
        <f>HYPERLINK("http://foursquare.com/v/57becb6d498e9235fffaaa02","Lamona View Swimming Pool ")</f>
        <v>Lamona View Swimming Pool </v>
      </c>
    </row>
    <row r="161">
      <c r="A161" s="12" t="s">
        <v>3000</v>
      </c>
      <c r="B161" s="12"/>
      <c r="C161" s="13" t="str">
        <f>HYPERLINK("http://foursquare.com/v/4bc2b8b24cdfc9b6db7f9621","Chiang Mai Immigration (ตรวจคนเข้าเมือง จ.เชียงใหม่) ")</f>
        <v>Chiang Mai Immigration (ตรวจคนเข้าเมือง จ.เชียงใหม่) </v>
      </c>
    </row>
    <row r="162">
      <c r="A162" s="12" t="s">
        <v>3001</v>
      </c>
      <c r="B162" s="12"/>
      <c r="C162" s="13" t="str">
        <f>HYPERLINK("http://foursquare.com/v/5d1c328ffa68ea002af5dc63","Mom’s Kitchen ")</f>
        <v>Mom’s Kitchen </v>
      </c>
    </row>
    <row r="163">
      <c r="A163" s="12" t="s">
        <v>3002</v>
      </c>
      <c r="B163" s="12"/>
      <c r="C163" s="13" t="str">
        <f>HYPERLINK("http://foursquare.com/v/4d0f2639c3dc3704f5d93074","Bangkok Bank (ธนาคารกรุงเทพ) ")</f>
        <v>Bangkok Bank (ธนาคารกรุงเทพ) </v>
      </c>
    </row>
    <row r="164">
      <c r="A164" s="12" t="s">
        <v>3003</v>
      </c>
      <c r="B164" s="12"/>
      <c r="C164" s="13" t="str">
        <f>HYPERLINK("http://foursquare.com/v/56ecfcd2498ebcce49b381fc","Let It Be ")</f>
        <v>Let It Be </v>
      </c>
    </row>
    <row r="165">
      <c r="A165" s="12" t="s">
        <v>3004</v>
      </c>
      <c r="B165" s="12"/>
      <c r="C165" s="13" t="str">
        <f>HYPERLINK("http://foursquare.com/v/4c01da81f8492d7f3a965ffa","PTT (ปตท.) ")</f>
        <v>PTT (ปตท.) </v>
      </c>
    </row>
    <row r="166">
      <c r="A166" s="12" t="s">
        <v>3005</v>
      </c>
      <c r="B166" s="12"/>
      <c r="C166" s="13" t="str">
        <f>HYPERLINK("http://foursquare.com/v/4cb7e2e6c7228cfaa4c703ce","PTT (ปตท.) ")</f>
        <v>PTT (ปตท.) </v>
      </c>
    </row>
    <row r="167">
      <c r="A167" s="12" t="s">
        <v>3006</v>
      </c>
      <c r="B167" s="12"/>
      <c r="C167" s="13" t="str">
        <f>HYPERLINK("http://foursquare.com/v/5b7abb7bdb2aeb002c2a7d08","The Riverie By Kathani Collection Chiang Ria ")</f>
        <v>The Riverie By Kathani Collection Chiang Ria </v>
      </c>
    </row>
    <row r="168">
      <c r="A168" s="12" t="s">
        <v>3007</v>
      </c>
      <c r="B168" s="12"/>
      <c r="C168" s="13" t="str">
        <f>HYPERLINK("http://foursquare.com/v/4bc409804cdfc9b67a359821","Dusit Island Resort Chiang Rai (ดุสิตไอส์แลนด์รีสอร์ท) ")</f>
        <v>Dusit Island Resort Chiang Rai (ดุสิตไอส์แลนด์รีสอร์ท) </v>
      </c>
    </row>
    <row r="169">
      <c r="A169" s="12" t="s">
        <v>3008</v>
      </c>
      <c r="B169" s="12"/>
      <c r="C169" s="13" t="str">
        <f>HYPERLINK("http://foursquare.com/v/50dc0a5be4b02de158957d77","Choui Fong Tea Plantation (ไร่ชาฉุยฟง) ")</f>
        <v>Choui Fong Tea Plantation (ไร่ชาฉุยฟง) </v>
      </c>
    </row>
    <row r="170">
      <c r="A170" s="12" t="s">
        <v>3009</v>
      </c>
      <c r="B170" s="12"/>
      <c r="C170" s="13" t="str">
        <f>HYPERLINK("http://foursquare.com/v/5c1f3c83d41bb7003982d6ad","สระขุนน้ำมรกต ")</f>
        <v>สระขุนน้ำมรกต </v>
      </c>
    </row>
    <row r="171">
      <c r="A171" s="12" t="s">
        <v>3010</v>
      </c>
      <c r="B171" s="12"/>
      <c r="C171" s="13" t="str">
        <f>HYPERLINK("http://foursquare.com/v/4f5dc253e4b01219ad395b4f","Tham Luang (ถ้ำหลวง) ")</f>
        <v>Tham Luang (ถ้ำหลวง) </v>
      </c>
    </row>
    <row r="172">
      <c r="A172" s="12" t="s">
        <v>3011</v>
      </c>
      <c r="B172" s="12"/>
      <c r="C172" s="13" t="str">
        <f>HYPERLINK("http://foursquare.com/v/4d7b217e79c4b1f78effe2f2","Khun Nam Nang Non (ขุนน้ำนางนอน) ")</f>
        <v>Khun Nam Nang Non (ขุนน้ำนางนอน) </v>
      </c>
    </row>
    <row r="173">
      <c r="A173" s="12" t="s">
        <v>3012</v>
      </c>
      <c r="B173" s="12"/>
      <c r="C173" s="13" t="str">
        <f>HYPERLINK("http://foursquare.com/v/599ec0c3f96b2c3468c04b22","Hungry Wolfs ")</f>
        <v>Hungry Wolfs </v>
      </c>
    </row>
    <row r="174">
      <c r="A174" s="12" t="s">
        <v>3013</v>
      </c>
      <c r="B174" s="12"/>
      <c r="C174" s="13" t="str">
        <f>HYPERLINK("http://foursquare.com/v/4bc5370141cb76b0932b3e6f","Wat Phra Kaeo (วัดพระแก้ว) ")</f>
        <v>Wat Phra Kaeo (วัดพระแก้ว) </v>
      </c>
    </row>
    <row r="175">
      <c r="A175" s="12" t="s">
        <v>3014</v>
      </c>
      <c r="B175" s="12"/>
      <c r="C175" s="13" t="str">
        <f>HYPERLINK("http://foursquare.com/v/4cb7e2e6c7228cfaa4c703ce","PTT (ปตท.) ")</f>
        <v>PTT (ปตท.) </v>
      </c>
    </row>
    <row r="176">
      <c r="A176" s="12" t="s">
        <v>3015</v>
      </c>
      <c r="B176" s="12"/>
      <c r="C176" s="13" t="str">
        <f>HYPERLINK("http://foursquare.com/v/5a92951bfdb9a72665866e7f","NARIT AstroPark ")</f>
        <v>NARIT AstroPark </v>
      </c>
    </row>
    <row r="177">
      <c r="A177" s="12" t="s">
        <v>3016</v>
      </c>
      <c r="B177" s="12"/>
      <c r="C177" s="13" t="str">
        <f>HYPERLINK("http://foursquare.com/v/4d1c17f5c50e6ea81712d0b8","ก๋วยเตี๋ยวชิวหลี(ก๋วยเตี๋ยวหมูบะช่อ) ")</f>
        <v>ก๋วยเตี๋ยวชิวหลี(ก๋วยเตี๋ยวหมูบะช่อ) </v>
      </c>
    </row>
    <row r="178">
      <c r="A178" s="12" t="s">
        <v>3017</v>
      </c>
      <c r="B178" s="12"/>
      <c r="C178" s="13" t="str">
        <f>HYPERLINK("http://foursquare.com/v/5dbcec7a9a3f6800086f1623","Starbucks (สตาร์บัคส์) ")</f>
        <v>Starbucks (สตาร์บัคส์) </v>
      </c>
    </row>
    <row r="179">
      <c r="A179" s="12" t="s">
        <v>3018</v>
      </c>
      <c r="B179" s="12"/>
      <c r="C179" s="13" t="str">
        <f>HYPERLINK("http://foursquare.com/v/51e00ac4498e6480eb01580f","คาเฟ่ ดินดิน Cafe DinDin ")</f>
        <v>คาเฟ่ ดินดิน Cafe DinDin </v>
      </c>
    </row>
    <row r="180">
      <c r="A180" s="12" t="s">
        <v>3019</v>
      </c>
      <c r="B180" s="12"/>
      <c r="C180" s="13" t="str">
        <f>HYPERLINK("http://foursquare.com/v/4f819951e4b050ced6e6cebd","The River Market (ตลาดแม่น้ำ) ")</f>
        <v>The River Market (ตลาดแม่น้ำ) </v>
      </c>
    </row>
    <row r="181">
      <c r="A181" s="12" t="s">
        <v>3020</v>
      </c>
      <c r="B181" s="12"/>
      <c r="C181" s="13" t="str">
        <f>HYPERLINK("http://foursquare.com/v/52be6456498e6ccdabb84b30","Rimtharn Nanglen (ริมธาร นั่งเล่น) ")</f>
        <v>Rimtharn Nanglen (ริมธาร นั่งเล่น) </v>
      </c>
    </row>
    <row r="182">
      <c r="A182" s="12" t="s">
        <v>3021</v>
      </c>
      <c r="B182" s="12"/>
      <c r="C182" s="13" t="str">
        <f>HYPERLINK("http://foursquare.com/v/53437cef498e597e9d2a105b","and ann coffee ")</f>
        <v>and ann coffee </v>
      </c>
    </row>
    <row r="183">
      <c r="A183" s="12" t="s">
        <v>3022</v>
      </c>
      <c r="B183" s="12"/>
      <c r="C183" s="13" t="str">
        <f>HYPERLINK("http://foursquare.com/v/4bef8aa1f2712d7f3eecfbd8","Huay Tueng Tao (ห้วยตึงเฒ่า) ")</f>
        <v>Huay Tueng Tao (ห้วยตึงเฒ่า) </v>
      </c>
    </row>
    <row r="184">
      <c r="A184" s="12" t="s">
        <v>3023</v>
      </c>
      <c r="B184" s="12"/>
      <c r="C184" s="13" t="str">
        <f>HYPERLINK("http://foursquare.com/v/4d95725ec19fb60cfffe6665","รสหวาน กินง่าย ")</f>
        <v>รสหวาน กินง่าย </v>
      </c>
    </row>
    <row r="185">
      <c r="A185" s="12" t="s">
        <v>3024</v>
      </c>
      <c r="B185" s="12"/>
      <c r="C185" s="13" t="str">
        <f>HYPERLINK("http://foursquare.com/v/51a96312498e5a9d360d455c","Food4thought ")</f>
        <v>Food4thought </v>
      </c>
    </row>
    <row r="186">
      <c r="A186" s="12" t="s">
        <v>3025</v>
      </c>
      <c r="B186" s="12"/>
      <c r="C186" s="13" t="str">
        <f>HYPERLINK("http://foursquare.com/v/5c2c3598033693002c92dbc1","N THRÉE coffee &amp; eatery ")</f>
        <v>N THRÉE coffee &amp; eatery </v>
      </c>
    </row>
    <row r="187">
      <c r="A187" s="12" t="s">
        <v>3026</v>
      </c>
      <c r="B187" s="12"/>
      <c r="C187" s="13" t="str">
        <f>HYPERLINK("http://foursquare.com/v/4cba4a5ed78f4688b50dbc73","PTIS International School (Prem) ")</f>
        <v>PTIS International School (Prem) </v>
      </c>
    </row>
    <row r="188">
      <c r="A188" s="12" t="s">
        <v>3027</v>
      </c>
      <c r="B188" s="12"/>
      <c r="C188" s="13" t="str">
        <f>HYPERLINK("http://foursquare.com/v/5f2d47574a0dca2152466a3c","The Duke's Original ")</f>
        <v>The Duke's Original </v>
      </c>
    </row>
    <row r="189">
      <c r="A189" s="12" t="s">
        <v>3028</v>
      </c>
      <c r="B189" s="12"/>
      <c r="C189" s="13" t="str">
        <f>HYPERLINK("http://foursquare.com/v/56ecfcd2498ebcce49b381fc","Let It Be ")</f>
        <v>Let It Be </v>
      </c>
    </row>
    <row r="190">
      <c r="A190" s="12" t="s">
        <v>3029</v>
      </c>
      <c r="B190" s="12"/>
      <c r="C190" s="13" t="str">
        <f>HYPERLINK("http://foursquare.com/v/54387cde498e0061317c19ee","Nana Jungle Chiang Mai ")</f>
        <v>Nana Jungle Chiang Mai </v>
      </c>
    </row>
    <row r="191">
      <c r="A191" s="12" t="s">
        <v>3030</v>
      </c>
      <c r="B191" s="12"/>
      <c r="C191" s="13" t="str">
        <f>HYPERLINK("http://foursquare.com/v/5a3755871b0ea56e2dbbc279","Between Café ")</f>
        <v>Between Café </v>
      </c>
    </row>
    <row r="192">
      <c r="A192" s="12" t="s">
        <v>3031</v>
      </c>
      <c r="B192" s="12"/>
      <c r="C192" s="13" t="str">
        <f>HYPERLINK("http://foursquare.com/v/4bc2b8b24cdfc9b6db7f9621","Chiang Mai Immigration (ตรวจคนเข้าเมือง จ.เชียงใหม่) ")</f>
        <v>Chiang Mai Immigration (ตรวจคนเข้าเมือง จ.เชียงใหม่) </v>
      </c>
    </row>
    <row r="193">
      <c r="A193" s="12" t="s">
        <v>3032</v>
      </c>
      <c r="B193" s="12"/>
      <c r="C193" s="13" t="str">
        <f>HYPERLINK("http://foursquare.com/v/4e812c63b6347681cf28da50","Omelette Bakery Cafe ")</f>
        <v>Omelette Bakery Cafe </v>
      </c>
    </row>
    <row r="194">
      <c r="A194" s="12" t="s">
        <v>3033</v>
      </c>
      <c r="B194" s="12"/>
      <c r="C194" s="13" t="str">
        <f>HYPERLINK("http://foursquare.com/v/50dbcc8ce4b03fcf365c6963","ร้านป้าลอย ")</f>
        <v>ร้านป้าลอย </v>
      </c>
    </row>
    <row r="195">
      <c r="A195" s="12" t="s">
        <v>3034</v>
      </c>
      <c r="B195" s="12"/>
      <c r="C195" s="13" t="str">
        <f>HYPERLINK("http://foursquare.com/v/578b238e498e2cf4c207a84b","Flora Creek Chiangmai ")</f>
        <v>Flora Creek Chiangmai </v>
      </c>
    </row>
    <row r="196">
      <c r="A196" s="12" t="s">
        <v>3035</v>
      </c>
      <c r="B196" s="12"/>
      <c r="C196" s="13" t="str">
        <f>HYPERLINK("http://foursquare.com/v/57fcc731cd107aa00945c7be","DECATHLON ")</f>
        <v>DECATHLON </v>
      </c>
    </row>
    <row r="197">
      <c r="A197" s="12" t="s">
        <v>3036</v>
      </c>
      <c r="B197" s="12"/>
      <c r="C197" s="13" t="str">
        <f>HYPERLINK("http://foursquare.com/v/5439136e498e48b8d4040f54","Myst (มิสท์) ")</f>
        <v>Myst (มิสท์) </v>
      </c>
    </row>
    <row r="198">
      <c r="A198" s="12" t="s">
        <v>3037</v>
      </c>
      <c r="B198" s="12"/>
      <c r="C198" s="13" t="str">
        <f>HYPERLINK("http://foursquare.com/v/4bef8aa1f2712d7f3eecfbd8","Huay Tueng Tao (ห้วยตึงเฒ่า) ")</f>
        <v>Huay Tueng Tao (ห้วยตึงเฒ่า) </v>
      </c>
    </row>
    <row r="199">
      <c r="A199" s="12" t="s">
        <v>3038</v>
      </c>
      <c r="B199" s="12"/>
      <c r="C199" s="13" t="str">
        <f>HYPERLINK("http://foursquare.com/v/4f819951e4b050ced6e6cebd","The River Market (ตลาดแม่น้ำ) ")</f>
        <v>The River Market (ตลาดแม่น้ำ) </v>
      </c>
    </row>
    <row r="200">
      <c r="A200" s="12" t="s">
        <v>3039</v>
      </c>
      <c r="B200" s="12"/>
      <c r="C200" s="13" t="str">
        <f>HYPERLINK("http://foursquare.com/v/4d1d4f5bb69c6dcbb43c5295","โรงเรียนศรีเนรูห์ ")</f>
        <v>โรงเรียนศรีเนรูห์ </v>
      </c>
    </row>
    <row r="201">
      <c r="A201" s="12" t="s">
        <v>3040</v>
      </c>
      <c r="B201" s="12"/>
      <c r="C201" s="13" t="str">
        <f>HYPERLINK("http://foursquare.com/v/54387cde498e0061317c19ee","Nana Jungle Chiang Mai ")</f>
        <v>Nana Jungle Chiang Mai </v>
      </c>
    </row>
    <row r="202">
      <c r="A202" s="12" t="s">
        <v>3041</v>
      </c>
      <c r="B202" s="12"/>
      <c r="C202" s="13" t="str">
        <f>HYPERLINK("http://foursquare.com/v/5334d6e3498e05d9410c30cc","Exotissimo Travel ")</f>
        <v>Exotissimo Travel </v>
      </c>
    </row>
    <row r="203">
      <c r="A203" s="12" t="s">
        <v>3042</v>
      </c>
      <c r="B203" s="12"/>
      <c r="C203" s="13" t="str">
        <f>HYPERLINK("http://foursquare.com/v/4e0458f0fa7643f3a026fc83","Makro (แม็คโคร) ")</f>
        <v>Makro (แม็คโคร) </v>
      </c>
    </row>
    <row r="204">
      <c r="A204" s="12" t="s">
        <v>3043</v>
      </c>
      <c r="B204" s="12"/>
      <c r="C204" s="13" t="str">
        <f>HYPERLINK("http://foursquare.com/v/5cf11ccc1af852002c19d692","Grooveyard ")</f>
        <v>Grooveyard </v>
      </c>
    </row>
    <row r="205">
      <c r="A205" s="12" t="s">
        <v>3044</v>
      </c>
      <c r="B205" s="12"/>
      <c r="C205" s="13" t="str">
        <f>HYPERLINK("http://foursquare.com/v/51e00ac4498e6480eb01580f","คาเฟ่ ดินดิน Cafe DinDin ")</f>
        <v>คาเฟ่ ดินดิน Cafe DinDin </v>
      </c>
    </row>
    <row r="206">
      <c r="A206" s="12" t="s">
        <v>3045</v>
      </c>
      <c r="B206" s="12"/>
      <c r="C206" s="13" t="str">
        <f>HYPERLINK("http://foursquare.com/v/50a216d2e4b0033f82cdeb80","7-Eleven (เซเว่น อีเลฟเว่น) ")</f>
        <v>7-Eleven (เซเว่น อีเลฟเว่น) </v>
      </c>
    </row>
    <row r="207">
      <c r="A207" s="12" t="s">
        <v>3046</v>
      </c>
      <c r="B207" s="12"/>
      <c r="C207" s="13" t="str">
        <f t="shared" ref="C207:C208" si="5">HYPERLINK("http://foursquare.com/v/5e05a1cc482d2d0008a68248","Tubpi ")</f>
        <v>Tubpi </v>
      </c>
    </row>
    <row r="208">
      <c r="A208" s="12" t="s">
        <v>3047</v>
      </c>
      <c r="B208" s="12"/>
      <c r="C208" s="13" t="str">
        <f t="shared" si="5"/>
        <v>Tubpi </v>
      </c>
    </row>
    <row r="209">
      <c r="A209" s="12" t="s">
        <v>3048</v>
      </c>
      <c r="B209" s="12"/>
      <c r="C209" s="13" t="str">
        <f>HYPERLINK("http://foursquare.com/v/4eeae9cdb634b469c304e0de","Coffee We 2 ")</f>
        <v>Coffee We 2 </v>
      </c>
    </row>
    <row r="210">
      <c r="A210" s="12" t="s">
        <v>3049</v>
      </c>
      <c r="B210" s="12"/>
      <c r="C210" s="13" t="str">
        <f>HYPERLINK("http://foursquare.com/v/5c2c3598033693002c92dbc1","N THRÉE coffee &amp; eatery ")</f>
        <v>N THRÉE coffee &amp; eatery </v>
      </c>
    </row>
    <row r="211">
      <c r="A211" s="12" t="s">
        <v>3050</v>
      </c>
      <c r="B211" s="12"/>
      <c r="C211" s="13" t="str">
        <f>HYPERLINK("http://foursquare.com/v/4e812c63b6347681cf28da50","Omelette Bakery Cafe ")</f>
        <v>Omelette Bakery Cafe </v>
      </c>
    </row>
    <row r="212">
      <c r="A212" s="12" t="s">
        <v>3051</v>
      </c>
      <c r="B212" s="12"/>
      <c r="C212" s="13" t="str">
        <f>HYPERLINK("http://foursquare.com/v/53437cef498e597e9d2a105b","and ann coffee ")</f>
        <v>and ann coffee </v>
      </c>
    </row>
    <row r="213">
      <c r="A213" s="12" t="s">
        <v>3052</v>
      </c>
      <c r="B213" s="12"/>
      <c r="C213" s="13" t="str">
        <f>HYPERLINK("http://foursquare.com/v/5584d557498e385926fb8c37","Teak Table (ทีค เทเบิล) ")</f>
        <v>Teak Table (ทีค เทเบิล) </v>
      </c>
    </row>
    <row r="214">
      <c r="A214" s="12" t="s">
        <v>3053</v>
      </c>
      <c r="B214" s="12"/>
      <c r="C214" s="13" t="str">
        <f>HYPERLINK("http://foursquare.com/v/4ea7d5b2e3003a42bcb85bf9","ลานกางเต็นท์ดอยปุย ")</f>
        <v>ลานกางเต็นท์ดอยปุย </v>
      </c>
    </row>
    <row r="215">
      <c r="A215" s="12" t="s">
        <v>3054</v>
      </c>
      <c r="B215" s="12"/>
      <c r="C215" s="13" t="str">
        <f>HYPERLINK("http://foursquare.com/v/4d1d39b5d7b0b1f752bdf89e","Yod Doi Pui Visitor Center ")</f>
        <v>Yod Doi Pui Visitor Center </v>
      </c>
    </row>
    <row r="216">
      <c r="A216" s="12" t="s">
        <v>3055</v>
      </c>
      <c r="B216" s="12"/>
      <c r="C216" s="13" t="str">
        <f>HYPERLINK("http://foursquare.com/v/4cde6df4ffcf37042d7d1282","Doi Pui Scenic Point (จุดชมวิวดอยปุย) ")</f>
        <v>Doi Pui Scenic Point (จุดชมวิวดอยปุย) </v>
      </c>
    </row>
    <row r="217">
      <c r="A217" s="12" t="s">
        <v>3056</v>
      </c>
      <c r="B217" s="12"/>
      <c r="C217" s="13" t="str">
        <f>HYPERLINK("http://foursquare.com/v/5591322f498e4c955e6b3abb","Daily One ")</f>
        <v>Daily One 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2" t="s">
        <v>3057</v>
      </c>
      <c r="B1" s="12"/>
      <c r="C1" s="13" t="str">
        <f>HYPERLINK("http://foursquare.com/v/4baca383f964a52004003be3","Baan Suan Mae Rim Restaurant (บ้านสวนแม่ริม) ")</f>
        <v>Baan Suan Mae Rim Restaurant (บ้านสวนแม่ริม) </v>
      </c>
      <c r="F1" s="8" t="s">
        <v>2006</v>
      </c>
      <c r="G1" s="8" t="s">
        <v>2007</v>
      </c>
      <c r="H1" s="9" t="s">
        <v>2008</v>
      </c>
      <c r="I1" s="8" t="s">
        <v>2009</v>
      </c>
      <c r="J1" s="8" t="s">
        <v>2010</v>
      </c>
    </row>
    <row r="2">
      <c r="A2" s="12" t="s">
        <v>3058</v>
      </c>
      <c r="B2" s="12"/>
      <c r="C2" s="13" t="str">
        <f>HYPERLINK("http://foursquare.com/v/5a4f5ab9cf72a05abb97ceec","Triplets Eat &amp; Plays ")</f>
        <v>Triplets Eat &amp; Plays </v>
      </c>
      <c r="F2" s="14" t="str">
        <f t="shared" ref="F2:H2" si="1">INDEX(A:C, RANDBETWEEN(1, ROWS(2:117)), RANDBETWEEN(1, COLUMNS(C:C)))</f>
        <v>June 06, 2021 at 05:30PM</v>
      </c>
      <c r="G2" s="8" t="str">
        <f t="shared" si="1"/>
        <v/>
      </c>
      <c r="H2" s="10" t="str">
        <f t="shared" si="1"/>
        <v>The Salad Concept </v>
      </c>
      <c r="I2" s="11" t="str">
        <f t="array" ref="I2">INDEX(C:C, RANDBETWEEN(1, ROWS(1:116)), RANDBETWEEN(1, COLUMNS(C:C)))</f>
        <v>Rim Nara Cafe &amp; Bistro </v>
      </c>
      <c r="J2" s="8" t="str">
        <f>CONCATENATE(F2," ",H2)</f>
        <v>June 06, 2021 at 05:30PM The Salad Concept </v>
      </c>
    </row>
    <row r="3">
      <c r="A3" s="12" t="s">
        <v>3059</v>
      </c>
      <c r="B3" s="12"/>
      <c r="C3" s="13" t="str">
        <f>HYPERLINK("http://foursquare.com/v/5b25ea56c4df1d002cd991bf","Keep in touch ")</f>
        <v>Keep in touch </v>
      </c>
    </row>
    <row r="4">
      <c r="A4" s="12" t="s">
        <v>3060</v>
      </c>
      <c r="B4" s="12"/>
      <c r="C4" s="13" t="str">
        <f t="shared" ref="C4:C5" si="2">HYPERLINK("http://foursquare.com/v/5c2c3598033693002c92dbc1","N THRÉE coffee &amp; eatery ")</f>
        <v>N THRÉE coffee &amp; eatery </v>
      </c>
    </row>
    <row r="5">
      <c r="A5" s="12" t="s">
        <v>3061</v>
      </c>
      <c r="B5" s="12"/>
      <c r="C5" s="13" t="str">
        <f t="shared" si="2"/>
        <v>N THRÉE coffee &amp; eatery </v>
      </c>
    </row>
    <row r="6">
      <c r="A6" s="12" t="s">
        <v>3062</v>
      </c>
      <c r="B6" s="12"/>
      <c r="C6" s="13" t="str">
        <f>HYPERLINK("http://foursquare.com/v/531dad8f498eba29b3ddd52c","Pizzeria Giotto ")</f>
        <v>Pizzeria Giotto </v>
      </c>
    </row>
    <row r="7">
      <c r="A7" s="12" t="s">
        <v>3063</v>
      </c>
      <c r="B7" s="12"/>
      <c r="C7" s="13" t="str">
        <f>HYPERLINK("http://foursquare.com/v/51ea20f4498e817979f6c45a","A 2 C U T ")</f>
        <v>A 2 C U T </v>
      </c>
    </row>
    <row r="8">
      <c r="A8" s="12" t="s">
        <v>3064</v>
      </c>
      <c r="B8" s="12"/>
      <c r="C8" s="13" t="str">
        <f>HYPERLINK("http://foursquare.com/v/52936b3711d236a1a41721ff","Manifreshto ")</f>
        <v>Manifreshto </v>
      </c>
    </row>
    <row r="9">
      <c r="A9" s="12" t="s">
        <v>3064</v>
      </c>
      <c r="B9" s="12"/>
      <c r="C9" s="13" t="str">
        <f t="shared" ref="C9:C10" si="3">HYPERLINK("http://foursquare.com/v/55bc5fab498eae66e63533e5","Ristr8to Lab (รีสเตรสโต้ แลป) ")</f>
        <v>Ristr8to Lab (รีสเตรสโต้ แลป) </v>
      </c>
    </row>
    <row r="10">
      <c r="A10" s="12" t="s">
        <v>3065</v>
      </c>
      <c r="B10" s="12"/>
      <c r="C10" s="13" t="str">
        <f t="shared" si="3"/>
        <v>Ristr8to Lab (รีสเตรสโต้ แลป) </v>
      </c>
    </row>
    <row r="11">
      <c r="A11" s="12" t="s">
        <v>3066</v>
      </c>
      <c r="B11" s="12"/>
      <c r="C11" s="13" t="str">
        <f>HYPERLINK("http://foursquare.com/v/52936b3711d236a1a41721ff","Manifreshto ")</f>
        <v>Manifreshto </v>
      </c>
    </row>
    <row r="12">
      <c r="A12" s="12" t="s">
        <v>3067</v>
      </c>
      <c r="B12" s="12"/>
      <c r="C12" s="13" t="str">
        <f>HYPERLINK("http://foursquare.com/v/5916be19e1f0aa603a97b557","Cervidae Café ")</f>
        <v>Cervidae Café </v>
      </c>
    </row>
    <row r="13">
      <c r="A13" s="12" t="s">
        <v>3068</v>
      </c>
      <c r="B13" s="12"/>
      <c r="C13" s="13" t="str">
        <f>HYPERLINK("http://foursquare.com/v/58d656b213af1c20e26df07a","VT Namnueng (วีทีแหนมเนือง) ")</f>
        <v>VT Namnueng (วีทีแหนมเนือง) </v>
      </c>
    </row>
    <row r="14">
      <c r="A14" s="12" t="s">
        <v>3069</v>
      </c>
      <c r="B14" s="12"/>
      <c r="C14" s="13" t="str">
        <f>HYPERLINK("http://foursquare.com/v/4c73348313228cfaa1512d65","The Salad Concept ")</f>
        <v>The Salad Concept </v>
      </c>
    </row>
    <row r="15">
      <c r="A15" s="12" t="s">
        <v>3070</v>
      </c>
      <c r="B15" s="12"/>
      <c r="C15" s="13" t="str">
        <f>HYPERLINK("http://foursquare.com/v/50e140d4e4b0a94f63e0852e","Wawee Coffee (กาแฟวาวี) ")</f>
        <v>Wawee Coffee (กาแฟวาวี) </v>
      </c>
    </row>
    <row r="16">
      <c r="A16" s="12" t="s">
        <v>3071</v>
      </c>
      <c r="B16" s="12"/>
      <c r="C16" s="13" t="str">
        <f>HYPERLINK("http://foursquare.com/v/56ecfcd2498ebcce49b381fc","Let It Be ")</f>
        <v>Let It Be </v>
      </c>
    </row>
    <row r="17">
      <c r="A17" s="12" t="s">
        <v>3072</v>
      </c>
      <c r="B17" s="12"/>
      <c r="C17" s="13" t="str">
        <f>HYPERLINK("http://foursquare.com/v/5fdcb97eaea7827112b5fa69","The Sax Music House ")</f>
        <v>The Sax Music House </v>
      </c>
    </row>
    <row r="18">
      <c r="A18" s="12" t="s">
        <v>3073</v>
      </c>
      <c r="B18" s="12"/>
      <c r="C18" s="13" t="str">
        <f>HYPERLINK("http://foursquare.com/v/58438278d25ded6f325301b6","Hanawa ")</f>
        <v>Hanawa </v>
      </c>
    </row>
    <row r="19">
      <c r="A19" s="12" t="s">
        <v>3074</v>
      </c>
      <c r="B19" s="12"/>
      <c r="C19" s="13" t="str">
        <f>HYPERLINK("http://foursquare.com/v/5e32b2848ea9c10008f67f90","Playground 6 ")</f>
        <v>Playground 6 </v>
      </c>
    </row>
    <row r="20">
      <c r="A20" s="12" t="s">
        <v>3075</v>
      </c>
      <c r="B20" s="12"/>
      <c r="C20" s="13" t="str">
        <f>HYPERLINK("http://foursquare.com/v/4bc50fc122c676b0b78e96d3","Smoothie Blues ")</f>
        <v>Smoothie Blues </v>
      </c>
    </row>
    <row r="21">
      <c r="A21" s="12" t="s">
        <v>3076</v>
      </c>
      <c r="B21" s="12"/>
      <c r="C21" s="13" t="str">
        <f>HYPERLINK("http://foursquare.com/v/5e32b2848ea9c10008f67f90","Playground 6 ")</f>
        <v>Playground 6 </v>
      </c>
    </row>
    <row r="22">
      <c r="A22" s="12" t="s">
        <v>3077</v>
      </c>
      <c r="B22" s="12"/>
      <c r="C22" s="13" t="str">
        <f>HYPERLINK("http://foursquare.com/v/4b63df19f964a52026952ae3","MIX (มิกซ์) ")</f>
        <v>MIX (มิกซ์) </v>
      </c>
    </row>
    <row r="23">
      <c r="A23" s="12" t="s">
        <v>3078</v>
      </c>
      <c r="B23" s="12"/>
      <c r="C23" s="13" t="str">
        <f>HYPERLINK("http://foursquare.com/v/4e812c63b6347681cf28da50","Omelette Bakery Cafe ")</f>
        <v>Omelette Bakery Cafe </v>
      </c>
    </row>
    <row r="24">
      <c r="A24" s="12" t="s">
        <v>3079</v>
      </c>
      <c r="B24" s="12"/>
      <c r="C24" s="13" t="str">
        <f>HYPERLINK("http://foursquare.com/v/4d09c0e064716ea887a6dc10","Bai Orchid &amp; Butterfly ")</f>
        <v>Bai Orchid &amp; Butterfly </v>
      </c>
    </row>
    <row r="25">
      <c r="A25" s="12" t="s">
        <v>3080</v>
      </c>
      <c r="B25" s="12"/>
      <c r="C25" s="13" t="str">
        <f>HYPERLINK("http://foursquare.com/v/5dff68cc69909e00086b8783","Jim’s Burger ")</f>
        <v>Jim’s Burger </v>
      </c>
    </row>
    <row r="26">
      <c r="A26" s="12" t="s">
        <v>3081</v>
      </c>
      <c r="B26" s="12"/>
      <c r="C26" s="13" t="str">
        <f>HYPERLINK("http://foursquare.com/v/4e1bcc4ab61cb7bbd0d632ca","HugYou (ฮักยู) ลำปางหนาวมาก ")</f>
        <v>HugYou (ฮักยู) ลำปางหนาวมาก </v>
      </c>
    </row>
    <row r="27">
      <c r="A27" s="12" t="s">
        <v>3082</v>
      </c>
      <c r="B27" s="12" t="s">
        <v>3083</v>
      </c>
      <c r="C27" s="13" t="str">
        <f>HYPERLINK("http://foursquare.com/v/53e6fe52498ec3e13b7a5849","Tak Treehouse ")</f>
        <v>Tak Treehouse </v>
      </c>
    </row>
    <row r="28">
      <c r="A28" s="12" t="s">
        <v>3084</v>
      </c>
      <c r="B28" s="12"/>
      <c r="C28" s="13" t="str">
        <f>HYPERLINK("http://foursquare.com/v/4e05bcef62e100e58164a71e","Oasis Bar&amp;Restauntrent ")</f>
        <v>Oasis Bar&amp;Restauntrent </v>
      </c>
    </row>
    <row r="29">
      <c r="A29" s="12" t="s">
        <v>3085</v>
      </c>
      <c r="B29" s="12"/>
      <c r="C29" s="13" t="str">
        <f>HYPERLINK("http://foursquare.com/v/4e19b79388777e96477c58e5","PTT (ปตท.) ")</f>
        <v>PTT (ปตท.) </v>
      </c>
    </row>
    <row r="30">
      <c r="A30" s="12" t="s">
        <v>3086</v>
      </c>
      <c r="B30" s="12"/>
      <c r="C30" s="13" t="str">
        <f>HYPERLINK("http://foursquare.com/v/4bebc7e562c0c928b880e2d4","Bang Saen Beach (หาดบางแสน) ")</f>
        <v>Bang Saen Beach (หาดบางแสน) </v>
      </c>
    </row>
    <row r="31">
      <c r="A31" s="12" t="s">
        <v>3087</v>
      </c>
      <c r="B31" s="12"/>
      <c r="C31" s="13" t="str">
        <f>HYPERLINK("http://foursquare.com/v/5df0bb8ee6d04800087f01dd","Red Temp Coffee ")</f>
        <v>Red Temp Coffee </v>
      </c>
    </row>
    <row r="32">
      <c r="A32" s="12" t="s">
        <v>3088</v>
      </c>
      <c r="B32" s="12"/>
      <c r="C32" s="13" t="str">
        <f>HYPERLINK("http://foursquare.com/v/4bb97aa7cf2fc9b64f97a002","Taaruephe (ท่าเรือเพ) ")</f>
        <v>Taaruephe (ท่าเรือเพ) </v>
      </c>
    </row>
    <row r="33">
      <c r="A33" s="12" t="s">
        <v>3089</v>
      </c>
      <c r="B33" s="12"/>
      <c r="C33" s="13" t="str">
        <f>HYPERLINK("http://foursquare.com/v/4b9345d7f964a520193e34e3","Koh Samet Pier (ท่าเรือเกาะเสม็ด) ")</f>
        <v>Koh Samet Pier (ท่าเรือเกาะเสม็ด) </v>
      </c>
    </row>
    <row r="34">
      <c r="A34" s="12" t="s">
        <v>3090</v>
      </c>
      <c r="B34" s="12"/>
      <c r="C34" s="13" t="str">
        <f>HYPERLINK("http://foursquare.com/v/4f9271bde4b00fe65e5a192a","Sea Horse Bungalow 2 ")</f>
        <v>Sea Horse Bungalow 2 </v>
      </c>
    </row>
    <row r="35">
      <c r="A35" s="12" t="s">
        <v>3091</v>
      </c>
      <c r="B35" s="12"/>
      <c r="C35" s="13" t="str">
        <f>HYPERLINK("http://foursquare.com/v/4c010159de3376b0011ef9a4","Nice &amp; Easy bar ")</f>
        <v>Nice &amp; Easy bar </v>
      </c>
    </row>
    <row r="36">
      <c r="A36" s="12" t="s">
        <v>3092</v>
      </c>
      <c r="B36" s="12"/>
      <c r="C36" s="13" t="str">
        <f>HYPERLINK("http://foursquare.com/v/4ed773d1775b4437aa3c4076","Tubtim Resort (ทับทิมรีสอร์ท) ")</f>
        <v>Tubtim Resort (ทับทิมรีสอร์ท) </v>
      </c>
    </row>
    <row r="37">
      <c r="A37" s="12" t="s">
        <v>3093</v>
      </c>
      <c r="B37" s="12"/>
      <c r="C37" s="13" t="str">
        <f>HYPERLINK("http://foursquare.com/v/4ed777a0be7b356716a9c958","Silver Sand Beach (หาดซิลเวอร์แซนด์) ")</f>
        <v>Silver Sand Beach (หาดซิลเวอร์แซนด์) </v>
      </c>
    </row>
    <row r="38">
      <c r="A38" s="12" t="s">
        <v>3094</v>
      </c>
      <c r="B38" s="12"/>
      <c r="C38" s="13" t="str">
        <f>HYPERLINK("http://foursquare.com/v/4d7a40c1ecf7a35d487b85f4","Silversand Bar ")</f>
        <v>Silversand Bar </v>
      </c>
    </row>
    <row r="39">
      <c r="A39" s="12" t="s">
        <v>3095</v>
      </c>
      <c r="B39" s="12"/>
      <c r="C39" s="13" t="str">
        <f>HYPERLINK("http://foursquare.com/v/4ed773d1775b4437aa3c4076","Tubtim Resort (ทับทิมรีสอร์ท) ")</f>
        <v>Tubtim Resort (ทับทิมรีสอร์ท) </v>
      </c>
    </row>
    <row r="40">
      <c r="A40" s="12" t="s">
        <v>3096</v>
      </c>
      <c r="B40" s="12"/>
      <c r="C40" s="13" t="str">
        <f>HYPERLINK("http://foursquare.com/v/59dae5f1dab4b158b7eb1620","Samed Island, Thailand ")</f>
        <v>Samed Island, Thailand </v>
      </c>
    </row>
    <row r="41">
      <c r="A41" s="12" t="s">
        <v>3097</v>
      </c>
      <c r="B41" s="12"/>
      <c r="C41" s="13" t="str">
        <f>HYPERLINK("http://foursquare.com/v/4b9345d7f964a520193e34e3","Koh Samet Pier (ท่าเรือเกาะเสม็ด) ")</f>
        <v>Koh Samet Pier (ท่าเรือเกาะเสม็ด) </v>
      </c>
    </row>
    <row r="42">
      <c r="A42" s="12" t="s">
        <v>3098</v>
      </c>
      <c r="B42" s="12"/>
      <c r="C42" s="13" t="str">
        <f>HYPERLINK("http://foursquare.com/v/4bb97aa7cf2fc9b64f97a002","Taaruephe (ท่าเรือเพ) ")</f>
        <v>Taaruephe (ท่าเรือเพ) </v>
      </c>
    </row>
    <row r="43">
      <c r="A43" s="12" t="s">
        <v>3099</v>
      </c>
      <c r="B43" s="12"/>
      <c r="C43" s="13" t="str">
        <f>HYPERLINK("http://foursquare.com/v/51fe244f498eb5bc49c161ea","King Kong (คิงคอง) ")</f>
        <v>King Kong (คิงคอง) </v>
      </c>
    </row>
    <row r="44">
      <c r="A44" s="12" t="s">
        <v>3100</v>
      </c>
      <c r="B44" s="12"/>
      <c r="C44" s="13" t="str">
        <f>HYPERLINK("http://foursquare.com/v/5edb3c5d79f44f00084480fc","Tim Hortons (ทิม ฮอร์ตันส์) ")</f>
        <v>Tim Hortons (ทิม ฮอร์ตันส์) </v>
      </c>
    </row>
    <row r="45">
      <c r="A45" s="12" t="s">
        <v>3101</v>
      </c>
      <c r="B45" s="12"/>
      <c r="C45" s="13" t="str">
        <f t="shared" ref="C45:C46" si="4">HYPERLINK("http://foursquare.com/v/4b481f88f964a520b14826e3","K Village (เค วิลเลจ) ")</f>
        <v>K Village (เค วิลเลจ) </v>
      </c>
    </row>
    <row r="46">
      <c r="A46" s="12" t="s">
        <v>3102</v>
      </c>
      <c r="B46" s="12"/>
      <c r="C46" s="13" t="str">
        <f t="shared" si="4"/>
        <v>K Village (เค วิลเลจ) </v>
      </c>
    </row>
    <row r="47">
      <c r="A47" s="12" t="s">
        <v>3103</v>
      </c>
      <c r="B47" s="12"/>
      <c r="C47" s="13" t="str">
        <f>HYPERLINK("http://foursquare.com/v/4cbe5b880cc4b7136301ecf7","Modern Town ")</f>
        <v>Modern Town </v>
      </c>
    </row>
    <row r="48">
      <c r="A48" s="12" t="s">
        <v>3104</v>
      </c>
      <c r="B48" s="12"/>
      <c r="C48" s="13" t="str">
        <f>HYPERLINK("http://foursquare.com/v/574fd97e498e94b04f588b1f","Smiling Albino Adventures ")</f>
        <v>Smiling Albino Adventures </v>
      </c>
    </row>
    <row r="49">
      <c r="A49" s="12" t="s">
        <v>3105</v>
      </c>
      <c r="B49" s="12"/>
      <c r="C49" s="13" t="str">
        <f>HYPERLINK("http://foursquare.com/v/4b73929ff964a5207db42de3","Ayutthaya Grand Hotel ")</f>
        <v>Ayutthaya Grand Hotel </v>
      </c>
    </row>
    <row r="50">
      <c r="A50" s="12" t="s">
        <v>3106</v>
      </c>
      <c r="B50" s="12"/>
      <c r="C50" s="13" t="str">
        <f>HYPERLINK("http://foursquare.com/v/4c5bc87a7735c9b654918a72","Grand Market (ตลาดแกรนด์) ")</f>
        <v>Grand Market (ตลาดแกรนด์) </v>
      </c>
    </row>
    <row r="51">
      <c r="A51" s="12" t="s">
        <v>3107</v>
      </c>
      <c r="B51" s="12"/>
      <c r="C51" s="13" t="str">
        <f>HYPERLINK("http://foursquare.com/v/4d874a3ce83fa143d1b0a0a1","PTT (ปตท.) ")</f>
        <v>PTT (ปตท.) </v>
      </c>
    </row>
    <row r="52">
      <c r="A52" s="12" t="s">
        <v>3108</v>
      </c>
      <c r="B52" s="12"/>
      <c r="C52" s="13" t="str">
        <f>HYPERLINK("http://foursquare.com/v/4e22841ed1647406321222bb","Tak Province ")</f>
        <v>Tak Province </v>
      </c>
    </row>
    <row r="53">
      <c r="A53" s="12" t="s">
        <v>3109</v>
      </c>
      <c r="B53" s="12"/>
      <c r="C53" s="13" t="str">
        <f>HYPERLINK("http://foursquare.com/v/5c2c3598033693002c92dbc1","N THRÉE coffee &amp; eatery ")</f>
        <v>N THRÉE coffee &amp; eatery </v>
      </c>
    </row>
    <row r="54">
      <c r="A54" s="12" t="s">
        <v>3110</v>
      </c>
      <c r="B54" s="12"/>
      <c r="C54" s="13" t="str">
        <f>HYPERLINK("http://foursquare.com/v/5f2d47574a0dca2152466a3c","The Duke's Original ")</f>
        <v>The Duke's Original </v>
      </c>
    </row>
    <row r="55">
      <c r="A55" s="12" t="s">
        <v>3111</v>
      </c>
      <c r="B55" s="12"/>
      <c r="C55" s="13" t="str">
        <f>HYPERLINK("http://foursquare.com/v/5c2c3598033693002c92dbc1","N THRÉE coffee &amp; eatery ")</f>
        <v>N THRÉE coffee &amp; eatery </v>
      </c>
    </row>
    <row r="56">
      <c r="A56" s="12" t="s">
        <v>3112</v>
      </c>
      <c r="B56" s="12"/>
      <c r="C56" s="13" t="str">
        <f>HYPERLINK("http://foursquare.com/v/4bc50fc122c676b0b78e96d3","Smoothie Blues ")</f>
        <v>Smoothie Blues </v>
      </c>
    </row>
    <row r="57">
      <c r="A57" s="12" t="s">
        <v>3113</v>
      </c>
      <c r="B57" s="12"/>
      <c r="C57" s="13" t="str">
        <f>HYPERLINK("http://foursquare.com/v/5fdcb97eaea7827112b5fa69","The Sax Music House ")</f>
        <v>The Sax Music House </v>
      </c>
    </row>
    <row r="58">
      <c r="A58" s="12" t="s">
        <v>3114</v>
      </c>
      <c r="B58" s="12"/>
      <c r="C58" s="13" t="str">
        <f>HYPERLINK("http://foursquare.com/v/5f79bf365481ad2b6b1c329d","Kin Organic Soymilk &amp; Burger ")</f>
        <v>Kin Organic Soymilk &amp; Burger </v>
      </c>
    </row>
    <row r="59">
      <c r="A59" s="12" t="s">
        <v>3115</v>
      </c>
      <c r="B59" s="12"/>
      <c r="C59" s="13" t="str">
        <f>HYPERLINK("http://foursquare.com/v/5cf11ccc1af852002c19d692","Grooveyard ")</f>
        <v>Grooveyard </v>
      </c>
    </row>
    <row r="60">
      <c r="A60" s="12" t="s">
        <v>3116</v>
      </c>
      <c r="B60" s="12"/>
      <c r="C60" s="13" t="str">
        <f>HYPERLINK("http://foursquare.com/v/5284ceac11d213f83837150b","Wine Connection (ไวน์คอนเนคชั่น) ")</f>
        <v>Wine Connection (ไวน์คอนเนคชั่น) </v>
      </c>
    </row>
    <row r="61">
      <c r="A61" s="12" t="s">
        <v>3117</v>
      </c>
      <c r="B61" s="12"/>
      <c r="C61" s="13" t="str">
        <f>HYPERLINK("http://foursquare.com/v/5ce66e70d552c7002cb62e47","Life. ")</f>
        <v>Life. </v>
      </c>
    </row>
    <row r="62">
      <c r="A62" s="12" t="s">
        <v>3118</v>
      </c>
      <c r="B62" s="12"/>
      <c r="C62" s="13" t="str">
        <f t="shared" ref="C62:C63" si="5">HYPERLINK("http://foursquare.com/v/5e4782bdaae6a700081757ef","กำเบ้อ Gramber Cafe ")</f>
        <v>กำเบ้อ Gramber Cafe </v>
      </c>
    </row>
    <row r="63">
      <c r="A63" s="12" t="s">
        <v>3119</v>
      </c>
      <c r="B63" s="12"/>
      <c r="C63" s="13" t="str">
        <f t="shared" si="5"/>
        <v>กำเบ้อ Gramber Cafe </v>
      </c>
    </row>
    <row r="64">
      <c r="A64" s="12" t="s">
        <v>3120</v>
      </c>
      <c r="B64" s="12"/>
      <c r="C64" s="13" t="str">
        <f>HYPERLINK("http://foursquare.com/v/4d995513af3d236abe1b51c7","XCentre ")</f>
        <v>XCentre </v>
      </c>
    </row>
    <row r="65">
      <c r="A65" s="12" t="s">
        <v>3121</v>
      </c>
      <c r="B65" s="12"/>
      <c r="C65" s="13" t="str">
        <f>HYPERLINK("http://foursquare.com/v/5dff68cc69909e00086b8783","Jim’s Burger ")</f>
        <v>Jim’s Burger </v>
      </c>
    </row>
    <row r="66">
      <c r="A66" s="12" t="s">
        <v>3122</v>
      </c>
      <c r="B66" s="12"/>
      <c r="C66" s="13" t="str">
        <f>HYPERLINK("http://foursquare.com/v/4df2d97a62e1288ed30221db","Toyota Chiangmai (โตโยต้า เชียงใหม่) ")</f>
        <v>Toyota Chiangmai (โตโยต้า เชียงใหม่) </v>
      </c>
    </row>
    <row r="67">
      <c r="A67" s="12" t="s">
        <v>3123</v>
      </c>
      <c r="B67" s="12"/>
      <c r="C67" s="13" t="str">
        <f>HYPERLINK("http://foursquare.com/v/5fdcb97eaea7827112b5fa69","The Sax Music House ")</f>
        <v>The Sax Music House </v>
      </c>
    </row>
    <row r="68">
      <c r="A68" s="12" t="s">
        <v>3124</v>
      </c>
      <c r="B68" s="12"/>
      <c r="C68" s="13" t="str">
        <f>HYPERLINK("http://foursquare.com/v/5cf11ccc1af852002c19d692","Grooveyard ")</f>
        <v>Grooveyard </v>
      </c>
    </row>
    <row r="69">
      <c r="A69" s="12" t="s">
        <v>3125</v>
      </c>
      <c r="B69" s="12"/>
      <c r="C69" s="13" t="str">
        <f>HYPERLINK("http://foursquare.com/v/4d0210cc582454817cea48ac","Xanadu ")</f>
        <v>Xanadu </v>
      </c>
    </row>
    <row r="70">
      <c r="A70" s="12" t="s">
        <v>3126</v>
      </c>
      <c r="B70" s="12"/>
      <c r="C70" s="13" t="str">
        <f>HYPERLINK("http://foursquare.com/v/4e0458f0fa7643f3a026fc83","Makro (แม็คโคร) ")</f>
        <v>Makro (แม็คโคร) </v>
      </c>
    </row>
    <row r="71">
      <c r="A71" s="12" t="s">
        <v>3127</v>
      </c>
      <c r="B71" s="12"/>
      <c r="C71" s="13" t="str">
        <f>HYPERLINK("http://foursquare.com/v/4d95725ec19fb60cfffe6665","รสหวาน กินง่าย ")</f>
        <v>รสหวาน กินง่าย </v>
      </c>
    </row>
    <row r="72">
      <c r="A72" s="12" t="s">
        <v>3128</v>
      </c>
      <c r="B72" s="12"/>
      <c r="C72" s="13" t="str">
        <f>HYPERLINK("http://foursquare.com/v/4f83effbe4b08afde213064f","ก๋วยเตี๋ยวเรือรังสิต แม่ริม ")</f>
        <v>ก๋วยเตี๋ยวเรือรังสิต แม่ริม </v>
      </c>
    </row>
    <row r="73">
      <c r="A73" s="12" t="s">
        <v>3129</v>
      </c>
      <c r="B73" s="12"/>
      <c r="C73" s="13" t="str">
        <f>HYPERLINK("http://foursquare.com/v/55695a90498efad9469931ce","Phoenix Adventure Park ")</f>
        <v>Phoenix Adventure Park </v>
      </c>
    </row>
    <row r="74">
      <c r="A74" s="12" t="s">
        <v>3130</v>
      </c>
      <c r="B74" s="12"/>
      <c r="C74" s="13" t="str">
        <f>HYPERLINK("http://foursquare.com/v/528c144f11d2c105b44abe8a","Café de Oasis (คาเฟ่ เดอ โอเอซิส) ")</f>
        <v>Café de Oasis (คาเฟ่ เดอ โอเอซิส) </v>
      </c>
    </row>
    <row r="75">
      <c r="A75" s="12" t="s">
        <v>3131</v>
      </c>
      <c r="B75" s="12"/>
      <c r="C75" s="13" t="str">
        <f>HYPERLINK("http://foursquare.com/v/5ee2fc525b9a110e34b2ce43","Rim Nara Cafe &amp; Bistro ")</f>
        <v>Rim Nara Cafe &amp; Bistro </v>
      </c>
    </row>
    <row r="76">
      <c r="A76" s="12" t="s">
        <v>3132</v>
      </c>
      <c r="B76" s="12"/>
      <c r="C76" s="13" t="str">
        <f>HYPERLINK("http://foursquare.com/v/5cf11ccc1af852002c19d692","Grooveyard ")</f>
        <v>Grooveyard </v>
      </c>
    </row>
    <row r="77">
      <c r="A77" s="12" t="s">
        <v>3133</v>
      </c>
      <c r="B77" s="12"/>
      <c r="C77" s="13" t="str">
        <f>HYPERLINK("http://foursquare.com/v/5f69997ca3396c117c6dca33","River Rock Cafe Hill ")</f>
        <v>River Rock Cafe Hill </v>
      </c>
    </row>
    <row r="78">
      <c r="A78" s="12" t="s">
        <v>3134</v>
      </c>
      <c r="B78" s="12"/>
      <c r="C78" s="13" t="str">
        <f>HYPERLINK("http://foursquare.com/v/56ecfcd2498ebcce49b381fc","Let It Be ")</f>
        <v>Let It Be </v>
      </c>
    </row>
    <row r="79">
      <c r="A79" s="12" t="s">
        <v>3135</v>
      </c>
      <c r="B79" s="12"/>
      <c r="C79" s="13" t="str">
        <f>HYPERLINK("http://foursquare.com/v/4c2ee894a0ced13ad5b90f6e","HomePro (โฮมโปร) ")</f>
        <v>HomePro (โฮมโปร) </v>
      </c>
    </row>
    <row r="80">
      <c r="A80" s="12" t="s">
        <v>3136</v>
      </c>
      <c r="B80" s="12"/>
      <c r="C80" s="13" t="str">
        <f>HYPERLINK("http://foursquare.com/v/50e140d4e4b0a94f63e0852e","Wawee Coffee (กาแฟวาวี) ")</f>
        <v>Wawee Coffee (กาแฟวาวี) </v>
      </c>
    </row>
    <row r="81">
      <c r="A81" s="12" t="s">
        <v>3136</v>
      </c>
      <c r="B81" s="12"/>
      <c r="C81" s="13" t="str">
        <f>HYPERLINK("http://foursquare.com/v/4be78a73c5220f477fcda8ca","Bread Brasserie ")</f>
        <v>Bread Brasserie </v>
      </c>
    </row>
    <row r="82">
      <c r="A82" s="12" t="s">
        <v>3137</v>
      </c>
      <c r="B82" s="12"/>
      <c r="C82" s="13" t="str">
        <f>HYPERLINK("http://foursquare.com/v/5cf11ccc1af852002c19d692","Grooveyard ")</f>
        <v>Grooveyard </v>
      </c>
    </row>
    <row r="83">
      <c r="A83" s="12" t="s">
        <v>3138</v>
      </c>
      <c r="B83" s="12"/>
      <c r="C83" s="13" t="str">
        <f>HYPERLINK("http://foursquare.com/v/591ec791b8fd9d18dbaa4730","MICU3 รพ.นครพิงค์ ")</f>
        <v>MICU3 รพ.นครพิงค์ </v>
      </c>
    </row>
    <row r="84">
      <c r="A84" s="12" t="s">
        <v>3139</v>
      </c>
      <c r="B84" s="12"/>
      <c r="C84" s="13" t="str">
        <f>HYPERLINK("http://foursquare.com/v/5c2c3598033693002c92dbc1","N THRÉE coffee &amp; eatery ")</f>
        <v>N THRÉE coffee &amp; eatery </v>
      </c>
    </row>
    <row r="85">
      <c r="A85" s="12" t="s">
        <v>3140</v>
      </c>
      <c r="B85" s="12"/>
      <c r="C85" s="13" t="str">
        <f>HYPERLINK("http://foursquare.com/v/4f2a35bde4b00df25c7b3900","Domestic Departures ")</f>
        <v>Domestic Departures </v>
      </c>
    </row>
    <row r="86">
      <c r="A86" s="12" t="s">
        <v>3141</v>
      </c>
      <c r="B86" s="12"/>
      <c r="C86" s="1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87">
      <c r="A87" s="12" t="s">
        <v>3142</v>
      </c>
      <c r="B87" s="12"/>
      <c r="C87" s="13" t="str">
        <f>HYPERLINK("http://foursquare.com/v/4f98ca42e4b028100302dbde","Megabangna (เมกาบางนา) ")</f>
        <v>Megabangna (เมกาบางนา) </v>
      </c>
    </row>
    <row r="88">
      <c r="A88" s="12" t="s">
        <v>3143</v>
      </c>
      <c r="B88" s="12"/>
      <c r="C88" s="13" t="str">
        <f>HYPERLINK("http://foursquare.com/v/4b9cce4bf964a5207e7c36e3","Novotel Suvarnabhumi Airport Hotel (โรงแรมโนโวเทล สุวรรณภูมิ) ")</f>
        <v>Novotel Suvarnabhumi Airport Hotel (โรงแรมโนโวเทล สุวรรณภูมิ) </v>
      </c>
    </row>
    <row r="89">
      <c r="A89" s="12" t="s">
        <v>3144</v>
      </c>
      <c r="B89" s="12"/>
      <c r="C89" s="13" t="str">
        <f>HYPERLINK("http://foursquare.com/v/5d039d38bb8d36002cda0698","Som Tam Nua (ส้มตำนัว) ")</f>
        <v>Som Tam Nua (ส้มตำนัว) </v>
      </c>
    </row>
    <row r="90">
      <c r="A90" s="12" t="s">
        <v>3145</v>
      </c>
      <c r="B90" s="12"/>
      <c r="C90" s="13" t="str">
        <f>HYPERLINK("http://foursquare.com/v/5dca34746f3d030007c4b552","Robinson Lifestyle Ladkrabang (โรบินสัน ไลฟ์สไตล์ ลาดกระบัง) ")</f>
        <v>Robinson Lifestyle Ladkrabang (โรบินสัน ไลฟ์สไตล์ ลาดกระบัง) </v>
      </c>
    </row>
    <row r="91">
      <c r="A91" s="12" t="s">
        <v>3146</v>
      </c>
      <c r="B91" s="12"/>
      <c r="C91" s="1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92">
      <c r="A92" s="12" t="s">
        <v>3147</v>
      </c>
      <c r="B92" s="12"/>
      <c r="C92" s="13" t="str">
        <f>HYPERLINK("http://foursquare.com/v/4ad6cea1f964a520480821e3","Narita International Airport (NRT) (成田国際空港) ")</f>
        <v>Narita International Airport (NRT) (成田国際空港) </v>
      </c>
    </row>
    <row r="93">
      <c r="A93" s="12" t="s">
        <v>3148</v>
      </c>
      <c r="B93" s="12"/>
      <c r="C93" s="13" t="str">
        <f>HYPERLINK("http://foursquare.com/v/57dbb5b7498e779b7cf537d4","XFINITY Store by Comcast ")</f>
        <v>XFINITY Store by Comcast </v>
      </c>
    </row>
    <row r="94">
      <c r="A94" s="12" t="s">
        <v>3149</v>
      </c>
      <c r="B94" s="12"/>
      <c r="C94" s="13" t="str">
        <f>HYPERLINK("http://foursquare.com/v/4b7df10df964a52050db2fe3","Pasta &amp; Co ")</f>
        <v>Pasta &amp; Co </v>
      </c>
    </row>
    <row r="95">
      <c r="A95" s="12" t="s">
        <v>3150</v>
      </c>
      <c r="B95" s="12"/>
      <c r="C95" s="13" t="str">
        <f>HYPERLINK("http://foursquare.com/v/52869068498e3289da673edf","Starbucks ")</f>
        <v>Starbucks </v>
      </c>
    </row>
    <row r="96">
      <c r="A96" s="12" t="s">
        <v>3151</v>
      </c>
      <c r="B96" s="12"/>
      <c r="C96" s="13" t="str">
        <f>HYPERLINK("http://foursquare.com/v/4c05bb53191f20a1ee96e314","Zeeks Pizza ")</f>
        <v>Zeeks Pizza </v>
      </c>
    </row>
    <row r="97">
      <c r="A97" s="12" t="s">
        <v>3152</v>
      </c>
      <c r="B97" s="12"/>
      <c r="C97" s="13" t="str">
        <f>HYPERLINK("http://foursquare.com/v/488db78ff964a52055511fe3","Bellevue Downtown Park ")</f>
        <v>Bellevue Downtown Park </v>
      </c>
    </row>
    <row r="98">
      <c r="A98" s="12" t="s">
        <v>3153</v>
      </c>
      <c r="B98" s="12"/>
      <c r="C98" s="13" t="str">
        <f>HYPERLINK("http://foursquare.com/v/5cc4aca33731ee002c87976b","Bird Pepper Thai Kitchen ")</f>
        <v>Bird Pepper Thai Kitchen </v>
      </c>
    </row>
    <row r="99">
      <c r="A99" s="12" t="s">
        <v>3154</v>
      </c>
      <c r="B99" s="12"/>
      <c r="C99" s="13" t="str">
        <f>HYPERLINK("http://foursquare.com/v/4fb308ffe4b035d022e3515b","Safeway Pharmacy ")</f>
        <v>Safeway Pharmacy </v>
      </c>
    </row>
    <row r="100">
      <c r="A100" s="12" t="s">
        <v>3155</v>
      </c>
      <c r="B100" s="12"/>
      <c r="C100" s="13" t="str">
        <f>HYPERLINK("http://foursquare.com/v/50ac0ffb6ebbe077009826c5","QFC ")</f>
        <v>QFC </v>
      </c>
    </row>
    <row r="101">
      <c r="A101" s="12" t="s">
        <v>3156</v>
      </c>
      <c r="B101" s="12"/>
      <c r="C101" s="13" t="str">
        <f>HYPERLINK("http://foursquare.com/v/4a6e52d8f964a52081d41fe3","The Home Depot ")</f>
        <v>The Home Depot </v>
      </c>
    </row>
    <row r="102">
      <c r="A102" s="12" t="s">
        <v>3157</v>
      </c>
      <c r="B102" s="12"/>
      <c r="C102" s="13" t="str">
        <f>HYPERLINK("http://foursquare.com/v/5a0fd192a4ba7c5fbffd967d","Tesla ")</f>
        <v>Tesla </v>
      </c>
    </row>
    <row r="103">
      <c r="A103" s="12" t="s">
        <v>3158</v>
      </c>
      <c r="B103" s="12"/>
      <c r="C103" s="13" t="str">
        <f>HYPERLINK("http://foursquare.com/v/4b1ee864f964a520672124e3","Point on Yarrow Bay ")</f>
        <v>Point on Yarrow Bay </v>
      </c>
    </row>
    <row r="104">
      <c r="A104" s="12" t="s">
        <v>3159</v>
      </c>
      <c r="B104" s="12"/>
      <c r="C104" s="13" t="str">
        <f>HYPERLINK("http://foursquare.com/v/4bd4b0e6cfa7b7132aa724da","Wells Medina Nursery ")</f>
        <v>Wells Medina Nursery </v>
      </c>
    </row>
    <row r="105">
      <c r="A105" s="12" t="s">
        <v>3160</v>
      </c>
      <c r="B105" s="12"/>
      <c r="C105" s="13" t="str">
        <f>HYPERLINK("http://foursquare.com/v/5e164c09d150a8000874712c","Department Of Licensing - Redmond ")</f>
        <v>Department Of Licensing - Redmond </v>
      </c>
    </row>
    <row r="106">
      <c r="A106" s="12" t="s">
        <v>3161</v>
      </c>
      <c r="B106" s="12"/>
      <c r="C106" s="13" t="str">
        <f>HYPERLINK("http://foursquare.com/v/4b325f4ff964a520df0925e3","The UPS Store ")</f>
        <v>The UPS Store </v>
      </c>
    </row>
    <row r="107">
      <c r="A107" s="12" t="s">
        <v>3162</v>
      </c>
      <c r="B107" s="12"/>
      <c r="C107" s="13" t="str">
        <f>HYPERLINK("http://foursquare.com/v/54c44a16498e259a3c2d018f","H-Mart ")</f>
        <v>H-Mart </v>
      </c>
    </row>
    <row r="108">
      <c r="A108" s="12" t="s">
        <v>3163</v>
      </c>
      <c r="B108" s="12"/>
      <c r="C108" s="13" t="str">
        <f>HYPERLINK("http://foursquare.com/v/4b9c370ff964a520bd5536e3","Bellevue Highlands Park ")</f>
        <v>Bellevue Highlands Park </v>
      </c>
    </row>
    <row r="109">
      <c r="A109" s="12" t="s">
        <v>3164</v>
      </c>
      <c r="B109" s="12"/>
      <c r="C109" s="13" t="str">
        <f>HYPERLINK("http://foursquare.com/v/5ca4e75c625a66002ce523e7","Target Bellevue ")</f>
        <v>Target Bellevue </v>
      </c>
    </row>
    <row r="110">
      <c r="A110" s="12" t="s">
        <v>3165</v>
      </c>
      <c r="B110" s="12"/>
      <c r="C110" s="13" t="str">
        <f>HYPERLINK("http://foursquare.com/v/4bf846d64a67c928b31e25cf","Yarrow Point ")</f>
        <v>Yarrow Point </v>
      </c>
    </row>
    <row r="111">
      <c r="A111" s="12" t="s">
        <v>3166</v>
      </c>
      <c r="B111" s="12"/>
      <c r="C111" s="13" t="str">
        <f>HYPERLINK("http://foursquare.com/v/50ac0ffb6ebbe077009826c5","QFC ")</f>
        <v>QFC </v>
      </c>
    </row>
    <row r="112">
      <c r="A112" s="12" t="s">
        <v>3167</v>
      </c>
      <c r="B112" s="12"/>
      <c r="C112" s="13" t="str">
        <f>HYPERLINK("http://foursquare.com/v/4b9c370ff964a520bd5536e3","Bellevue Highlands Park ")</f>
        <v>Bellevue Highlands Park </v>
      </c>
    </row>
    <row r="113">
      <c r="A113" s="12" t="s">
        <v>3168</v>
      </c>
      <c r="B113" s="12"/>
      <c r="C113" s="13" t="str">
        <f>HYPERLINK("http://foursquare.com/v/43519800f964a520bd281fe3","IKEA ")</f>
        <v>IKEA </v>
      </c>
    </row>
    <row r="114">
      <c r="A114" s="12" t="s">
        <v>3169</v>
      </c>
      <c r="B114" s="12"/>
      <c r="C114" s="13" t="str">
        <f>HYPERLINK("http://foursquare.com/v/4beca7ef2cf820a12314b91c","Bellevue Farmers Market - Thursdays ")</f>
        <v>Bellevue Farmers Market - Thursdays </v>
      </c>
    </row>
    <row r="115">
      <c r="A115" s="12" t="s">
        <v>3170</v>
      </c>
      <c r="B115" s="12"/>
      <c r="C115" s="13" t="str">
        <f>HYPERLINK("http://foursquare.com/v/4d0c1c2d95c1a1cdf760fafe","Bellevue Skate Park ")</f>
        <v>Bellevue Skate Park </v>
      </c>
    </row>
    <row r="116">
      <c r="A116" s="12" t="s">
        <v>3171</v>
      </c>
      <c r="B116" s="12"/>
      <c r="C116" s="13" t="str">
        <f>HYPERLINK("http://foursquare.com/v/55c28ddd498e97e050c21cb9","Mod Pizza ")</f>
        <v>Mod Pizza </v>
      </c>
    </row>
    <row r="117">
      <c r="A117" s="12" t="s">
        <v>3172</v>
      </c>
      <c r="B117" s="12"/>
      <c r="C117" s="13" t="str">
        <f>HYPERLINK("http://foursquare.com/v/4c5a3ef6d3aee21e256f6a55","Hidden Valley Park ")</f>
        <v>Hidden Valley Park </v>
      </c>
    </row>
    <row r="118">
      <c r="A118" s="12" t="s">
        <v>3173</v>
      </c>
      <c r="B118" s="12"/>
      <c r="C118" s="13" t="str">
        <f>HYPERLINK("http://foursquare.com/v/4e864de02fb6973599935659","Ashton Bellevue ")</f>
        <v>Ashton Bellevue </v>
      </c>
    </row>
    <row r="119">
      <c r="A119" s="12" t="s">
        <v>3174</v>
      </c>
      <c r="B119" s="12"/>
      <c r="C119" s="13" t="str">
        <f>HYPERLINK("http://foursquare.com/v/56c660f2cd102a8ae06a0a1d","Georgia Zumdieck Park ")</f>
        <v>Georgia Zumdieck Park </v>
      </c>
    </row>
    <row r="120">
      <c r="A120" s="12" t="s">
        <v>3175</v>
      </c>
      <c r="B120" s="12"/>
      <c r="C120" s="13" t="str">
        <f>HYPERLINK("http://foursquare.com/v/4c5a3ef6d3aee21e256f6a55","Hidden Valley Park ")</f>
        <v>Hidden Valley Park </v>
      </c>
    </row>
    <row r="121">
      <c r="A121" s="12" t="s">
        <v>3176</v>
      </c>
      <c r="B121" s="12"/>
      <c r="C121" s="13" t="str">
        <f>HYPERLINK("http://foursquare.com/v/4bcb5fc3cc8cd13aef42bfcf","Meydenbauer Bay Park ")</f>
        <v>Meydenbauer Bay Park </v>
      </c>
    </row>
    <row r="122">
      <c r="A122" s="12" t="s">
        <v>3177</v>
      </c>
      <c r="B122" s="12"/>
      <c r="C122" s="13" t="str">
        <f>HYPERLINK("http://foursquare.com/v/4bfb0d8cbbb7c928c2a50743","Clyde Beach Park ")</f>
        <v>Clyde Beach Park </v>
      </c>
    </row>
    <row r="123">
      <c r="A123" s="12" t="s">
        <v>3178</v>
      </c>
      <c r="B123" s="12"/>
      <c r="C123" s="13" t="str">
        <f>HYPERLINK("http://foursquare.com/v/4d0c1c2d95c1a1cdf760fafe","Bellevue Skate Park ")</f>
        <v>Bellevue Skate Park </v>
      </c>
    </row>
    <row r="124">
      <c r="A124" s="12" t="s">
        <v>3179</v>
      </c>
      <c r="B124" s="12"/>
      <c r="C124" s="13" t="str">
        <f>HYPERLINK("http://foursquare.com/v/4a9ed0d8f964a5204a3b20e3","Edmonds Ferry Terminal ")</f>
        <v>Edmonds Ferry Terminal </v>
      </c>
    </row>
    <row r="125">
      <c r="A125" s="12" t="s">
        <v>3179</v>
      </c>
      <c r="B125" s="12"/>
      <c r="C125" s="13" t="str">
        <f>HYPERLINK("http://foursquare.com/v/4bded54be75c0f4742edc803","Edmonds-Kingston Ferry ")</f>
        <v>Edmonds-Kingston Ferry </v>
      </c>
    </row>
    <row r="126">
      <c r="A126" s="12" t="s">
        <v>3180</v>
      </c>
      <c r="B126" s="12"/>
      <c r="C126" s="13" t="str">
        <f>HYPERLINK("http://foursquare.com/v/51aa681c498e705deb0818fa","Kingston-Edmonds Ferry ")</f>
        <v>Kingston-Edmonds Ferry </v>
      </c>
    </row>
    <row r="127">
      <c r="A127" s="12" t="s">
        <v>3181</v>
      </c>
      <c r="B127" s="12"/>
      <c r="C127" s="13" t="str">
        <f>HYPERLINK("http://foursquare.com/v/546c1e54498e70143cb4850a","B&amp;B Family Lavender Farm ")</f>
        <v>B&amp;B Family Lavender Farm </v>
      </c>
    </row>
    <row r="128">
      <c r="A128" s="12" t="s">
        <v>3182</v>
      </c>
      <c r="B128" s="12"/>
      <c r="C128" s="13" t="str">
        <f>HYPERLINK("http://foursquare.com/v/4bf83d6ab182c9b60520775a","Hi-Way 101 Diner ")</f>
        <v>Hi-Way 101 Diner </v>
      </c>
    </row>
    <row r="129">
      <c r="A129" s="12" t="s">
        <v>3183</v>
      </c>
      <c r="B129" s="12"/>
      <c r="C129" s="13" t="str">
        <f>HYPERLINK("http://foursquare.com/v/50089af2e4b08aad427ee52d","Lost Mountain Lavender Farm ")</f>
        <v>Lost Mountain Lavender Farm </v>
      </c>
    </row>
    <row r="130">
      <c r="A130" s="12" t="s">
        <v>3184</v>
      </c>
      <c r="B130" s="12"/>
      <c r="C130" s="13" t="str">
        <f>HYPERLINK("http://foursquare.com/v/4b5b50ddf964a52000f428e3","Ediz Hook ")</f>
        <v>Ediz Hook </v>
      </c>
    </row>
    <row r="131">
      <c r="A131" s="12" t="s">
        <v>3185</v>
      </c>
      <c r="B131" s="12"/>
      <c r="C131" s="13" t="str">
        <f>HYPERLINK("http://foursquare.com/v/4cf989b0feec6dcbf1b73936","Hollywood Beach ")</f>
        <v>Hollywood Beach </v>
      </c>
    </row>
    <row r="132">
      <c r="A132" s="12" t="s">
        <v>3186</v>
      </c>
      <c r="B132" s="12"/>
      <c r="C132" s="13" t="str">
        <f>HYPERLINK("http://foursquare.com/v/5f9ccebb503ff3532600a45d","Pho New Saigon ")</f>
        <v>Pho New Saigon </v>
      </c>
    </row>
    <row r="133">
      <c r="A133" s="12" t="s">
        <v>3187</v>
      </c>
      <c r="B133" s="12"/>
      <c r="C133" s="13" t="str">
        <f>HYPERLINK("http://foursquare.com/v/597687e579f6c704d9c4a90f","Tesla Supercharger ")</f>
        <v>Tesla Supercharger </v>
      </c>
    </row>
    <row r="134">
      <c r="A134" s="12" t="s">
        <v>3188</v>
      </c>
      <c r="B134" s="12"/>
      <c r="C134" s="13" t="str">
        <f>HYPERLINK("http://foursquare.com/v/59ad79d4c824ae769249ea92","Scratch Kitchen 360 ")</f>
        <v>Scratch Kitchen 360 </v>
      </c>
    </row>
    <row r="135">
      <c r="A135" s="12" t="s">
        <v>3189</v>
      </c>
      <c r="B135" s="12"/>
      <c r="C135" s="13" t="str">
        <f>HYPERLINK("http://foursquare.com/v/43519800f964a520bd281fe3","IKEA ")</f>
        <v>IKEA </v>
      </c>
    </row>
    <row r="136">
      <c r="A136" s="12" t="s">
        <v>3190</v>
      </c>
      <c r="B136" s="12"/>
      <c r="C136" s="13" t="str">
        <f>HYPERLINK("http://foursquare.com/v/51c49ee0498e79713182dfa7","Cactus ")</f>
        <v>Cactus </v>
      </c>
    </row>
    <row r="137">
      <c r="A137" s="12" t="s">
        <v>3191</v>
      </c>
      <c r="B137" s="12"/>
      <c r="C137" s="13" t="str">
        <f>HYPERLINK("http://foursquare.com/v/4a837b31f964a52043fb1fe3","Fred Meyer ")</f>
        <v>Fred Meyer </v>
      </c>
    </row>
    <row r="138">
      <c r="A138" s="12" t="s">
        <v>3192</v>
      </c>
      <c r="B138" s="12"/>
      <c r="C138" s="13" t="str">
        <f>HYPERLINK("http://foursquare.com/v/4c09a47ebbc676b0f69f48d5","Chase Bank ")</f>
        <v>Chase Bank </v>
      </c>
    </row>
    <row r="139">
      <c r="A139" s="12" t="s">
        <v>3193</v>
      </c>
      <c r="B139" s="12"/>
      <c r="C139" s="13" t="str">
        <f>HYPERLINK("http://foursquare.com/v/4c05bb53191f20a1ee96e314","Zeeks Pizza ")</f>
        <v>Zeeks Pizza </v>
      </c>
    </row>
    <row r="140">
      <c r="A140" s="12" t="s">
        <v>3194</v>
      </c>
      <c r="B140" s="12"/>
      <c r="C140" s="13" t="str">
        <f>HYPERLINK("http://foursquare.com/v/4b1ee864f964a520672124e3","Point on Yarrow Bay ")</f>
        <v>Point on Yarrow Bay </v>
      </c>
    </row>
    <row r="141">
      <c r="A141" s="12" t="s">
        <v>3195</v>
      </c>
      <c r="B141" s="12"/>
      <c r="C141" s="13" t="str">
        <f>HYPERLINK("http://foursquare.com/v/4a99e5eff964a520053120e3","Camlann Medieval Village ")</f>
        <v>Camlann Medieval Village </v>
      </c>
    </row>
    <row r="142">
      <c r="A142" s="12" t="s">
        <v>3196</v>
      </c>
      <c r="B142" s="12"/>
      <c r="C142" s="13" t="str">
        <f>HYPERLINK("http://foursquare.com/v/5ee181e694aa89349acbf086","Di Fiora ")</f>
        <v>Di Fiora </v>
      </c>
    </row>
    <row r="143">
      <c r="A143" s="12" t="s">
        <v>3197</v>
      </c>
      <c r="B143" s="12"/>
      <c r="C143" s="13" t="str">
        <f>HYPERLINK("http://foursquare.com/v/4a010c08f964a520d1701fe3","KCLS Bellevue Library ")</f>
        <v>KCLS Bellevue Library </v>
      </c>
    </row>
    <row r="144">
      <c r="A144" s="12" t="s">
        <v>3198</v>
      </c>
      <c r="B144" s="12"/>
      <c r="C144" s="13" t="str">
        <f>HYPERLINK("http://foursquare.com/v/5c8ea7c4deb4950025602e3d","Willowmoor Park ")</f>
        <v>Willowmoor Park </v>
      </c>
    </row>
    <row r="145">
      <c r="A145" s="12" t="s">
        <v>3199</v>
      </c>
      <c r="B145" s="12"/>
      <c r="C145" s="13" t="str">
        <f>HYPERLINK("http://foursquare.com/v/5e826360247c5f000877ef64","Bangkok Crisps Thai Market ")</f>
        <v>Bangkok Crisps Thai Market </v>
      </c>
    </row>
    <row r="146">
      <c r="A146" s="12" t="s">
        <v>3200</v>
      </c>
      <c r="B146" s="12"/>
      <c r="C146" s="13" t="str">
        <f>HYPERLINK("http://foursquare.com/v/4d0c1c2d95c1a1cdf760fafe","Bellevue Skate Park ")</f>
        <v>Bellevue Skate Park </v>
      </c>
    </row>
    <row r="147">
      <c r="A147" s="12" t="s">
        <v>3201</v>
      </c>
      <c r="B147" s="12"/>
      <c r="C147" s="13" t="str">
        <f>HYPERLINK("http://foursquare.com/v/4b3fdca3f964a520bfb025e3","Kasala Outlet ")</f>
        <v>Kasala Outlet </v>
      </c>
    </row>
    <row r="148">
      <c r="A148" s="12" t="s">
        <v>3202</v>
      </c>
      <c r="B148" s="12"/>
      <c r="C148" s="13" t="str">
        <f>HYPERLINK("http://foursquare.com/v/44f9b193f964a5206c381fe3","Outdoor Research Retail Store ")</f>
        <v>Outdoor Research Retail Store </v>
      </c>
    </row>
    <row r="149">
      <c r="A149" s="12" t="s">
        <v>3203</v>
      </c>
      <c r="B149" s="12"/>
      <c r="C149" s="13" t="str">
        <f>HYPERLINK("http://foursquare.com/v/43eb42adf964a520332f1fe3","Seward Park ")</f>
        <v>Seward Park </v>
      </c>
    </row>
    <row r="150">
      <c r="A150" s="12" t="s">
        <v>3204</v>
      </c>
      <c r="B150" s="12"/>
      <c r="C150" s="13" t="str">
        <f>HYPERLINK("http://foursquare.com/v/57ae5eb8cd1052076719ffa2","STEP Academy ")</f>
        <v>STEP Academy </v>
      </c>
    </row>
    <row r="151">
      <c r="A151" s="12" t="s">
        <v>3205</v>
      </c>
      <c r="B151" s="12"/>
      <c r="C151" s="13" t="str">
        <f>HYPERLINK("http://foursquare.com/v/488db78ff964a52055511fe3","Bellevue Downtown Park ")</f>
        <v>Bellevue Downtown Park </v>
      </c>
    </row>
    <row r="152">
      <c r="A152" s="12" t="s">
        <v>3206</v>
      </c>
      <c r="B152" s="12"/>
      <c r="C152" s="13" t="str">
        <f>HYPERLINK("http://foursquare.com/v/4d0c1c2d95c1a1cdf760fafe","Bellevue Skate Park ")</f>
        <v>Bellevue Skate Park </v>
      </c>
    </row>
    <row r="153">
      <c r="A153" s="12" t="s">
        <v>3207</v>
      </c>
      <c r="B153" s="12"/>
      <c r="C153" s="13" t="str">
        <f>HYPERLINK("http://foursquare.com/v/4a9c9435f964a520983720e3","Houghton Beach Park ")</f>
        <v>Houghton Beach Park </v>
      </c>
    </row>
    <row r="154">
      <c r="A154" s="12" t="s">
        <v>3208</v>
      </c>
      <c r="B154" s="12"/>
      <c r="C154" s="13" t="str">
        <f>HYPERLINK("http://foursquare.com/v/4a010c08f964a520d1701fe3","KCLS Bellevue Library ")</f>
        <v>KCLS Bellevue Library </v>
      </c>
    </row>
    <row r="155">
      <c r="A155" s="12" t="s">
        <v>3209</v>
      </c>
      <c r="B155" s="12"/>
      <c r="C155" s="13" t="str">
        <f>HYPERLINK("http://foursquare.com/v/4b4f9bbdf964a520530d27e3","Bellevue Family Medicine ")</f>
        <v>Bellevue Family Medicine </v>
      </c>
    </row>
    <row r="156">
      <c r="A156" s="12" t="s">
        <v>3210</v>
      </c>
      <c r="B156" s="12"/>
      <c r="C156" s="13" t="str">
        <f>HYPERLINK("http://foursquare.com/v/4c4c66e8959220a1644ff710","Enatai Beach ")</f>
        <v>Enatai Beach </v>
      </c>
    </row>
    <row r="157">
      <c r="A157" s="12" t="s">
        <v>3211</v>
      </c>
      <c r="B157" s="12"/>
      <c r="C157" s="13" t="str">
        <f>HYPERLINK("http://foursquare.com/v/58533b29bf1a6d7227d674cd","US Post Office ")</f>
        <v>US Post Office </v>
      </c>
    </row>
    <row r="158">
      <c r="A158" s="12" t="s">
        <v>3212</v>
      </c>
      <c r="B158" s="12"/>
      <c r="C158" s="13" t="str">
        <f>HYPERLINK("http://foursquare.com/v/4a99fc5ff964a520563120e3","QFC ")</f>
        <v>QFC </v>
      </c>
    </row>
    <row r="159">
      <c r="A159" s="12" t="s">
        <v>3213</v>
      </c>
      <c r="B159" s="12"/>
      <c r="C159" s="13" t="str">
        <f>HYPERLINK("http://foursquare.com/v/4ac23711f964a520399820e3","Bellevue Botanical Garden ")</f>
        <v>Bellevue Botanical Garden </v>
      </c>
    </row>
    <row r="160">
      <c r="A160" s="12" t="s">
        <v>3214</v>
      </c>
      <c r="B160" s="12"/>
      <c r="C160" s="13" t="str">
        <f>HYPERLINK("http://foursquare.com/v/43f9b9aaf964a520d12f1fe3","Pacific Science Center ")</f>
        <v>Pacific Science Center </v>
      </c>
    </row>
    <row r="161">
      <c r="A161" s="12" t="s">
        <v>3215</v>
      </c>
      <c r="B161" s="12"/>
      <c r="C161" s="13" t="str">
        <f>HYPERLINK("http://foursquare.com/v/4a5be77df964a520f6bb1fe3","JOANN Fabrics and Crafts ")</f>
        <v>JOANN Fabrics and Crafts </v>
      </c>
    </row>
    <row r="162">
      <c r="A162" s="12" t="s">
        <v>3215</v>
      </c>
      <c r="B162" s="12"/>
      <c r="C162" s="13" t="str">
        <f>HYPERLINK("http://foursquare.com/v/4a18b0d3f964a520dc791fe3","Ballard Commons Park ")</f>
        <v>Ballard Commons Park </v>
      </c>
    </row>
    <row r="163">
      <c r="A163" s="12" t="s">
        <v>3216</v>
      </c>
      <c r="B163" s="12"/>
      <c r="C163" s="13" t="str">
        <f>HYPERLINK("http://foursquare.com/v/45f4185ef964a520f7431fe3","The Other Coast Cafe ")</f>
        <v>The Other Coast Cafe </v>
      </c>
    </row>
    <row r="164">
      <c r="A164" s="12" t="s">
        <v>3217</v>
      </c>
      <c r="B164" s="12"/>
      <c r="C164" s="13" t="str">
        <f>HYPERLINK("http://foursquare.com/v/4beca7ef2cf820a12314b91c","Bellevue Farmers Market - Thursdays ")</f>
        <v>Bellevue Farmers Market - Thursdays </v>
      </c>
    </row>
    <row r="165">
      <c r="A165" s="12" t="s">
        <v>3218</v>
      </c>
      <c r="B165" s="12"/>
      <c r="C165" s="13" t="str">
        <f>HYPERLINK("http://foursquare.com/v/4e162b09c65be9c55e830c3e","Chesterfield Beach Park ")</f>
        <v>Chesterfield Beach Park </v>
      </c>
    </row>
    <row r="166">
      <c r="A166" s="12" t="s">
        <v>3219</v>
      </c>
      <c r="B166" s="12"/>
      <c r="C166" s="13" t="str">
        <f>HYPERLINK("http://foursquare.com/v/4cdb004b4006a1433d84d5b2","Atammayatarama Buddhist Monastery ")</f>
        <v>Atammayatarama Buddhist Monastery </v>
      </c>
    </row>
    <row r="167">
      <c r="A167" s="12" t="s">
        <v>3220</v>
      </c>
      <c r="B167" s="12"/>
      <c r="C167" s="13" t="str">
        <f>HYPERLINK("http://foursquare.com/v/4d719380d976236a8111f978","Pho Vina ")</f>
        <v>Pho Vina </v>
      </c>
    </row>
    <row r="168">
      <c r="A168" s="12" t="s">
        <v>3221</v>
      </c>
      <c r="B168" s="12"/>
      <c r="C168" s="13" t="str">
        <f>HYPERLINK("http://foursquare.com/v/4edaa0a10039e227b7ab7c6c","The Source at Luther Burbank Park ")</f>
        <v>The Source at Luther Burbank Park </v>
      </c>
    </row>
    <row r="169">
      <c r="A169" s="12" t="s">
        <v>3222</v>
      </c>
      <c r="B169" s="12"/>
      <c r="C169" s="13" t="str">
        <f>HYPERLINK("http://foursquare.com/v/4ca51e62931bb60c553787e2","Enatai Park ")</f>
        <v>Enatai Park </v>
      </c>
    </row>
    <row r="170">
      <c r="A170" s="12" t="s">
        <v>3223</v>
      </c>
      <c r="B170" s="12"/>
      <c r="C170" s="13" t="str">
        <f>HYPERLINK("http://foursquare.com/v/4b25241cf964a520c76c24e3","Asian Food Center ")</f>
        <v>Asian Food Center </v>
      </c>
    </row>
    <row r="171">
      <c r="A171" s="12" t="s">
        <v>3224</v>
      </c>
      <c r="B171" s="12"/>
      <c r="C171" s="13" t="str">
        <f>HYPERLINK("http://foursquare.com/v/4dbddcaf43a1d8504bb0ea4b","Cascara Circle Park ")</f>
        <v>Cascara Circle Park </v>
      </c>
    </row>
    <row r="172">
      <c r="A172" s="12" t="s">
        <v>3225</v>
      </c>
      <c r="B172" s="12"/>
      <c r="C172" s="13" t="str">
        <f>HYPERLINK("http://foursquare.com/v/5259c674498e7f80d8ecbe5b","92nd Street Park ")</f>
        <v>92nd Street Park </v>
      </c>
    </row>
    <row r="173">
      <c r="A173" s="12" t="s">
        <v>3226</v>
      </c>
      <c r="B173" s="12"/>
      <c r="C173" s="13" t="str">
        <f>HYPERLINK("http://foursquare.com/v/4ac1a30df964a520959720e3","North Kirkland Community Center &amp; Park ")</f>
        <v>North Kirkland Community Center &amp; Park </v>
      </c>
    </row>
    <row r="174">
      <c r="A174" s="12" t="s">
        <v>3227</v>
      </c>
      <c r="B174" s="12"/>
      <c r="C174" s="13" t="str">
        <f>HYPERLINK("http://foursquare.com/v/490d85a7f964a52063521fe3","Luther Burbank Park ")</f>
        <v>Luther Burbank Park </v>
      </c>
    </row>
    <row r="175">
      <c r="A175" s="12" t="s">
        <v>3228</v>
      </c>
      <c r="B175" s="12"/>
      <c r="C175" s="13" t="str">
        <f>HYPERLINK("http://foursquare.com/v/5bbfe2ee968f31002ce96a57","Kaiser Permanente Parking Garage ")</f>
        <v>Kaiser Permanente Parking Garage </v>
      </c>
    </row>
    <row r="176">
      <c r="A176" s="12" t="s">
        <v>3229</v>
      </c>
      <c r="B176" s="12"/>
      <c r="C176" s="13" t="str">
        <f>HYPERLINK("http://foursquare.com/v/51743ee2e4b054415eada432","Blue Parking Lot - Washington State Fair ")</f>
        <v>Blue Parking Lot - Washington State Fair </v>
      </c>
    </row>
    <row r="177">
      <c r="A177" s="12" t="s">
        <v>3230</v>
      </c>
      <c r="B177" s="12"/>
      <c r="C177" s="13" t="str">
        <f>HYPERLINK("http://foursquare.com/v/52336ed211d26cb3298292c3","Livestock Barn M - Washington State Fair ")</f>
        <v>Livestock Barn M - Washington State Fair </v>
      </c>
    </row>
    <row r="178">
      <c r="A178" s="12" t="s">
        <v>3231</v>
      </c>
      <c r="B178" s="12"/>
      <c r="C178" s="13" t="str">
        <f>HYPERLINK("http://foursquare.com/v/4aa9ac64f964a520cd5420e3","Trader Joe's ")</f>
        <v>Trader Joe's </v>
      </c>
    </row>
    <row r="179">
      <c r="A179" s="12" t="s">
        <v>3232</v>
      </c>
      <c r="B179" s="12"/>
      <c r="C179" s="13" t="str">
        <f>HYPERLINK("http://foursquare.com/v/4a010c08f964a520d1701fe3","KCLS Bellevue Library ")</f>
        <v>KCLS Bellevue Library </v>
      </c>
    </row>
    <row r="180">
      <c r="A180" s="12" t="s">
        <v>3233</v>
      </c>
      <c r="B180" s="12"/>
      <c r="C180" s="13" t="str">
        <f>HYPERLINK("http://foursquare.com/v/4a41c902f964a5209aa51fe3","Uwajimaya ")</f>
        <v>Uwajimaya </v>
      </c>
    </row>
    <row r="181">
      <c r="A181" s="12" t="s">
        <v>3234</v>
      </c>
      <c r="B181" s="12"/>
      <c r="C181" s="13" t="str">
        <f>HYPERLINK("http://foursquare.com/v/4a91cc00f964a520d91b20e3","Lake Sammamish State Park ")</f>
        <v>Lake Sammamish State Park </v>
      </c>
    </row>
    <row r="182">
      <c r="A182" s="12" t="s">
        <v>3235</v>
      </c>
      <c r="B182" s="12"/>
      <c r="C182" s="13" t="str">
        <f t="shared" ref="C182:C183" si="6">HYPERLINK("http://foursquare.com/v/4a010c08f964a520d1701fe3","KCLS Bellevue Library ")</f>
        <v>KCLS Bellevue Library </v>
      </c>
    </row>
    <row r="183">
      <c r="A183" s="12" t="s">
        <v>3236</v>
      </c>
      <c r="B183" s="12"/>
      <c r="C183" s="13" t="str">
        <f t="shared" si="6"/>
        <v>KCLS Bellevue Library </v>
      </c>
    </row>
    <row r="184">
      <c r="A184" s="12" t="s">
        <v>3237</v>
      </c>
      <c r="B184" s="12"/>
      <c r="C184" s="13" t="str">
        <f>HYPERLINK("http://foursquare.com/v/59444b89da70806450e850b9","W Bellevue ")</f>
        <v>W Bellevue </v>
      </c>
    </row>
    <row r="185">
      <c r="A185" s="12" t="s">
        <v>3238</v>
      </c>
      <c r="B185" s="12"/>
      <c r="C185" s="13" t="str">
        <f>HYPERLINK("http://foursquare.com/v/50ac0ffb6ebbe077009826c5","QFC ")</f>
        <v>QFC </v>
      </c>
    </row>
    <row r="186">
      <c r="A186" s="12" t="s">
        <v>3239</v>
      </c>
      <c r="B186" s="12"/>
      <c r="C186" s="13" t="str">
        <f>HYPERLINK("http://foursquare.com/v/45f555cef964a5200e441fe3","Seattle-Tacoma International Airport (SEA) ")</f>
        <v>Seattle-Tacoma International Airport (SEA) </v>
      </c>
    </row>
    <row r="187">
      <c r="A187" s="12" t="s">
        <v>3240</v>
      </c>
      <c r="B187" s="12"/>
      <c r="C187" s="13" t="str">
        <f>HYPERLINK("http://foursquare.com/v/572e44a1498eb6298194d6b8","The Club at SEA ")</f>
        <v>The Club at SEA </v>
      </c>
    </row>
    <row r="188">
      <c r="A188" s="12" t="s">
        <v>3241</v>
      </c>
      <c r="B188" s="12"/>
      <c r="C188" s="13" t="str">
        <f>HYPERLINK("http://foursquare.com/v/4aa9dde9f964a520755520e3","Milwaukee Mitchell International Airport (MKE) ")</f>
        <v>Milwaukee Mitchell International Airport (MKE) </v>
      </c>
    </row>
    <row r="189">
      <c r="A189" s="12" t="s">
        <v>3242</v>
      </c>
      <c r="B189" s="12"/>
      <c r="C189" s="13" t="str">
        <f>HYPERLINK("http://foursquare.com/v/4c376f352c8020a176038900","Cedar Valley Cheese Store ")</f>
        <v>Cedar Valley Cheese Store </v>
      </c>
    </row>
    <row r="190">
      <c r="A190" s="12" t="s">
        <v>3243</v>
      </c>
      <c r="B190" s="12"/>
      <c r="C190" s="13" t="str">
        <f>HYPERLINK("http://foursquare.com/v/4adb6477f964a520e22621e3","Apple Bayshore ")</f>
        <v>Apple Bayshore </v>
      </c>
    </row>
    <row r="191">
      <c r="A191" s="12" t="s">
        <v>3244</v>
      </c>
      <c r="B191" s="12"/>
      <c r="C191" s="13" t="str">
        <f>HYPERLINK("http://foursquare.com/v/4e39dbaafa766e76ed3c7584","Bayshore Fountain ")</f>
        <v>Bayshore Fountain </v>
      </c>
    </row>
    <row r="192">
      <c r="A192" s="12" t="s">
        <v>3245</v>
      </c>
      <c r="B192" s="12"/>
      <c r="C192" s="13" t="str">
        <f>HYPERLINK("http://foursquare.com/v/519b7fa61d9f0811e958c8ae","Potbelly Sandwich Shop ")</f>
        <v>Potbelly Sandwich Shop </v>
      </c>
    </row>
    <row r="193">
      <c r="A193" s="12" t="s">
        <v>3246</v>
      </c>
      <c r="B193" s="12"/>
      <c r="C193" s="13" t="str">
        <f>HYPERLINK("http://foursquare.com/v/609b632430f78255e7872318","Mitchell Field ")</f>
        <v>Mitchell Field </v>
      </c>
    </row>
    <row r="194">
      <c r="A194" s="12" t="s">
        <v>3247</v>
      </c>
      <c r="B194" s="12"/>
      <c r="C194" s="13" t="str">
        <f>HYPERLINK("http://foursquare.com/v/4b8ea6fdf964a5209d2e33e3","Yakima Fruit Market ")</f>
        <v>Yakima Fruit Market </v>
      </c>
    </row>
    <row r="195">
      <c r="A195" s="12" t="s">
        <v>3248</v>
      </c>
      <c r="B195" s="12"/>
      <c r="C195" s="13" t="str">
        <f>HYPERLINK("http://foursquare.com/v/5bbfe2ee968f31002ce96a57","Kaiser Permanente Parking Garage ")</f>
        <v>Kaiser Permanente Parking Garage </v>
      </c>
    </row>
    <row r="196">
      <c r="A196" s="12" t="s">
        <v>3249</v>
      </c>
      <c r="B196" s="12"/>
      <c r="C196" s="13" t="str">
        <f>HYPERLINK("http://foursquare.com/v/4a010c08f964a520d1701fe3","KCLS Bellevue Library ")</f>
        <v>KCLS Bellevue Library </v>
      </c>
    </row>
    <row r="197">
      <c r="A197" s="12" t="s">
        <v>3250</v>
      </c>
      <c r="B197" s="12"/>
      <c r="C197" s="13" t="str">
        <f>HYPERLINK("http://foursquare.com/v/421a7600f964a5209a1f1fe3","Julia's in Wallingford ")</f>
        <v>Julia's in Wallingford </v>
      </c>
    </row>
    <row r="198">
      <c r="A198" s="12" t="s">
        <v>3251</v>
      </c>
      <c r="B198" s="12"/>
      <c r="C198" s="13" t="str">
        <f>HYPERLINK("http://foursquare.com/v/57dde06c498e779b8196ab42","Ezell's Famous Chicken ")</f>
        <v>Ezell's Famous Chicken </v>
      </c>
    </row>
    <row r="199">
      <c r="A199" s="12" t="s">
        <v>3252</v>
      </c>
      <c r="B199" s="12"/>
      <c r="C199" s="13" t="str">
        <f>HYPERLINK("http://foursquare.com/v/54275fb7498ea888468fe70b","Tavern Hall ")</f>
        <v>Tavern Hall </v>
      </c>
    </row>
    <row r="200">
      <c r="A200" s="12" t="s">
        <v>3253</v>
      </c>
      <c r="B200" s="12"/>
      <c r="C200" s="13" t="str">
        <f>HYPERLINK("http://foursquare.com/v/40b3de00f964a52041001fe3","The Goose Pub &amp; Eatery ")</f>
        <v>The Goose Pub &amp; Eatery </v>
      </c>
    </row>
    <row r="201">
      <c r="A201" s="12" t="s">
        <v>3254</v>
      </c>
      <c r="B201" s="12"/>
      <c r="C201" s="13" t="str">
        <f>HYPERLINK("http://foursquare.com/v/4fb12860e4b0f4503b2078b1","UW Medical Center Hospital Expansion ")</f>
        <v>UW Medical Center Hospital Expansion </v>
      </c>
    </row>
    <row r="202">
      <c r="A202" s="12" t="s">
        <v>3255</v>
      </c>
      <c r="B202" s="12"/>
      <c r="C202" s="13" t="str">
        <f>HYPERLINK("http://foursquare.com/v/4b99d38ff964a520869335e3","Rainier BBQ &amp; Restaurant ")</f>
        <v>Rainier BBQ &amp; Restaurant </v>
      </c>
    </row>
    <row r="203">
      <c r="A203" s="12" t="s">
        <v>3256</v>
      </c>
      <c r="B203" s="12"/>
      <c r="C203" s="13" t="str">
        <f>HYPERLINK("http://foursquare.com/v/43ea3fd4f964a520292f1fe3","Stevens Pass Ski Area ")</f>
        <v>Stevens Pass Ski Area </v>
      </c>
    </row>
    <row r="204">
      <c r="A204" s="12" t="s">
        <v>3257</v>
      </c>
      <c r="B204" s="12"/>
      <c r="C204" s="13" t="str">
        <f>HYPERLINK("http://foursquare.com/v/59adb26b8a6f173536335297","Yodelin Broth ")</f>
        <v>Yodelin Broth </v>
      </c>
    </row>
    <row r="205">
      <c r="A205" s="12" t="s">
        <v>3258</v>
      </c>
      <c r="B205" s="12"/>
      <c r="C205" s="13" t="str">
        <f>HYPERLINK("http://foursquare.com/v/5b8b4938835c9a0039e7f65f","Tesla Supercharger ")</f>
        <v>Tesla Supercharger </v>
      </c>
    </row>
    <row r="206">
      <c r="A206" s="12" t="s">
        <v>3259</v>
      </c>
      <c r="B206" s="12"/>
      <c r="C206" s="13" t="str">
        <f>HYPERLINK("http://foursquare.com/v/58335140dfa6ff47799bfdbf","Capital One Café ")</f>
        <v>Capital One Café </v>
      </c>
    </row>
    <row r="207">
      <c r="A207" s="12" t="s">
        <v>3260</v>
      </c>
      <c r="B207" s="12"/>
      <c r="C207" s="13" t="str">
        <f>HYPERLINK("http://foursquare.com/v/4f88a0bce4b0abaa01f029fe","Cedar River Trail Park ")</f>
        <v>Cedar River Trail Park </v>
      </c>
    </row>
    <row r="208">
      <c r="A208" s="12" t="s">
        <v>3261</v>
      </c>
      <c r="B208" s="12"/>
      <c r="C208" s="13" t="str">
        <f>HYPERLINK("http://foursquare.com/v/53067974498e6a7af0de49a1","Pho Ever ")</f>
        <v>Pho Ever </v>
      </c>
    </row>
    <row r="209">
      <c r="A209" s="12" t="s">
        <v>3262</v>
      </c>
      <c r="B209" s="12"/>
      <c r="C209" s="13" t="str">
        <f>HYPERLINK("http://foursquare.com/v/58014b2638fa472b0c386df7","Trader Joe's ")</f>
        <v>Trader Joe's </v>
      </c>
    </row>
    <row r="210">
      <c r="A210" s="12" t="s">
        <v>3263</v>
      </c>
      <c r="B210" s="12"/>
      <c r="C210" s="13" t="str">
        <f>HYPERLINK("http://foursquare.com/v/578b01f0498e37a834305f2f","IKEA Bistro ")</f>
        <v>IKEA Bistro </v>
      </c>
    </row>
    <row r="211">
      <c r="A211" s="12" t="s">
        <v>3264</v>
      </c>
      <c r="B211" s="12"/>
      <c r="C211" s="13" t="str">
        <f>HYPERLINK("http://foursquare.com/v/5cfd9fc53fcee8002ca86b11","Como ")</f>
        <v>Como </v>
      </c>
    </row>
    <row r="212">
      <c r="A212" s="12" t="s">
        <v>3265</v>
      </c>
      <c r="B212" s="12"/>
      <c r="C212" s="13" t="str">
        <f>HYPERLINK("http://foursquare.com/v/412fcb00f964a5202d0d1fe3","REI ")</f>
        <v>REI </v>
      </c>
    </row>
    <row r="213">
      <c r="A213" s="12" t="s">
        <v>3266</v>
      </c>
      <c r="B213" s="12"/>
      <c r="C213" s="13" t="str">
        <f>HYPERLINK("http://foursquare.com/v/55d10712498ed192538e8bef","Dairyland ")</f>
        <v>Dairyland </v>
      </c>
    </row>
    <row r="214">
      <c r="A214" s="12" t="s">
        <v>3267</v>
      </c>
      <c r="B214" s="12"/>
      <c r="C214" s="13" t="str">
        <f>HYPERLINK("http://foursquare.com/v/60ac5ce31f6be2578be63dad","Cedar + Elm ")</f>
        <v>Cedar + Elm </v>
      </c>
    </row>
    <row r="215">
      <c r="A215" s="12" t="s">
        <v>3268</v>
      </c>
      <c r="B215" s="12"/>
      <c r="C215" s="13" t="str">
        <f t="shared" ref="C215:C216" si="7">HYPERLINK("http://foursquare.com/v/4afda457f964a5206b2922e3","Crystal Mountain Ski Area ")</f>
        <v>Crystal Mountain Ski Area </v>
      </c>
    </row>
    <row r="216">
      <c r="A216" s="12" t="s">
        <v>3269</v>
      </c>
      <c r="B216" s="12"/>
      <c r="C216" s="13" t="str">
        <f t="shared" si="7"/>
        <v>Crystal Mountain Ski Area </v>
      </c>
    </row>
    <row r="217">
      <c r="A217" s="12" t="s">
        <v>3270</v>
      </c>
      <c r="B217" s="12"/>
      <c r="C217" s="13" t="str">
        <f>HYPERLINK("http://foursquare.com/v/5352ba87498e73b594ae2d38","Hokkaido Ramen Santouka ")</f>
        <v>Hokkaido Ramen Santouka 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12" t="s">
        <v>3271</v>
      </c>
      <c r="B1" s="12"/>
      <c r="C1" s="13" t="str">
        <f t="shared" ref="C1:C2" si="1">HYPERLINK("http://foursquare.com/v/4e04b1612271233b767e01d7","Z-Ultimate Self Defense Studios ")</f>
        <v>Z-Ultimate Self Defense Studios </v>
      </c>
      <c r="F1" s="4" t="s">
        <v>2006</v>
      </c>
      <c r="G1" s="4" t="s">
        <v>2007</v>
      </c>
      <c r="H1" s="5" t="s">
        <v>2008</v>
      </c>
      <c r="I1" s="4" t="s">
        <v>2009</v>
      </c>
      <c r="J1" s="4" t="s">
        <v>2010</v>
      </c>
    </row>
    <row r="2">
      <c r="A2" s="12" t="s">
        <v>3272</v>
      </c>
      <c r="B2" s="12"/>
      <c r="C2" s="13" t="str">
        <f t="shared" si="1"/>
        <v>Z-Ultimate Self Defense Studios </v>
      </c>
      <c r="F2" s="6" t="str">
        <f t="shared" ref="F2:H2" si="2">INDEX(A:C, RANDBETWEEN(1, ROWS(2:117)), RANDBETWEEN(1, COLUMNS(C:C)))</f>
        <v>May 06, 2022 at 10:35AM</v>
      </c>
      <c r="G2" t="str">
        <f t="shared" si="2"/>
        <v/>
      </c>
      <c r="H2" s="15" t="str">
        <f t="shared" si="2"/>
        <v>Koh Samet Pier (ท่าเรือเกาะเสม็ด) </v>
      </c>
      <c r="I2" s="16" t="str">
        <f t="array" ref="I2">INDEX(C:C, RANDBETWEEN(1, ROWS(1:116)), RANDBETWEEN(1, COLUMNS(C:C)))</f>
        <v>Z-Ultimate Self Defense Studios </v>
      </c>
      <c r="J2" t="str">
        <f>CONCATENATE(F2," ",H2)</f>
        <v>May 06, 2022 at 10:35AM Koh Samet Pier (ท่าเรือเกาะเสม็ด) </v>
      </c>
    </row>
    <row r="3">
      <c r="A3" s="12" t="s">
        <v>3273</v>
      </c>
      <c r="B3" s="12"/>
      <c r="C3" s="13" t="str">
        <f>HYPERLINK("http://foursquare.com/v/4cf6a38e2d032c0f1e0375d3","Summit Central ")</f>
        <v>Summit Central </v>
      </c>
    </row>
    <row r="4">
      <c r="A4" s="12" t="s">
        <v>3274</v>
      </c>
      <c r="B4" s="12"/>
      <c r="C4" s="13" t="str">
        <f>HYPERLINK("http://foursquare.com/v/4eed738102d514a36a151057","Central Fire Pit ")</f>
        <v>Central Fire Pit </v>
      </c>
    </row>
    <row r="5">
      <c r="A5" s="12" t="s">
        <v>3274</v>
      </c>
      <c r="B5" s="12"/>
      <c r="C5" s="13" t="str">
        <f>HYPERLINK("http://foursquare.com/v/4cf6a38e2d032c0f1e0375d3","Summit Central ")</f>
        <v>Summit Central </v>
      </c>
    </row>
    <row r="6">
      <c r="A6" s="12" t="s">
        <v>3275</v>
      </c>
      <c r="B6" s="12"/>
      <c r="C6" s="13" t="str">
        <f>HYPERLINK("http://foursquare.com/v/5401304f498e43e77e1af4f9","AutoZone ")</f>
        <v>AutoZone </v>
      </c>
    </row>
    <row r="7">
      <c r="A7" s="12" t="s">
        <v>3276</v>
      </c>
      <c r="B7" s="12"/>
      <c r="C7" s="13" t="str">
        <f>HYPERLINK("http://foursquare.com/v/60e0f56c26f0b0007381a663","National Nordic Museum Gift Shop ")</f>
        <v>National Nordic Museum Gift Shop </v>
      </c>
    </row>
    <row r="8">
      <c r="A8" s="12" t="s">
        <v>3277</v>
      </c>
      <c r="B8" s="12"/>
      <c r="C8" s="13" t="str">
        <f>HYPERLINK("http://foursquare.com/v/45f555cef964a5200e441fe3","Seattle-Tacoma International Airport (SEA) ")</f>
        <v>Seattle-Tacoma International Airport (SEA) </v>
      </c>
    </row>
    <row r="9">
      <c r="A9" s="12" t="s">
        <v>3278</v>
      </c>
      <c r="B9" s="12"/>
      <c r="C9" s="13" t="str">
        <f>HYPERLINK("http://foursquare.com/v/4493522af964a5207c341fe3","Oakland International Airport (OAK) ")</f>
        <v>Oakland International Airport (OAK) </v>
      </c>
    </row>
    <row r="10">
      <c r="A10" s="12" t="s">
        <v>3279</v>
      </c>
      <c r="B10" s="12"/>
      <c r="C10" s="13" t="str">
        <f>HYPERLINK("http://foursquare.com/v/4aed9bb3f964a520d5cd21e3","Palm Springs International Airport (PSP) ")</f>
        <v>Palm Springs International Airport (PSP) </v>
      </c>
    </row>
    <row r="11">
      <c r="A11" s="12" t="s">
        <v>3280</v>
      </c>
      <c r="B11" s="12"/>
      <c r="C11" s="13" t="str">
        <f>HYPERLINK("http://foursquare.com/v/501323ecc84c561e8ccf4caa","Smokin' Burgers &amp; Lounge ")</f>
        <v>Smokin' Burgers &amp; Lounge </v>
      </c>
    </row>
    <row r="12">
      <c r="A12" s="12" t="s">
        <v>3280</v>
      </c>
      <c r="B12" s="12"/>
      <c r="C12" s="13" t="str">
        <f>HYPERLINK("http://foursquare.com/v/4b110960f964a520a47723e3","Ralphs ")</f>
        <v>Ralphs </v>
      </c>
    </row>
    <row r="13">
      <c r="A13" s="12" t="s">
        <v>3281</v>
      </c>
      <c r="B13" s="12"/>
      <c r="C13" s="13" t="str">
        <f>HYPERLINK("http://foursquare.com/v/4cbccd164352a1cd4f35a0f5","Oasis Visitor Center, Joshua Tree National Park ")</f>
        <v>Oasis Visitor Center, Joshua Tree National Park </v>
      </c>
    </row>
    <row r="14">
      <c r="A14" s="12" t="s">
        <v>3282</v>
      </c>
      <c r="B14" s="12"/>
      <c r="C14" s="13" t="str">
        <f>HYPERLINK("http://foursquare.com/v/4cf6f5d655e137047a04d0b6","Joshua Tree Saloon ")</f>
        <v>Joshua Tree Saloon </v>
      </c>
    </row>
    <row r="15">
      <c r="A15" s="12" t="s">
        <v>3283</v>
      </c>
      <c r="B15" s="12"/>
      <c r="C15" s="13" t="str">
        <f>HYPERLINK("http://foursquare.com/v/4c60a0a513791b8dfe1f50af","Rib Co ")</f>
        <v>Rib Co </v>
      </c>
    </row>
    <row r="16">
      <c r="A16" s="12" t="s">
        <v>3284</v>
      </c>
      <c r="B16" s="12"/>
      <c r="C16" s="13" t="str">
        <f>HYPERLINK("http://foursquare.com/v/4c3caae54bc9a593affcd271","Palm Springs Auto Wash ")</f>
        <v>Palm Springs Auto Wash </v>
      </c>
    </row>
    <row r="17">
      <c r="A17" s="12" t="s">
        <v>3285</v>
      </c>
      <c r="B17" s="12"/>
      <c r="C17" s="13" t="str">
        <f>HYPERLINK("http://foursquare.com/v/4b77e196f964a52070ad2ee3","SHAG The Store ")</f>
        <v>SHAG The Store </v>
      </c>
    </row>
    <row r="18">
      <c r="A18" s="12" t="s">
        <v>3286</v>
      </c>
      <c r="B18" s="12"/>
      <c r="C18" s="13" t="str">
        <f t="shared" ref="C18:C19" si="3">HYPERLINK("http://foursquare.com/v/4e8d1c1ad5fbbbb6b2f4c063","Cafeteria 15L ")</f>
        <v>Cafeteria 15L </v>
      </c>
    </row>
    <row r="19">
      <c r="A19" s="12" t="s">
        <v>3287</v>
      </c>
      <c r="B19" s="12"/>
      <c r="C19" s="13" t="str">
        <f t="shared" si="3"/>
        <v>Cafeteria 15L </v>
      </c>
    </row>
    <row r="20">
      <c r="A20" s="12" t="s">
        <v>3288</v>
      </c>
      <c r="B20" s="12"/>
      <c r="C20" s="13" t="str">
        <f>HYPERLINK("http://foursquare.com/v/49f40719f964a520f76a1fe3","Sacramento International Airport (SMF) ")</f>
        <v>Sacramento International Airport (SMF) </v>
      </c>
    </row>
    <row r="21">
      <c r="A21" s="12" t="s">
        <v>3289</v>
      </c>
      <c r="B21" s="12"/>
      <c r="C21" s="13" t="str">
        <f>HYPERLINK("http://foursquare.com/v/45f555cef964a5200e441fe3","Seattle-Tacoma International Airport (SEA) ")</f>
        <v>Seattle-Tacoma International Airport (SEA) </v>
      </c>
    </row>
    <row r="22">
      <c r="A22" s="12" t="s">
        <v>3290</v>
      </c>
      <c r="B22" s="12"/>
      <c r="C22" s="13" t="str">
        <f>HYPERLINK("http://foursquare.com/v/4cf6a38e2d032c0f1e0375d3","Summit Central ")</f>
        <v>Summit Central </v>
      </c>
    </row>
    <row r="23">
      <c r="A23" s="12" t="s">
        <v>3291</v>
      </c>
      <c r="B23" s="12"/>
      <c r="C23" s="13" t="str">
        <f>HYPERLINK("http://foursquare.com/v/4ae3642cf964a520659421e3","Museum of History &amp; Industry (MOHAI) ")</f>
        <v>Museum of History &amp; Industry (MOHAI) </v>
      </c>
    </row>
    <row r="24">
      <c r="A24" s="12" t="s">
        <v>3292</v>
      </c>
      <c r="B24" s="12"/>
      <c r="C24" s="13" t="str">
        <f>HYPERLINK("http://foursquare.com/v/57773d27cd10013c3adc04c9","White Swan ")</f>
        <v>White Swan </v>
      </c>
    </row>
    <row r="25">
      <c r="A25" s="12" t="s">
        <v>3293</v>
      </c>
      <c r="B25" s="12"/>
      <c r="C25" s="13" t="str">
        <f>HYPERLINK("http://foursquare.com/v/5c688f6fc0f163002ca74994","Five Stones Coffee Co ")</f>
        <v>Five Stones Coffee Co </v>
      </c>
    </row>
    <row r="26">
      <c r="A26" s="12" t="s">
        <v>3294</v>
      </c>
      <c r="B26" s="12"/>
      <c r="C26" s="13" t="str">
        <f>HYPERLINK("http://foursquare.com/v/4a41c902f964a5209aa51fe3","Uwajimaya ")</f>
        <v>Uwajimaya </v>
      </c>
    </row>
    <row r="27">
      <c r="A27" s="12" t="s">
        <v>3295</v>
      </c>
      <c r="B27" s="12"/>
      <c r="C27" s="13" t="str">
        <f>HYPERLINK("http://foursquare.com/v/5bf229370802d4002c1d66f9","Tesla Supercharger ")</f>
        <v>Tesla Supercharger </v>
      </c>
    </row>
    <row r="28">
      <c r="A28" s="12" t="s">
        <v>3296</v>
      </c>
      <c r="B28" s="12"/>
      <c r="C28" s="13" t="str">
        <f>HYPERLINK("http://foursquare.com/v/4aa76f34f964a520d64c20e3","Cypress Mountain Ski Area ")</f>
        <v>Cypress Mountain Ski Area </v>
      </c>
    </row>
    <row r="29">
      <c r="A29" s="12" t="s">
        <v>3297</v>
      </c>
      <c r="B29" s="12"/>
      <c r="C29" s="13" t="str">
        <f>HYPERLINK("http://foursquare.com/v/4bb6570f6edc76b02ac8301c","Crazy Raven Bar &amp; Grill ")</f>
        <v>Crazy Raven Bar &amp; Grill </v>
      </c>
    </row>
    <row r="30">
      <c r="A30" s="12" t="s">
        <v>3298</v>
      </c>
      <c r="B30" s="12"/>
      <c r="C30" s="13" t="str">
        <f>HYPERLINK("http://foursquare.com/v/4bd88c2851170f47af9933e4","Quilchena Park ")</f>
        <v>Quilchena Park </v>
      </c>
    </row>
    <row r="31">
      <c r="A31" s="12" t="s">
        <v>3299</v>
      </c>
      <c r="B31" s="12"/>
      <c r="C31" s="13" t="str">
        <f>HYPERLINK("http://foursquare.com/v/4b33ffc7f964a520ac2325e3","Save-On-Foods ")</f>
        <v>Save-On-Foods </v>
      </c>
    </row>
    <row r="32">
      <c r="A32" s="12" t="s">
        <v>3300</v>
      </c>
      <c r="B32" s="12"/>
      <c r="C32" s="13" t="str">
        <f>HYPERLINK("http://foursquare.com/v/4aab139cf964a520d05820e3","Peace Arch Border Crossing ")</f>
        <v>Peace Arch Border Crossing </v>
      </c>
    </row>
    <row r="33">
      <c r="A33" s="12" t="s">
        <v>3301</v>
      </c>
      <c r="B33" s="12"/>
      <c r="C33" s="13" t="str">
        <f>HYPERLINK("http://foursquare.com/v/4cf6a38e2d032c0f1e0375d3","Summit Central ")</f>
        <v>Summit Central </v>
      </c>
    </row>
    <row r="34">
      <c r="A34" s="12" t="s">
        <v>3302</v>
      </c>
      <c r="B34" s="12"/>
      <c r="C34" s="13" t="str">
        <f>HYPERLINK("http://foursquare.com/v/4b46800cf964a520b32226e3","Discount Tire ")</f>
        <v>Discount Tire </v>
      </c>
    </row>
    <row r="35">
      <c r="A35" s="12" t="s">
        <v>3303</v>
      </c>
      <c r="B35" s="12"/>
      <c r="C35" s="13" t="str">
        <f>HYPERLINK("http://foursquare.com/v/4a6e52d8f964a52081d41fe3","The Home Depot ")</f>
        <v>The Home Depot </v>
      </c>
    </row>
    <row r="36">
      <c r="A36" s="12" t="s">
        <v>3304</v>
      </c>
      <c r="B36" s="12"/>
      <c r="C36" s="13" t="str">
        <f>HYPERLINK("http://foursquare.com/v/5de064654cfa7400080ff6b7","Tesla Supercharger ")</f>
        <v>Tesla Supercharger </v>
      </c>
    </row>
    <row r="37">
      <c r="A37" s="12" t="s">
        <v>3305</v>
      </c>
      <c r="B37" s="12"/>
      <c r="C37" s="13" t="str">
        <f>HYPERLINK("http://foursquare.com/v/4afda457f964a5206b2922e3","Crystal Mountain Ski Area ")</f>
        <v>Crystal Mountain Ski Area </v>
      </c>
    </row>
    <row r="38">
      <c r="A38" s="12" t="s">
        <v>3306</v>
      </c>
      <c r="B38" s="12"/>
      <c r="C38" s="13" t="str">
        <f>HYPERLINK("http://foursquare.com/v/4ff1e87ce4b08abf25382a72","Crystal Mountain Summit ")</f>
        <v>Crystal Mountain Summit </v>
      </c>
    </row>
    <row r="39">
      <c r="A39" s="12" t="s">
        <v>3307</v>
      </c>
      <c r="B39" s="12"/>
      <c r="C39" s="13" t="str">
        <f>HYPERLINK("http://foursquare.com/v/4f322c5519836c91c7bd5de4","Alpine Inn Restaurant ")</f>
        <v>Alpine Inn Restaurant </v>
      </c>
    </row>
    <row r="40">
      <c r="A40" s="12" t="s">
        <v>3308</v>
      </c>
      <c r="B40" s="12"/>
      <c r="C40" s="13" t="str">
        <f>HYPERLINK("http://foursquare.com/v/4d9e1e1e48b6224be9a5349f","CM Mt. Rainier Gondola ")</f>
        <v>CM Mt. Rainier Gondola </v>
      </c>
    </row>
    <row r="41">
      <c r="A41" s="12" t="s">
        <v>3309</v>
      </c>
      <c r="B41" s="12"/>
      <c r="C41" s="13" t="str">
        <f>HYPERLINK("http://foursquare.com/v/43519800f964a520bd281fe3","IKEA ")</f>
        <v>IKEA </v>
      </c>
    </row>
    <row r="42">
      <c r="A42" s="12" t="s">
        <v>3310</v>
      </c>
      <c r="B42" s="12"/>
      <c r="C42" s="13" t="str">
        <f>HYPERLINK("http://foursquare.com/v/4b5a5b90f964a520b9bf28e3","Mod Pizza ")</f>
        <v>Mod Pizza </v>
      </c>
    </row>
    <row r="43">
      <c r="A43" s="12" t="s">
        <v>3311</v>
      </c>
      <c r="B43" s="12"/>
      <c r="C43" s="13" t="str">
        <f>HYPERLINK("http://foursquare.com/v/4d979dde97d06ea8d7f6200b","Silver Fir ")</f>
        <v>Silver Fir </v>
      </c>
    </row>
    <row r="44">
      <c r="A44" s="12" t="s">
        <v>3312</v>
      </c>
      <c r="B44" s="12"/>
      <c r="C44" s="13" t="str">
        <f>HYPERLINK("http://foursquare.com/v/57d448c2498e0e681bc51152","Kelsey Creek Farm ")</f>
        <v>Kelsey Creek Farm </v>
      </c>
    </row>
    <row r="45">
      <c r="A45" s="12" t="s">
        <v>3313</v>
      </c>
      <c r="B45" s="12"/>
      <c r="C45" s="13" t="str">
        <f>HYPERLINK("http://foursquare.com/v/51733297498e0949c29e0838","Roozengaarde Tulip Farm ")</f>
        <v>Roozengaarde Tulip Farm </v>
      </c>
    </row>
    <row r="46">
      <c r="A46" s="12" t="s">
        <v>3314</v>
      </c>
      <c r="B46" s="12"/>
      <c r="C46" s="13" t="str">
        <f>HYPERLINK("http://foursquare.com/v/4b155088f964a520beb023e3","T-Mobile Park ")</f>
        <v>T-Mobile Park </v>
      </c>
    </row>
    <row r="47">
      <c r="A47" s="12" t="s">
        <v>3315</v>
      </c>
      <c r="B47" s="12"/>
      <c r="C47" s="13" t="str">
        <f>HYPERLINK("http://foursquare.com/v/4bca551368f976b00f415f83","Terrace Club ")</f>
        <v>Terrace Club </v>
      </c>
    </row>
    <row r="48">
      <c r="A48" s="12" t="s">
        <v>3316</v>
      </c>
      <c r="B48" s="12"/>
      <c r="C48" s="13" t="str">
        <f>HYPERLINK("http://foursquare.com/v/4bad2ed2f964a520aa363be3","Juel Community Park ")</f>
        <v>Juel Community Park </v>
      </c>
    </row>
    <row r="49">
      <c r="A49" s="12" t="s">
        <v>3317</v>
      </c>
      <c r="B49" s="12"/>
      <c r="C49" s="13" t="str">
        <f>HYPERLINK("http://foursquare.com/v/4b4f6ed3f964a520650627e3","Kaiser Permanente Hospital ")</f>
        <v>Kaiser Permanente Hospital </v>
      </c>
    </row>
    <row r="50">
      <c r="A50" s="12" t="s">
        <v>3318</v>
      </c>
      <c r="B50" s="12"/>
      <c r="C50" s="13" t="str">
        <f>HYPERLINK("http://foursquare.com/v/4bc63f38db8fa593cb069c37","Lake Hills Park ")</f>
        <v>Lake Hills Park </v>
      </c>
    </row>
    <row r="51">
      <c r="A51" s="12" t="s">
        <v>3319</v>
      </c>
      <c r="B51" s="12"/>
      <c r="C51" s="13" t="str">
        <f>HYPERLINK("http://foursquare.com/v/5a6caa177564f7473f085795","Tesla Supercharger ")</f>
        <v>Tesla Supercharger </v>
      </c>
    </row>
    <row r="52">
      <c r="A52" s="12" t="s">
        <v>3320</v>
      </c>
      <c r="B52" s="12"/>
      <c r="C52" s="13" t="str">
        <f>HYPERLINK("http://foursquare.com/v/4a9817ddf964a5206f2a20e3","Mercer Slough Environmental Education Center ")</f>
        <v>Mercer Slough Environmental Education Center </v>
      </c>
    </row>
    <row r="53">
      <c r="A53" s="12" t="s">
        <v>3321</v>
      </c>
      <c r="B53" s="12"/>
      <c r="C53" s="13" t="str">
        <f>HYPERLINK("http://foursquare.com/v/55d5077f498ee25b6a3ebf37","The Cloud Room ")</f>
        <v>The Cloud Room </v>
      </c>
    </row>
    <row r="54">
      <c r="A54" s="12" t="s">
        <v>3322</v>
      </c>
      <c r="B54" s="12"/>
      <c r="C54" s="13" t="str">
        <f>HYPERLINK("http://foursquare.com/v/4b76dec5f964a520c9652ee3","Robinswood Park ")</f>
        <v>Robinswood Park </v>
      </c>
    </row>
    <row r="55">
      <c r="A55" s="12" t="s">
        <v>3323</v>
      </c>
      <c r="B55" s="12"/>
      <c r="C55" s="13" t="str">
        <f>HYPERLINK("http://foursquare.com/v/4d4c907ae4fd6ea8c700c561","Phantom Lake ")</f>
        <v>Phantom Lake </v>
      </c>
    </row>
    <row r="56">
      <c r="A56" s="12" t="s">
        <v>3324</v>
      </c>
      <c r="B56" s="12"/>
      <c r="C56" s="13" t="str">
        <f>HYPERLINK("http://foursquare.com/v/5c9e5829e97dfb002c9e70d0","Vertex Arena ")</f>
        <v>Vertex Arena </v>
      </c>
    </row>
    <row r="57">
      <c r="A57" s="12" t="s">
        <v>3325</v>
      </c>
      <c r="B57" s="12"/>
      <c r="C57" s="13" t="str">
        <f>HYPERLINK("http://foursquare.com/v/4a90bfc5f964a520591920e3","Nibbana -  A Thai Cookery ")</f>
        <v>Nibbana -  A Thai Cookery </v>
      </c>
    </row>
    <row r="58">
      <c r="A58" s="12" t="s">
        <v>3326</v>
      </c>
      <c r="B58" s="12"/>
      <c r="C58" s="13" t="str">
        <f>HYPERLINK("http://foursquare.com/v/50992b08e4b071356dc73c1a","WallyPark Valet Parking Only ")</f>
        <v>WallyPark Valet Parking Only </v>
      </c>
    </row>
    <row r="59">
      <c r="A59" s="12" t="s">
        <v>3327</v>
      </c>
      <c r="B59" s="12"/>
      <c r="C59" s="13" t="str">
        <f>HYPERLINK("http://foursquare.com/v/45f555cef964a5200e441fe3","Seattle-Tacoma International Airport (SEA) ")</f>
        <v>Seattle-Tacoma International Airport (SEA) </v>
      </c>
    </row>
    <row r="60">
      <c r="A60" s="12" t="s">
        <v>3328</v>
      </c>
      <c r="B60" s="12"/>
      <c r="C60" s="13" t="str">
        <f>HYPERLINK("http://foursquare.com/v/4a5a77a4f964a52062ba1fe3","Chicago O'Hare International Airport (ORD) ")</f>
        <v>Chicago O'Hare International Airport (ORD) </v>
      </c>
    </row>
    <row r="61">
      <c r="A61" s="12" t="s">
        <v>3329</v>
      </c>
      <c r="B61" s="12"/>
      <c r="C61" s="13" t="str">
        <f>HYPERLINK("http://foursquare.com/v/4c6c23cad68a9c74587a666b","Asian International Market ")</f>
        <v>Asian International Market </v>
      </c>
    </row>
    <row r="62">
      <c r="A62" s="12" t="s">
        <v>3330</v>
      </c>
      <c r="B62" s="12"/>
      <c r="C62" s="13" t="str">
        <f>HYPERLINK("http://foursquare.com/v/4b570473f964a520012328e3","Thai Bar-B-Que ")</f>
        <v>Thai Bar-B-Que </v>
      </c>
    </row>
    <row r="63">
      <c r="A63" s="12" t="s">
        <v>3331</v>
      </c>
      <c r="B63" s="12"/>
      <c r="C63" s="13" t="str">
        <f>HYPERLINK("http://foursquare.com/v/4c1cf378eac020a1c54f47c2","ALDI ")</f>
        <v>ALDI </v>
      </c>
    </row>
    <row r="64">
      <c r="A64" s="12" t="s">
        <v>3332</v>
      </c>
      <c r="B64" s="12"/>
      <c r="C64" s="13" t="str">
        <f>HYPERLINK("http://foursquare.com/v/4c2fd915a0ced13a4952116e","KOHN&amp;apos;S CITGO ")</f>
        <v>KOHN&amp;apos;S CITGO </v>
      </c>
    </row>
    <row r="65">
      <c r="A65" s="12" t="s">
        <v>3333</v>
      </c>
      <c r="B65" s="12"/>
      <c r="C65" s="13" t="str">
        <f>HYPERLINK("http://foursquare.com/v/4c181de7838020a1cbc5e361","Big Joes ")</f>
        <v>Big Joes </v>
      </c>
    </row>
    <row r="66">
      <c r="A66" s="12" t="s">
        <v>3334</v>
      </c>
      <c r="B66" s="12"/>
      <c r="C66" s="13" t="str">
        <f>HYPERLINK("http://foursquare.com/v/4dce757822718eed7a37ddee","Froedtert St. Joseph's Hospital ")</f>
        <v>Froedtert St. Joseph's Hospital </v>
      </c>
    </row>
    <row r="67">
      <c r="A67" s="12" t="s">
        <v>3335</v>
      </c>
      <c r="B67" s="12"/>
      <c r="C67" s="13" t="str">
        <f>HYPERLINK("http://foursquare.com/v/4adf9776f964a520e87b21e3","Target ")</f>
        <v>Target </v>
      </c>
    </row>
    <row r="68">
      <c r="A68" s="12" t="s">
        <v>3336</v>
      </c>
      <c r="B68" s="12"/>
      <c r="C68" s="13" t="str">
        <f>HYPERLINK("http://foursquare.com/v/50d50734e4b019a9cfbf8a94","Vietnamese Noodles ")</f>
        <v>Vietnamese Noodles </v>
      </c>
    </row>
    <row r="69">
      <c r="A69" s="12" t="s">
        <v>3337</v>
      </c>
      <c r="B69" s="12"/>
      <c r="C69" s="13" t="str">
        <f>HYPERLINK("http://foursquare.com/v/4d7aae4715ae8eecd1f5390b","Menards ")</f>
        <v>Menards </v>
      </c>
    </row>
    <row r="70">
      <c r="A70" s="12" t="s">
        <v>3338</v>
      </c>
      <c r="B70" s="12"/>
      <c r="C70" s="13" t="str">
        <f>HYPERLINK("http://foursquare.com/v/4dce757822718eed7a37ddee","Froedtert St. Joseph's Hospital ")</f>
        <v>Froedtert St. Joseph's Hospital </v>
      </c>
    </row>
    <row r="71">
      <c r="A71" s="12" t="s">
        <v>3339</v>
      </c>
      <c r="B71" s="12"/>
      <c r="C71" s="13" t="str">
        <f>HYPERLINK("http://foursquare.com/v/51deeca5498ea7fe6ee38058","Mauthe Lake Beach ")</f>
        <v>Mauthe Lake Beach </v>
      </c>
    </row>
    <row r="72">
      <c r="A72" s="12" t="s">
        <v>3340</v>
      </c>
      <c r="B72" s="12"/>
      <c r="C72" s="13" t="str">
        <f>HYPERLINK("http://foursquare.com/v/4bd1fafc41b9ef3b850efde5","Pirate's Cove Adventure Golf ")</f>
        <v>Pirate's Cove Adventure Golf </v>
      </c>
    </row>
    <row r="73">
      <c r="A73" s="12" t="s">
        <v>3341</v>
      </c>
      <c r="B73" s="12"/>
      <c r="C73" s="13" t="str">
        <f>HYPERLINK("http://foursquare.com/v/51c227cf498e3891043a8825","MACS- Macaroni And Cheese Shop ")</f>
        <v>MACS- Macaroni And Cheese Shop </v>
      </c>
    </row>
    <row r="74">
      <c r="A74" s="12" t="s">
        <v>3342</v>
      </c>
      <c r="B74" s="12"/>
      <c r="C74" s="13" t="str">
        <f>HYPERLINK("http://foursquare.com/v/4e502950c65bb313ba911257","Krazy Mirror Maze ")</f>
        <v>Krazy Mirror Maze </v>
      </c>
    </row>
    <row r="75">
      <c r="A75" s="12" t="s">
        <v>3342</v>
      </c>
      <c r="B75" s="12"/>
      <c r="C75" s="13" t="str">
        <f>HYPERLINK("http://foursquare.com/v/5d4bc0abac2ecd0007d2bdbd","Noah's Ark Waterpark ")</f>
        <v>Noah's Ark Waterpark </v>
      </c>
    </row>
    <row r="76">
      <c r="A76" s="12" t="s">
        <v>3343</v>
      </c>
      <c r="B76" s="12"/>
      <c r="C76" s="13" t="str">
        <f>HYPERLINK("http://foursquare.com/v/4c2fdb037cc0c9b68286ec9a","River Hill Park ")</f>
        <v>River Hill Park </v>
      </c>
    </row>
    <row r="77">
      <c r="A77" s="12" t="s">
        <v>3344</v>
      </c>
      <c r="B77" s="12"/>
      <c r="C77" s="13" t="str">
        <f>HYPERLINK("http://foursquare.com/v/4ee223365c5cfd21337ed647","Campbellsport, WI ")</f>
        <v>Campbellsport, WI </v>
      </c>
    </row>
    <row r="78">
      <c r="A78" s="12" t="s">
        <v>3345</v>
      </c>
      <c r="B78" s="12"/>
      <c r="C78" s="13" t="str">
        <f>HYPERLINK("http://foursquare.com/v/4bd7434509ecb713677c467c","Coach USA Airport Express ")</f>
        <v>Coach USA Airport Express </v>
      </c>
    </row>
    <row r="79">
      <c r="A79" s="12" t="s">
        <v>3346</v>
      </c>
      <c r="B79" s="12"/>
      <c r="C79" s="13" t="str">
        <f>HYPERLINK("http://foursquare.com/v/4a5a77a4f964a52062ba1fe3","Chicago O'Hare International Airport (ORD) ")</f>
        <v>Chicago O'Hare International Airport (ORD) </v>
      </c>
    </row>
    <row r="80">
      <c r="A80" s="12" t="s">
        <v>3347</v>
      </c>
      <c r="B80" s="12"/>
      <c r="C80" s="13" t="str">
        <f>HYPERLINK("http://foursquare.com/v/45f555cef964a5200e441fe3","Seattle-Tacoma International Airport (SEA) ")</f>
        <v>Seattle-Tacoma International Airport (SEA) </v>
      </c>
    </row>
    <row r="81">
      <c r="A81" s="12" t="s">
        <v>3348</v>
      </c>
      <c r="B81" s="12"/>
      <c r="C81" s="13" t="str">
        <f>HYPERLINK("http://foursquare.com/v/4310fe80f964a52053271fe3","Alki Beach Park ")</f>
        <v>Alki Beach Park </v>
      </c>
    </row>
    <row r="82">
      <c r="A82" s="12" t="s">
        <v>3349</v>
      </c>
      <c r="B82" s="12"/>
      <c r="C82" s="13" t="str">
        <f>HYPERLINK("http://foursquare.com/v/4c05bb53191f20a1ee96e314","Zeeks Pizza ")</f>
        <v>Zeeks Pizza </v>
      </c>
    </row>
    <row r="83">
      <c r="A83" s="12" t="s">
        <v>3350</v>
      </c>
      <c r="B83" s="12"/>
      <c r="C83" s="13" t="str">
        <f>HYPERLINK("http://foursquare.com/v/4b0f05e0f964a5204a5e23e3","Wilburton Hill Park ")</f>
        <v>Wilburton Hill Park </v>
      </c>
    </row>
    <row r="84">
      <c r="A84" s="12" t="s">
        <v>3351</v>
      </c>
      <c r="B84" s="12"/>
      <c r="C84" s="13" t="str">
        <f>HYPERLINK("http://foursquare.com/v/5a6caa177564f7473f085795","Tesla Supercharger ")</f>
        <v>Tesla Supercharger </v>
      </c>
    </row>
    <row r="85">
      <c r="A85" s="12" t="s">
        <v>3352</v>
      </c>
      <c r="B85" s="12"/>
      <c r="C85" s="13" t="str">
        <f>HYPERLINK("http://foursquare.com/v/4b0de6a6f964a520565223e3","Mukilteo Ferry Terminal ")</f>
        <v>Mukilteo Ferry Terminal </v>
      </c>
    </row>
    <row r="86">
      <c r="A86" s="12" t="s">
        <v>3353</v>
      </c>
      <c r="B86" s="12"/>
      <c r="C86" s="13" t="str">
        <f>HYPERLINK("http://foursquare.com/v/4bc369354cdfc9b62c4f9721","Fort Ebey State Park ")</f>
        <v>Fort Ebey State Park </v>
      </c>
    </row>
    <row r="87">
      <c r="A87" s="12" t="s">
        <v>3354</v>
      </c>
      <c r="B87" s="12"/>
      <c r="C87" s="13" t="str">
        <f>HYPERLINK("http://foursquare.com/v/504a2217e4b0c65efb683a9b","Mukilteo/Clinton Ferry Boat ")</f>
        <v>Mukilteo/Clinton Ferry Boat </v>
      </c>
    </row>
    <row r="88">
      <c r="A88" s="12" t="s">
        <v>3355</v>
      </c>
      <c r="B88" s="12"/>
      <c r="C88" s="13" t="str">
        <f>HYPERLINK("http://foursquare.com/v/5a6caa177564f7473f085795","Tesla Supercharger ")</f>
        <v>Tesla Supercharger </v>
      </c>
    </row>
    <row r="89">
      <c r="A89" s="12" t="s">
        <v>3356</v>
      </c>
      <c r="B89" s="12"/>
      <c r="C89" s="13" t="str">
        <f>HYPERLINK("http://foursquare.com/v/52869068498e3289da673edf","Starbucks ")</f>
        <v>Starbucks </v>
      </c>
    </row>
    <row r="90">
      <c r="A90" s="12" t="s">
        <v>3357</v>
      </c>
      <c r="B90" s="12"/>
      <c r="C90" s="13" t="str">
        <f>HYPERLINK("http://foursquare.com/v/4a010c08f964a520d1701fe3","KCLS Bellevue Library ")</f>
        <v>KCLS Bellevue Library </v>
      </c>
    </row>
    <row r="91">
      <c r="A91" s="12" t="s">
        <v>3358</v>
      </c>
      <c r="B91" s="12"/>
      <c r="C91" s="13" t="str">
        <f>HYPERLINK("http://foursquare.com/v/49ed7b0af964a520ec671fe3","Kelsey Creek Park ")</f>
        <v>Kelsey Creek Park </v>
      </c>
    </row>
    <row r="92">
      <c r="A92" s="12" t="s">
        <v>3359</v>
      </c>
      <c r="B92" s="12"/>
      <c r="C92" s="13" t="str">
        <f>HYPERLINK("http://foursquare.com/v/45f555cef964a5200e441fe3","Seattle-Tacoma International Airport (SEA) ")</f>
        <v>Seattle-Tacoma International Airport (SEA) </v>
      </c>
    </row>
    <row r="93">
      <c r="A93" s="12" t="s">
        <v>3360</v>
      </c>
      <c r="B93" s="12"/>
      <c r="C93" s="13" t="str">
        <f>HYPERLINK("http://foursquare.com/v/4b0bd124f964a520e03323e3","Singapore Changi Airport (SIN) ")</f>
        <v>Singapore Changi Airport (SIN) </v>
      </c>
    </row>
    <row r="94">
      <c r="A94" s="12" t="s">
        <v>3361</v>
      </c>
      <c r="B94" s="12"/>
      <c r="C94" s="13" t="str">
        <f>HYPERLINK("http://foursquare.com/v/52a3fd7d11d2f586ee26daa9","Capri by Fraser Hotel Residences ")</f>
        <v>Capri by Fraser Hotel Residences </v>
      </c>
    </row>
    <row r="95">
      <c r="A95" s="12" t="s">
        <v>3362</v>
      </c>
      <c r="B95" s="12"/>
      <c r="C95" s="1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96">
      <c r="A96" s="12" t="s">
        <v>3363</v>
      </c>
      <c r="B96" s="12"/>
      <c r="C96" s="13" t="str">
        <f>HYPERLINK("http://foursquare.com/v/5f3aa167933f477de07aa205","Shell ")</f>
        <v>Shell </v>
      </c>
    </row>
    <row r="97">
      <c r="A97" s="12" t="s">
        <v>3364</v>
      </c>
      <c r="B97" s="12"/>
      <c r="C97" s="13" t="str">
        <f>HYPERLINK("http://foursquare.com/v/4d770524586ef04d3507e2f0","Vimarn Samed Resort Koh-Samed ")</f>
        <v>Vimarn Samed Resort Koh-Samed </v>
      </c>
    </row>
    <row r="98">
      <c r="A98" s="12" t="s">
        <v>3365</v>
      </c>
      <c r="B98" s="12"/>
      <c r="C98" s="13" t="str">
        <f>HYPERLINK("http://foursquare.com/v/4bdf17c57ea362b5b75243c4","Samed Cabana Resort Koh Samet ")</f>
        <v>Samed Cabana Resort Koh Samet </v>
      </c>
    </row>
    <row r="99">
      <c r="A99" s="12" t="s">
        <v>3366</v>
      </c>
      <c r="B99" s="12"/>
      <c r="C99" s="13" t="str">
        <f>HYPERLINK("http://foursquare.com/v/4d08427900e6b1f7b7c50cd7","Vong Deuan Beach (อ่าววงเดือน) ")</f>
        <v>Vong Deuan Beach (อ่าววงเดือน) </v>
      </c>
    </row>
    <row r="100">
      <c r="A100" s="12" t="s">
        <v>3367</v>
      </c>
      <c r="B100" s="12"/>
      <c r="C100" s="13" t="str">
        <f>HYPERLINK("http://foursquare.com/v/4f1186f4e4b0d59e200dadb5","Green Place Restaurant ")</f>
        <v>Green Place Restaurant </v>
      </c>
    </row>
    <row r="101">
      <c r="A101" s="12" t="s">
        <v>3368</v>
      </c>
      <c r="B101" s="12"/>
      <c r="C101" s="13" t="str">
        <f>HYPERLINK("http://foursquare.com/v/4d567844a747b60cf9a5282b","Ploytalay Restaurant (พลอยทะเล) ")</f>
        <v>Ploytalay Restaurant (พลอยทะเล) </v>
      </c>
    </row>
    <row r="102">
      <c r="A102" s="12" t="s">
        <v>3369</v>
      </c>
      <c r="B102" s="12"/>
      <c r="C102" s="13" t="str">
        <f>HYPERLINK("http://foursquare.com/v/4d71e9e6bce5721e7753c615","Sawasdee CoCo (สวัสดี โคโค่) ")</f>
        <v>Sawasdee CoCo (สวัสดี โคโค่) </v>
      </c>
    </row>
    <row r="103">
      <c r="A103" s="12" t="s">
        <v>3370</v>
      </c>
      <c r="B103" s="12"/>
      <c r="C103" s="13" t="str">
        <f>HYPERLINK("http://foursquare.com/v/4ed8bbbe9a5286d91d4125d1","Summer Day Resort ")</f>
        <v>Summer Day Resort </v>
      </c>
    </row>
    <row r="104">
      <c r="A104" s="12" t="s">
        <v>3371</v>
      </c>
      <c r="B104" s="12"/>
      <c r="C104" s="13" t="str">
        <f>HYPERLINK("http://foursquare.com/v/4b9345d7f964a520193e34e3","Koh Samet Pier (ท่าเรือเกาะเสม็ด) ")</f>
        <v>Koh Samet Pier (ท่าเรือเกาะเสม็ด) </v>
      </c>
    </row>
    <row r="105">
      <c r="A105" s="12" t="s">
        <v>3372</v>
      </c>
      <c r="B105" s="12"/>
      <c r="C105" s="13" t="str">
        <f>HYPERLINK("http://foursquare.com/v/4ea6d8c78b814c68ad105ad3","ลาบอุบล ป้าแดง 5 ")</f>
        <v>ลาบอุบล ป้าแดง 5 </v>
      </c>
    </row>
    <row r="106">
      <c r="A106" s="12" t="s">
        <v>3373</v>
      </c>
      <c r="B106" s="12"/>
      <c r="C106" s="13" t="str">
        <f>HYPERLINK("http://foursquare.com/v/5842a1f4158bbb64675a7945","Starbucks (สตาร์บัคส์) ")</f>
        <v>Starbucks (สตาร์บัคส์) </v>
      </c>
    </row>
    <row r="107">
      <c r="A107" s="12" t="s">
        <v>3374</v>
      </c>
      <c r="B107" s="12"/>
      <c r="C107" s="13" t="str">
        <f>HYPERLINK("http://foursquare.com/v/5a363d5cbd897e22bedd9901","Scruffy Murphy's ")</f>
        <v>Scruffy Murphy's </v>
      </c>
    </row>
    <row r="108">
      <c r="A108" s="12" t="s">
        <v>3375</v>
      </c>
      <c r="B108" s="12"/>
      <c r="C108" s="13" t="str">
        <f>HYPERLINK("http://foursquare.com/v/4c556aa3f5f3d13a28d1bafb","7-Eleven (เซเว่น อีเลฟเว่น) ")</f>
        <v>7-Eleven (เซเว่น อีเลฟเว่น) </v>
      </c>
    </row>
    <row r="109">
      <c r="A109" s="12" t="s">
        <v>3376</v>
      </c>
      <c r="B109" s="12"/>
      <c r="C109" s="13" t="str">
        <f>HYPERLINK("http://foursquare.com/v/4b9c5461f964a520056036e3","Wat Sangkhathan (วัดสังฆทาน) ")</f>
        <v>Wat Sangkhathan (วัดสังฆทาน) </v>
      </c>
    </row>
    <row r="110">
      <c r="A110" s="12" t="s">
        <v>3377</v>
      </c>
      <c r="B110" s="12"/>
      <c r="C110" s="13" t="str">
        <f>HYPERLINK("http://foursquare.com/v/4da3d423bf22a143daf4d0f8","Wat Tanod (วัดโตนด) ")</f>
        <v>Wat Tanod (วัดโตนด) </v>
      </c>
    </row>
    <row r="111">
      <c r="A111" s="12" t="s">
        <v>3378</v>
      </c>
      <c r="B111" s="12"/>
      <c r="C111" s="13" t="str">
        <f>HYPERLINK("http://foursquare.com/v/4e36bef718a82fdd6583d08b","มัสยิดท่าอิฐ ")</f>
        <v>มัสยิดท่าอิฐ </v>
      </c>
    </row>
    <row r="112">
      <c r="A112" s="12" t="s">
        <v>3379</v>
      </c>
      <c r="B112" s="12"/>
      <c r="C112" s="13" t="str">
        <f>HYPERLINK("http://foursquare.com/v/52b6b2f9498e8a763d41dcf2","Chit Beer (ชิตเบียร์) ")</f>
        <v>Chit Beer (ชิตเบียร์) </v>
      </c>
    </row>
    <row r="113">
      <c r="A113" s="12" t="s">
        <v>3380</v>
      </c>
      <c r="B113" s="12"/>
      <c r="C113" s="13" t="str">
        <f>HYPERLINK("http://foursquare.com/v/5087d1d3e4b064587677a6c6","Baan Ice (บ้านไอซ์) ")</f>
        <v>Baan Ice (บ้านไอซ์) </v>
      </c>
    </row>
    <row r="114">
      <c r="A114" s="12" t="s">
        <v>3381</v>
      </c>
      <c r="B114" s="12"/>
      <c r="C114" s="13" t="str">
        <f>HYPERLINK("http://foursquare.com/v/4ed61242e5faf148a73e524e","PTT (ปตท.) ")</f>
        <v>PTT (ปตท.) </v>
      </c>
    </row>
    <row r="115">
      <c r="A115" s="12" t="s">
        <v>3382</v>
      </c>
      <c r="B115" s="12"/>
      <c r="C115" s="13" t="str">
        <f>HYPERLINK("http://foursquare.com/v/5ca73b23492822002dadc972","PT ")</f>
        <v>PT </v>
      </c>
    </row>
    <row r="116">
      <c r="A116" s="12" t="s">
        <v>3383</v>
      </c>
      <c r="B116" s="12"/>
      <c r="C116" s="13" t="str">
        <f>HYPERLINK("http://foursquare.com/v/62c7c94483888c07fed09da6","Goodbeans.Cafe ")</f>
        <v>Goodbeans.Cafe </v>
      </c>
    </row>
    <row r="117">
      <c r="A117" s="12" t="s">
        <v>3384</v>
      </c>
      <c r="B117" s="12"/>
      <c r="C117" s="13" t="str">
        <f>HYPERLINK("http://foursquare.com/v/618ba7ea9b1f9713995f045d","Kaen (แก่น) ")</f>
        <v>Kaen (แก่น) </v>
      </c>
    </row>
    <row r="118">
      <c r="A118" s="12" t="s">
        <v>3385</v>
      </c>
      <c r="B118" s="12"/>
      <c r="C118" s="13" t="str">
        <f>HYPERLINK("http://foursquare.com/v/4bc0366d920eb713b1b1182c","Glacier Hotel (โรงแรมกลาเซียร์) ")</f>
        <v>Glacier Hotel (โรงแรมกลาเซียร์) </v>
      </c>
    </row>
    <row r="119">
      <c r="A119" s="12" t="s">
        <v>3386</v>
      </c>
      <c r="B119" s="12"/>
      <c r="C119" s="13" t="str">
        <f>HYPERLINK("http://foursquare.com/v/4d69efbede28224b720f4abe","PTT Jiffy (ปตท.) ")</f>
        <v>PTT Jiffy (ปตท.) </v>
      </c>
    </row>
    <row r="120">
      <c r="A120" s="12" t="s">
        <v>3387</v>
      </c>
      <c r="B120" s="12"/>
      <c r="C120" s="13" t="str">
        <f>HYPERLINK("http://foursquare.com/v/4cf909da3875b1f7001f973c","Rain Forest Resort ")</f>
        <v>Rain Forest Resort </v>
      </c>
    </row>
    <row r="121">
      <c r="A121" s="12" t="s">
        <v>3388</v>
      </c>
      <c r="B121" s="12"/>
      <c r="C121" s="13" t="str">
        <f>HYPERLINK("http://foursquare.com/v/5e057f2584645f00081ecbf1","Esso ")</f>
        <v>Esso </v>
      </c>
    </row>
    <row r="122">
      <c r="A122" s="12" t="s">
        <v>3389</v>
      </c>
      <c r="B122" s="12"/>
      <c r="C122" s="13" t="str">
        <f>HYPERLINK("http://foursquare.com/v/4e812c63b6347681cf28da50","Omelette Bakery Cafe ")</f>
        <v>Omelette Bakery Cafe </v>
      </c>
    </row>
    <row r="123">
      <c r="A123" s="12" t="s">
        <v>3390</v>
      </c>
      <c r="B123" s="12"/>
      <c r="C123" s="13" t="str">
        <f>HYPERLINK("http://foursquare.com/v/56ecfcd2498ebcce49b381fc","Let It Be ")</f>
        <v>Let It Be </v>
      </c>
    </row>
    <row r="124">
      <c r="A124" s="12" t="s">
        <v>3391</v>
      </c>
      <c r="B124" s="12"/>
      <c r="C124" s="13" t="str">
        <f>HYPERLINK("http://foursquare.com/v/5584d557498e385926fb8c37","Teak Table (ทีค เทเบิล) ")</f>
        <v>Teak Table (ทีค เทเบิล) </v>
      </c>
    </row>
    <row r="125">
      <c r="A125" s="12" t="s">
        <v>3392</v>
      </c>
      <c r="B125" s="12"/>
      <c r="C125" s="13" t="str">
        <f>HYPERLINK("http://foursquare.com/v/4b7cddc8f964a520d0a72fe3","Duangtawan Hotel (โรงแรมเซ็นทาราดวงตะวัน) ")</f>
        <v>Duangtawan Hotel (โรงแรมเซ็นทาราดวงตะวัน) </v>
      </c>
    </row>
    <row r="126">
      <c r="A126" s="12" t="s">
        <v>3393</v>
      </c>
      <c r="B126" s="12"/>
      <c r="C126" s="13" t="str">
        <f>HYPERLINK("http://foursquare.com/v/5285715811d2a3e51493a025","Central Department Store (ห้างสรรพสินค้าเซ็นทรัล) ")</f>
        <v>Central Department Store (ห้างสรรพสินค้าเซ็นทรัล) </v>
      </c>
    </row>
    <row r="127">
      <c r="A127" s="12" t="s">
        <v>3394</v>
      </c>
      <c r="B127" s="12"/>
      <c r="C127" s="13" t="str">
        <f>HYPERLINK("http://foursquare.com/v/5c9887486fd6260039bb0431","Mi ")</f>
        <v>Mi </v>
      </c>
    </row>
    <row r="128">
      <c r="A128" s="12" t="s">
        <v>3395</v>
      </c>
      <c r="B128" s="12"/>
      <c r="C128" s="13" t="str">
        <f>HYPERLINK("http://foursquare.com/v/5284ceac11d213f83837150b","Wine Connection (ไวน์คอนเนคชั่น) ")</f>
        <v>Wine Connection (ไวน์คอนเนคชั่น) </v>
      </c>
    </row>
    <row r="129">
      <c r="A129" s="12" t="s">
        <v>3396</v>
      </c>
      <c r="B129" s="12"/>
      <c r="C129" s="13" t="str">
        <f>HYPERLINK("http://foursquare.com/v/4e812c63b6347681cf28da50","Omelette Bakery Cafe ")</f>
        <v>Omelette Bakery Cafe </v>
      </c>
    </row>
    <row r="130">
      <c r="A130" s="12" t="s">
        <v>3397</v>
      </c>
      <c r="B130" s="12"/>
      <c r="C130" s="13" t="str">
        <f>HYPERLINK("http://foursquare.com/v/5ee2fc525b9a110e34b2ce43","Rim Nara Cafe &amp; Bistro ")</f>
        <v>Rim Nara Cafe &amp; Bistro </v>
      </c>
    </row>
    <row r="131">
      <c r="A131" s="12" t="s">
        <v>3398</v>
      </c>
      <c r="B131" s="12"/>
      <c r="C131" s="13" t="str">
        <f>HYPERLINK("http://foursquare.com/v/4e812c63b6347681cf28da50","Omelette Bakery Cafe ")</f>
        <v>Omelette Bakery Cafe </v>
      </c>
    </row>
    <row r="132">
      <c r="A132" s="12" t="s">
        <v>3399</v>
      </c>
      <c r="B132" s="12"/>
      <c r="C132" s="13" t="str">
        <f>HYPERLINK("http://foursquare.com/v/5cf11ccc1af852002c19d692","Grooveyard ")</f>
        <v>Grooveyard </v>
      </c>
    </row>
    <row r="133">
      <c r="A133" s="12" t="s">
        <v>3400</v>
      </c>
      <c r="B133" s="12"/>
      <c r="C133" s="13" t="str">
        <f>HYPERLINK("http://foursquare.com/v/55c5d9fe498e95c958736bdd","The Duke's ")</f>
        <v>The Duke's </v>
      </c>
    </row>
    <row r="134">
      <c r="A134" s="12" t="s">
        <v>3401</v>
      </c>
      <c r="B134" s="12"/>
      <c r="C134" s="13" t="str">
        <f>HYPERLINK("http://foursquare.com/v/52f8413f498e18ee6d07815f","Bangkok Hospital Chiang Mai (โรงพยาบาลกรุงเทพเชียงใหม่) ")</f>
        <v>Bangkok Hospital Chiang Mai (โรงพยาบาลกรุงเทพเชียงใหม่) </v>
      </c>
    </row>
    <row r="135">
      <c r="A135" s="12" t="s">
        <v>3402</v>
      </c>
      <c r="B135" s="12"/>
      <c r="C135" s="13" t="str">
        <f>HYPERLINK("http://foursquare.com/v/4e812c63b6347681cf28da50","Omelette Bakery Cafe ")</f>
        <v>Omelette Bakery Cafe </v>
      </c>
    </row>
    <row r="136">
      <c r="A136" s="12" t="s">
        <v>3403</v>
      </c>
      <c r="B136" s="12"/>
      <c r="C136" s="13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</row>
    <row r="137">
      <c r="A137" s="12" t="s">
        <v>3404</v>
      </c>
      <c r="B137" s="12"/>
      <c r="C137" s="13" t="str">
        <f>HYPERLINK("http://foursquare.com/v/4b2df07cf964a5201bdc24e3","Don Mueang International Airport (DMK) (ท่าอากาศยานดอนเมือง) ")</f>
        <v>Don Mueang International Airport (DMK) (ท่าอากาศยานดอนเมือง) </v>
      </c>
    </row>
    <row r="138">
      <c r="A138" s="12" t="s">
        <v>3405</v>
      </c>
      <c r="B138" s="12"/>
      <c r="C138" s="13" t="str">
        <f>HYPERLINK("http://foursquare.com/v/4b41d1b4f964a52029c925e3","Unlimit Mac Repair (บริษัท อันลิมิตแมค จำกัด) ")</f>
        <v>Unlimit Mac Repair (บริษัท อันลิมิตแมค จำกัด) </v>
      </c>
    </row>
    <row r="139">
      <c r="A139" s="12" t="s">
        <v>3406</v>
      </c>
      <c r="B139" s="12"/>
      <c r="C139" s="13" t="str">
        <f>HYPERLINK("http://foursquare.com/v/5e351f67f32d700008d05296","Tha Arun (ท่าอรุณ) ")</f>
        <v>Tha Arun (ท่าอรุณ) </v>
      </c>
    </row>
    <row r="140">
      <c r="A140" s="12" t="s">
        <v>3407</v>
      </c>
      <c r="B140" s="12"/>
      <c r="C140" s="13" t="str">
        <f>HYPERLINK("http://foursquare.com/v/4b5ac862f964a52072d428e3","Wat Hua Lampong (วัดหัวลําโพง) ")</f>
        <v>Wat Hua Lampong (วัดหัวลําโพง) </v>
      </c>
    </row>
    <row r="141">
      <c r="A141" s="12" t="s">
        <v>3408</v>
      </c>
      <c r="B141" s="12"/>
      <c r="C141" s="13" t="str">
        <f>HYPERLINK("http://foursquare.com/v/4b0587fdf964a52057ab22e3","The British Club Bangkok (สมาคมสโมสรอังกฤษกรุงเทพ) ")</f>
        <v>The British Club Bangkok (สมาคมสโมสรอังกฤษกรุงเทพ) </v>
      </c>
    </row>
    <row r="142">
      <c r="A142" s="12" t="s">
        <v>3409</v>
      </c>
      <c r="B142" s="12"/>
      <c r="C142" s="1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143">
      <c r="A143" s="12" t="s">
        <v>3410</v>
      </c>
      <c r="B143" s="12"/>
      <c r="C143" s="13" t="str">
        <f>HYPERLINK("http://foursquare.com/v/4b1baa07f964a52084fc23e3","Terminal 3 ")</f>
        <v>Terminal 3 </v>
      </c>
    </row>
    <row r="144">
      <c r="A144" s="12" t="s">
        <v>3411</v>
      </c>
      <c r="B144" s="12"/>
      <c r="C144" s="13" t="str">
        <f>HYPERLINK("http://foursquare.com/v/4b79687cf964a520f5f72ee3","Butterfly Garden ")</f>
        <v>Butterfly Garden </v>
      </c>
    </row>
    <row r="145">
      <c r="A145" s="12" t="s">
        <v>3411</v>
      </c>
      <c r="B145" s="12"/>
      <c r="C145" s="13" t="str">
        <f>HYPERLINK("http://foursquare.com/v/4bf1cad952bda59336fbb1b7","Ambassador Transit Lounge ")</f>
        <v>Ambassador Transit Lounge </v>
      </c>
    </row>
    <row r="146">
      <c r="A146" s="12" t="s">
        <v>3412</v>
      </c>
      <c r="B146" s="12"/>
      <c r="C146" s="13" t="str">
        <f>HYPERLINK("http://foursquare.com/v/45f555cef964a5200e441fe3","Seattle-Tacoma International Airport (SEA) ")</f>
        <v>Seattle-Tacoma International Airport (SEA) </v>
      </c>
    </row>
    <row r="147">
      <c r="A147" s="12" t="s">
        <v>3413</v>
      </c>
      <c r="B147" s="12"/>
      <c r="C147" s="13" t="str">
        <f>HYPERLINK("http://foursquare.com/v/6039e57986a2054d4b305a8f","Dough Zone Dumpling House ")</f>
        <v>Dough Zone Dumpling House </v>
      </c>
    </row>
    <row r="148">
      <c r="A148" s="12" t="s">
        <v>3414</v>
      </c>
      <c r="B148" s="12"/>
      <c r="C148" s="13" t="str">
        <f>HYPERLINK("http://foursquare.com/v/4b4f9bbdf964a520530d27e3","Bellevue Family Medicine ")</f>
        <v>Bellevue Family Medicine </v>
      </c>
    </row>
    <row r="149">
      <c r="A149" s="12" t="s">
        <v>3415</v>
      </c>
      <c r="B149" s="12"/>
      <c r="C149" s="13" t="str">
        <f>HYPERLINK("http://foursquare.com/v/4bfb0d8cbbb7c928c2a50743","Clyde Beach Park ")</f>
        <v>Clyde Beach Park </v>
      </c>
    </row>
    <row r="150">
      <c r="A150" s="12" t="s">
        <v>3416</v>
      </c>
      <c r="B150" s="12"/>
      <c r="C150" s="13" t="str">
        <f>HYPERLINK("http://foursquare.com/v/4d98fa0c744f370412f3fc57","Rockport Pub ")</f>
        <v>Rockport Pub </v>
      </c>
    </row>
    <row r="151">
      <c r="A151" s="12" t="s">
        <v>3417</v>
      </c>
      <c r="B151" s="12"/>
      <c r="C151" s="13" t="str">
        <f>HYPERLINK("http://foursquare.com/v/4c38a0c193db0f4774e02192","Marblemount Diner ")</f>
        <v>Marblemount Diner </v>
      </c>
    </row>
    <row r="152">
      <c r="A152" s="12" t="s">
        <v>3418</v>
      </c>
      <c r="B152" s="12"/>
      <c r="C152" s="13" t="str">
        <f>HYPERLINK("http://foursquare.com/v/55baa458498e24a7839addea","Skagit Information Center ")</f>
        <v>Skagit Information Center </v>
      </c>
    </row>
    <row r="153">
      <c r="A153" s="12" t="s">
        <v>3419</v>
      </c>
      <c r="B153" s="12"/>
      <c r="C153" s="13" t="str">
        <f>HYPERLINK("http://foursquare.com/v/51d5d75f498ea9118de7edae","Tesla Supercharger Burlington ")</f>
        <v>Tesla Supercharger Burlington </v>
      </c>
    </row>
    <row r="154">
      <c r="A154" s="12" t="s">
        <v>3420</v>
      </c>
      <c r="B154" s="12"/>
      <c r="C154" s="13" t="str">
        <f>HYPERLINK("http://foursquare.com/v/5b9473360a08ab002ce61b56","Taste Of Thai By Wipa ")</f>
        <v>Taste Of Thai By Wipa </v>
      </c>
    </row>
    <row r="155">
      <c r="A155" s="12" t="s">
        <v>3421</v>
      </c>
      <c r="B155" s="12"/>
      <c r="C155" s="13" t="str">
        <f>HYPERLINK("http://foursquare.com/v/52869068498e3289da673edf","Starbucks ")</f>
        <v>Starbucks </v>
      </c>
    </row>
    <row r="156">
      <c r="A156" s="12" t="s">
        <v>3422</v>
      </c>
      <c r="B156" s="12"/>
      <c r="C156" s="13" t="str">
        <f>HYPERLINK("http://foursquare.com/v/60cd95f0109f2865a095924b","Kura Revolving Sushi Bar ")</f>
        <v>Kura Revolving Sushi Bar </v>
      </c>
    </row>
    <row r="157">
      <c r="A157" s="12" t="s">
        <v>3423</v>
      </c>
      <c r="B157" s="12"/>
      <c r="C157" s="13" t="str">
        <f>HYPERLINK("http://foursquare.com/v/5d2a27cabc080d0023b24b77","Fern Thai On Main ")</f>
        <v>Fern Thai On Main </v>
      </c>
    </row>
    <row r="158">
      <c r="A158" s="12" t="s">
        <v>3424</v>
      </c>
      <c r="B158" s="12"/>
      <c r="C158" s="13" t="str">
        <f>HYPERLINK("http://foursquare.com/v/49ef9ffff964a520d3681fe3","Bellevue Aquatic Center ")</f>
        <v>Bellevue Aquatic Center </v>
      </c>
    </row>
    <row r="159">
      <c r="A159" s="12" t="s">
        <v>3425</v>
      </c>
      <c r="B159" s="12"/>
      <c r="C159" s="13" t="str">
        <f>HYPERLINK("http://foursquare.com/v/4b9bcd91f964a5200a2736e3","sunrise dental ")</f>
        <v>sunrise dental </v>
      </c>
    </row>
    <row r="160">
      <c r="A160" s="12" t="s">
        <v>3426</v>
      </c>
      <c r="B160" s="12"/>
      <c r="C160" s="13" t="str">
        <f>HYPERLINK("http://foursquare.com/v/4aebaf1af964a52060c421e3","Palace Korean Bar &amp; Grill ")</f>
        <v>Palace Korean Bar &amp; Grill </v>
      </c>
    </row>
    <row r="161">
      <c r="A161" s="12" t="s">
        <v>3427</v>
      </c>
      <c r="B161" s="12"/>
      <c r="C161" s="13" t="str">
        <f>HYPERLINK("http://foursquare.com/v/5a9586e356c89f2809ac7843","Starbucks Reserve SoDo ")</f>
        <v>Starbucks Reserve SoDo </v>
      </c>
    </row>
    <row r="162">
      <c r="A162" s="12" t="s">
        <v>3428</v>
      </c>
      <c r="B162" s="12"/>
      <c r="C162" s="13" t="str">
        <f>HYPERLINK("http://foursquare.com/v/45f555cef964a5200e441fe3","Seattle-Tacoma International Airport (SEA) ")</f>
        <v>Seattle-Tacoma International Airport (SEA) </v>
      </c>
    </row>
    <row r="163">
      <c r="A163" s="12" t="s">
        <v>3429</v>
      </c>
      <c r="B163" s="12"/>
      <c r="C163" s="13" t="str">
        <f>HYPERLINK("http://foursquare.com/v/4b439f6af964a5208fe425e3","Mardi Gras Hotel &amp; Casino ")</f>
        <v>Mardi Gras Hotel &amp; Casino </v>
      </c>
    </row>
    <row r="164">
      <c r="A164" s="12" t="s">
        <v>3430</v>
      </c>
      <c r="B164" s="12"/>
      <c r="C164" s="13" t="str">
        <f>HYPERLINK("http://foursquare.com/v/53b3723b498e24434d7bbdbf","Westgate Las Vegas Resort &amp; Casino ")</f>
        <v>Westgate Las Vegas Resort &amp; Casino </v>
      </c>
    </row>
    <row r="165">
      <c r="A165" s="12" t="s">
        <v>3431</v>
      </c>
      <c r="B165" s="12"/>
      <c r="C165" s="13" t="str">
        <f>HYPERLINK("http://foursquare.com/v/614cd5302f49ea446e39646f","West Hall ")</f>
        <v>West Hall </v>
      </c>
    </row>
    <row r="166">
      <c r="A166" s="12" t="s">
        <v>3432</v>
      </c>
      <c r="B166" s="12"/>
      <c r="C166" s="13" t="str">
        <f>HYPERLINK("http://foursquare.com/v/61e877df56a5a202dfc71f2a","Vegas Loop Tesla Tunnel ")</f>
        <v>Vegas Loop Tesla Tunnel </v>
      </c>
    </row>
    <row r="167">
      <c r="A167" s="12" t="s">
        <v>3433</v>
      </c>
      <c r="B167" s="12"/>
      <c r="C167" s="13" t="str">
        <f>HYPERLINK("http://foursquare.com/v/554697b1498e5269a9647dcc","Resorts World Las Vegas ")</f>
        <v>Resorts World Las Vegas </v>
      </c>
    </row>
    <row r="168">
      <c r="A168" s="12" t="s">
        <v>3434</v>
      </c>
      <c r="B168" s="12"/>
      <c r="C168" s="13" t="str">
        <f>HYPERLINK("http://foursquare.com/v/45f555cef964a5200e441fe3","Seattle-Tacoma International Airport (SEA) ")</f>
        <v>Seattle-Tacoma International Airport (SEA) </v>
      </c>
    </row>
    <row r="169">
      <c r="A169" s="12" t="s">
        <v>3435</v>
      </c>
      <c r="B169" s="12"/>
      <c r="C169" s="13" t="str">
        <f>HYPERLINK("http://foursquare.com/v/4b4cb6b9f964a52074bb26e3","Rain City Fencing Center ")</f>
        <v>Rain City Fencing Center </v>
      </c>
    </row>
    <row r="170">
      <c r="A170" s="12" t="s">
        <v>3436</v>
      </c>
      <c r="B170" s="12"/>
      <c r="C170" s="13" t="str">
        <f>HYPERLINK("http://foursquare.com/v/4c68a7f9710b2d7f74d85c73","The Farm at Swan's Trail ")</f>
        <v>The Farm at Swan's Trail </v>
      </c>
    </row>
    <row r="171">
      <c r="A171" s="12" t="s">
        <v>3437</v>
      </c>
      <c r="B171" s="12"/>
      <c r="C171" s="13" t="str">
        <f>HYPERLINK("http://foursquare.com/v/4b5fbd2df964a520c1ca29e3","Emerald City Trapeze ")</f>
        <v>Emerald City Trapeze </v>
      </c>
    </row>
    <row r="172">
      <c r="A172" s="12" t="s">
        <v>3438</v>
      </c>
      <c r="B172" s="12"/>
      <c r="C172" s="13" t="str">
        <f>HYPERLINK("http://foursquare.com/v/4ab43e8ef964a520897020e3","The UPS Store ")</f>
        <v>The UPS Store </v>
      </c>
    </row>
    <row r="173">
      <c r="A173" s="12" t="s">
        <v>3439</v>
      </c>
      <c r="B173" s="12"/>
      <c r="C173" s="13" t="str">
        <f>HYPERLINK("http://foursquare.com/v/47f0ffd8f964a520814e1fe3","Goodwill Seattle Outlet ")</f>
        <v>Goodwill Seattle Outlet </v>
      </c>
    </row>
    <row r="174">
      <c r="A174" s="12" t="s">
        <v>3440</v>
      </c>
      <c r="B174" s="12"/>
      <c r="C174" s="13" t="str">
        <f>HYPERLINK("http://foursquare.com/v/4c40e756d7fad13aa6bd06da","Oxbow Center for Sustainable Agriculture and the Environment ")</f>
        <v>Oxbow Center for Sustainable Agriculture and the Environment </v>
      </c>
    </row>
    <row r="175">
      <c r="A175" s="12" t="s">
        <v>3441</v>
      </c>
      <c r="B175" s="12"/>
      <c r="C175" s="13" t="str">
        <f>HYPERLINK("http://foursquare.com/v/6039e57986a2054d4b305a8f","Dough Zone Dumpling House ")</f>
        <v>Dough Zone Dumpling House </v>
      </c>
    </row>
    <row r="176">
      <c r="A176" s="12" t="s">
        <v>3442</v>
      </c>
      <c r="B176" s="12" t="s">
        <v>3443</v>
      </c>
      <c r="C176" s="13" t="str">
        <f>HYPERLINK("http://foursquare.com/v/52869068498e3289da673edf","Starbucks ")</f>
        <v>Starbucks </v>
      </c>
    </row>
    <row r="177">
      <c r="A177" s="12" t="s">
        <v>3444</v>
      </c>
      <c r="B177" s="12"/>
      <c r="C177" s="13" t="str">
        <f>HYPERLINK("http://foursquare.com/v/43f8d1f9f964a520cb2f1fe3","Lumen Field Event Center ")</f>
        <v>Lumen Field Event Center </v>
      </c>
    </row>
    <row r="178">
      <c r="A178" s="12" t="s">
        <v>3445</v>
      </c>
      <c r="B178" s="12"/>
      <c r="C178" s="13" t="str">
        <f>HYPERLINK("http://foursquare.com/v/59bb3bd27dc9e174b532bbd3","Kizuki Ramen &amp; Izakaya ")</f>
        <v>Kizuki Ramen &amp; Izakaya </v>
      </c>
    </row>
    <row r="179">
      <c r="A179" s="12" t="s">
        <v>3446</v>
      </c>
      <c r="B179" s="12"/>
      <c r="C179" s="13" t="str">
        <f>HYPERLINK("http://foursquare.com/v/578b01f0498e37a834305f2f","IKEA Bistro ")</f>
        <v>IKEA Bistro </v>
      </c>
    </row>
    <row r="180">
      <c r="A180" s="12" t="s">
        <v>3447</v>
      </c>
      <c r="B180" s="12"/>
      <c r="C180" s="13" t="str">
        <f>HYPERLINK("http://foursquare.com/v/5e95e5e4289261000877e281","Coal Creek Natural Area ")</f>
        <v>Coal Creek Natural Area </v>
      </c>
    </row>
    <row r="181">
      <c r="A181" s="12" t="s">
        <v>3448</v>
      </c>
      <c r="B181" s="12"/>
      <c r="C181" s="13" t="str">
        <f>HYPERLINK("http://foursquare.com/v/4cbe675d73ef199cb707d8a2","Christmas Creek Tree Farm ")</f>
        <v>Christmas Creek Tree Farm </v>
      </c>
    </row>
    <row r="182">
      <c r="A182" s="12" t="s">
        <v>3449</v>
      </c>
      <c r="B182" s="12"/>
      <c r="C182" s="13" t="str">
        <f>HYPERLINK("http://foursquare.com/v/4bc27309461576b0f47f7d32","City of SeaTac ")</f>
        <v>City of SeaTac </v>
      </c>
    </row>
    <row r="183">
      <c r="A183" s="12" t="s">
        <v>3450</v>
      </c>
      <c r="B183" s="12"/>
      <c r="C183" s="13" t="str">
        <f>HYPERLINK("http://foursquare.com/v/61f49961267b550d277cc833","Seven Hills Pub &amp; Grille ")</f>
        <v>Seven Hills Pub &amp; Grille </v>
      </c>
    </row>
    <row r="184">
      <c r="A184" s="12" t="s">
        <v>3451</v>
      </c>
      <c r="B184" s="12"/>
      <c r="C184" s="13" t="str">
        <f>HYPERLINK("http://foursquare.com/v/5bea20a1a22db7002cd4040c","Kyotes Bar &amp; Grill ")</f>
        <v>Kyotes Bar &amp; Grill </v>
      </c>
    </row>
    <row r="185">
      <c r="A185" s="12" t="s">
        <v>3452</v>
      </c>
      <c r="B185" s="12"/>
      <c r="C185" s="13" t="str">
        <f>HYPERLINK("http://foursquare.com/v/4b05daabf964a52072e422e3","Bridge Inn ")</f>
        <v>Bridge Inn </v>
      </c>
    </row>
    <row r="186">
      <c r="A186" s="12" t="s">
        <v>3453</v>
      </c>
      <c r="B186" s="12"/>
      <c r="C186" s="13" t="str">
        <f>HYPERLINK("http://foursquare.com/v/54c44a16498e259a3c2d018f","H-Mart ")</f>
        <v>H-Mart </v>
      </c>
    </row>
    <row r="187">
      <c r="A187" s="12" t="s">
        <v>3454</v>
      </c>
      <c r="B187" s="12"/>
      <c r="C187" s="13" t="str">
        <f>HYPERLINK("http://foursquare.com/v/54183edb498e3431272c464f","Jimmy John's ")</f>
        <v>Jimmy John's </v>
      </c>
    </row>
    <row r="188">
      <c r="A188" s="12" t="s">
        <v>3455</v>
      </c>
      <c r="B188" s="12"/>
      <c r="C188" s="13" t="str">
        <f>HYPERLINK("http://foursquare.com/v/4b6015cbf964a5205ad529e3","Silver Cloud Inn ")</f>
        <v>Silver Cloud Inn </v>
      </c>
    </row>
    <row r="189">
      <c r="A189" s="12" t="s">
        <v>3456</v>
      </c>
      <c r="B189" s="12"/>
      <c r="C189" s="13" t="str">
        <f>HYPERLINK("http://foursquare.com/v/4b0de6a6f964a520565223e3","Mukilteo Ferry Terminal ")</f>
        <v>Mukilteo Ferry Terminal </v>
      </c>
    </row>
    <row r="190">
      <c r="A190" s="12" t="s">
        <v>3457</v>
      </c>
      <c r="B190" s="12"/>
      <c r="C190" s="13" t="str">
        <f>HYPERLINK("http://foursquare.com/v/4b254c43f964a5208c6f24e3","Clinton Ferry Terminal ")</f>
        <v>Clinton Ferry Terminal </v>
      </c>
    </row>
    <row r="191">
      <c r="A191" s="12" t="s">
        <v>3458</v>
      </c>
      <c r="B191" s="12"/>
      <c r="C191" s="13" t="str">
        <f>HYPERLINK("http://foursquare.com/v/5bd3b3a78afbe0002d5e15b2","The Local 104 ")</f>
        <v>The Local 104 </v>
      </c>
    </row>
    <row r="192">
      <c r="A192" s="12" t="s">
        <v>3459</v>
      </c>
      <c r="B192" s="12"/>
      <c r="C192" s="13" t="str">
        <f>HYPERLINK("http://foursquare.com/v/49ef647df964a520ad681fe3","DeLaurenti Specialty Food &amp; Wine ")</f>
        <v>DeLaurenti Specialty Food &amp; Wine </v>
      </c>
    </row>
    <row r="193">
      <c r="A193" s="12" t="s">
        <v>3460</v>
      </c>
      <c r="B193" s="12"/>
      <c r="C193" s="13" t="str">
        <f>HYPERLINK("http://foursquare.com/v/4cf6a38e2d032c0f1e0375d3","Summit Central ")</f>
        <v>Summit Central </v>
      </c>
    </row>
    <row r="194">
      <c r="A194" s="12" t="s">
        <v>3461</v>
      </c>
      <c r="B194" s="12"/>
      <c r="C194" s="13" t="str">
        <f>HYPERLINK("http://foursquare.com/v/4a71028df964a520f7d81fe3","Target ")</f>
        <v>Target </v>
      </c>
    </row>
    <row r="195">
      <c r="A195" s="12" t="s">
        <v>3462</v>
      </c>
      <c r="B195" s="12"/>
      <c r="C195" s="13" t="str">
        <f>HYPERLINK("http://foursquare.com/v/52125b7d498e98bc9b4300a8","FedEx Ground Distribution Center ")</f>
        <v>FedEx Ground Distribution Center </v>
      </c>
    </row>
    <row r="196">
      <c r="A196" s="12" t="s">
        <v>3463</v>
      </c>
      <c r="B196" s="12"/>
      <c r="C196" s="13" t="str">
        <f>HYPERLINK("http://foursquare.com/v/52869068498e3289da673edf","Starbucks ")</f>
        <v>Starbucks </v>
      </c>
    </row>
    <row r="197">
      <c r="A197" s="12" t="s">
        <v>3464</v>
      </c>
      <c r="B197" s="12"/>
      <c r="C197" s="13" t="str">
        <f>HYPERLINK("http://foursquare.com/v/578b01f0498e37a834305f2f","IKEA Bistro ")</f>
        <v>IKEA Bistro </v>
      </c>
    </row>
    <row r="198">
      <c r="A198" s="12" t="s">
        <v>3465</v>
      </c>
      <c r="B198" s="12"/>
      <c r="C198" s="13" t="str">
        <f>HYPERLINK("http://foursquare.com/v/5edda25c99eb6d704238d042","Tesla Supercharger ")</f>
        <v>Tesla Supercharger </v>
      </c>
    </row>
    <row r="199">
      <c r="A199" s="12" t="s">
        <v>3466</v>
      </c>
      <c r="B199" s="12"/>
      <c r="C199" s="13" t="str">
        <f>HYPERLINK("http://foursquare.com/v/4b8d70ddf964a5200bfc32e3","Made In Oregon ")</f>
        <v>Made In Oregon </v>
      </c>
    </row>
    <row r="200">
      <c r="A200" s="12" t="s">
        <v>3467</v>
      </c>
      <c r="B200" s="12"/>
      <c r="C200" s="13" t="str">
        <f>HYPERLINK("http://foursquare.com/v/51e6e447498e3947ed9ea15e","Punch Bowl Social ")</f>
        <v>Punch Bowl Social </v>
      </c>
    </row>
    <row r="201">
      <c r="A201" s="12" t="s">
        <v>3468</v>
      </c>
      <c r="B201" s="12"/>
      <c r="C201" s="13" t="str">
        <f>HYPERLINK("http://foursquare.com/v/51f97cab498e1f45a7b8c88d","Tesla Supercharger ")</f>
        <v>Tesla Supercharger </v>
      </c>
    </row>
    <row r="202">
      <c r="A202" s="12" t="s">
        <v>3469</v>
      </c>
      <c r="B202" s="12"/>
      <c r="C202" s="13" t="str">
        <f>HYPERLINK("http://foursquare.com/v/4bcf806e0ffdce721a8eb2c0","Red Lion Inn &amp; Suites McMinnville ")</f>
        <v>Red Lion Inn &amp; Suites McMinnville </v>
      </c>
    </row>
    <row r="203">
      <c r="A203" s="12" t="s">
        <v>3470</v>
      </c>
      <c r="B203" s="12"/>
      <c r="C203" s="13" t="str">
        <f>HYPERLINK("http://foursquare.com/v/4dc99177e4cd1818d5bb813b","Evergreen Wings &amp; Waves Waterpark ")</f>
        <v>Evergreen Wings &amp; Waves Waterpark </v>
      </c>
    </row>
    <row r="204">
      <c r="A204" s="12" t="s">
        <v>3471</v>
      </c>
      <c r="B204" s="12"/>
      <c r="C204" s="13" t="str">
        <f>HYPERLINK("http://foursquare.com/v/4a5d3863f964a52065bd1fe3","Washington Square ")</f>
        <v>Washington Square </v>
      </c>
    </row>
    <row r="205">
      <c r="A205" s="12" t="s">
        <v>3472</v>
      </c>
      <c r="B205" s="12"/>
      <c r="C205" s="13" t="str">
        <f>HYPERLINK("http://foursquare.com/v/5b071c78e1f0aa0039e2dc4d","Tesla Chargers ")</f>
        <v>Tesla Chargers </v>
      </c>
    </row>
    <row r="206">
      <c r="A206" s="12" t="s">
        <v>3473</v>
      </c>
      <c r="B206" s="12"/>
      <c r="C206" s="13" t="str">
        <f>HYPERLINK("http://foursquare.com/v/4a3ab616f964a52024a01fe3","Hilton ")</f>
        <v>Hilton </v>
      </c>
    </row>
  </sheetData>
  <drawing r:id="rId1"/>
</worksheet>
</file>