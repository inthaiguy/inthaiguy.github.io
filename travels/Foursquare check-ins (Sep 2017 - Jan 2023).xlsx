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<sst xmlns="http://schemas.openxmlformats.org/spreadsheetml/2006/main" count="1536" uniqueCount="1469">
  <si>
    <t>Date</t>
  </si>
  <si>
    <t>Location</t>
  </si>
  <si>
    <t>September 17, 2017 at 01:54PM</t>
  </si>
  <si>
    <t/>
  </si>
  <si>
    <t>September 17, 2017 at 07:39PM</t>
  </si>
  <si>
    <t>September 17, 2017 at 11:52PM</t>
  </si>
  <si>
    <t>September 18, 2017 at 04:49PM</t>
  </si>
  <si>
    <t>September 18, 2017 at 08:13PM</t>
  </si>
  <si>
    <t>September 20, 2017 at 12:41PM</t>
  </si>
  <si>
    <t>September 22, 2017 at 07:29PM</t>
  </si>
  <si>
    <t>September 24, 2017 at 01:35PM</t>
  </si>
  <si>
    <t>September 28, 2017 at 04:51PM</t>
  </si>
  <si>
    <t>September 30, 2017 at 02:04PM</t>
  </si>
  <si>
    <t>September 30, 2017 at 02:21PM</t>
  </si>
  <si>
    <t>September 30, 2017 at 08:16PM</t>
  </si>
  <si>
    <t>October 02, 2017 at 06:35PM</t>
  </si>
  <si>
    <t>October 04, 2017 at 12:45PM</t>
  </si>
  <si>
    <t>October 05, 2017 at 04:03PM</t>
  </si>
  <si>
    <t>October 08, 2017 at 12:58PM</t>
  </si>
  <si>
    <t>October 08, 2017 at 02:55PM</t>
  </si>
  <si>
    <t>October 08, 2017 at 04:08PM</t>
  </si>
  <si>
    <t>October 08, 2017 at 06:55PM</t>
  </si>
  <si>
    <t>October 09, 2017 at 12:37PM</t>
  </si>
  <si>
    <t>October 12, 2017 at 02:11PM</t>
  </si>
  <si>
    <t>October 13, 2017 at 10:57AM</t>
  </si>
  <si>
    <t>October 13, 2017 at 02:55PM</t>
  </si>
  <si>
    <t>October 13, 2017 at 05:56PM</t>
  </si>
  <si>
    <t>October 14, 2017 at 09:38AM</t>
  </si>
  <si>
    <t>October 14, 2017 at 01:36PM</t>
  </si>
  <si>
    <t>October 14, 2017 at 02:42PM</t>
  </si>
  <si>
    <t>October 14, 2017 at 03:02PM</t>
  </si>
  <si>
    <t>October 16, 2017 at 01:32PM</t>
  </si>
  <si>
    <t>October 17, 2017 at 04:32PM</t>
  </si>
  <si>
    <t>October 18, 2017 at 03:25PM</t>
  </si>
  <si>
    <t>October 18, 2017 at 05:03PM</t>
  </si>
  <si>
    <t>October 21, 2017 at 10:33AM</t>
  </si>
  <si>
    <t>October 24, 2017 at 01:06PM</t>
  </si>
  <si>
    <t>October 25, 2017 at 04:40PM</t>
  </si>
  <si>
    <t>October 25, 2017 at 06:47PM</t>
  </si>
  <si>
    <t>October 26, 2017 at 09:59AM</t>
  </si>
  <si>
    <t>October 27, 2017 at 01:44PM</t>
  </si>
  <si>
    <t>October 30, 2017 at 06:00PM</t>
  </si>
  <si>
    <t>November 02, 2017 at 06:06PM</t>
  </si>
  <si>
    <t>November 03, 2017 at 02:02PM</t>
  </si>
  <si>
    <t>November 04, 2017 at 10:45AM</t>
  </si>
  <si>
    <t>November 05, 2017 at 02:25PM</t>
  </si>
  <si>
    <t>November 05, 2017 at 08:08PM</t>
  </si>
  <si>
    <t>November 07, 2017 at 06:06PM</t>
  </si>
  <si>
    <t>November 14, 2017 at 01:02PM</t>
  </si>
  <si>
    <t>November 17, 2017 at 06:23PM</t>
  </si>
  <si>
    <t>November 18, 2017 at 08:48AM</t>
  </si>
  <si>
    <t>November 18, 2017 at 12:32PM</t>
  </si>
  <si>
    <t>November 18, 2017 at 04:53PM</t>
  </si>
  <si>
    <t>November 22, 2017 at 01:08PM</t>
  </si>
  <si>
    <t>November 25, 2017 at 04:43PM</t>
  </si>
  <si>
    <t>November 26, 2017 at 12:35PM</t>
  </si>
  <si>
    <t>November 30, 2017 at 04:44PM</t>
  </si>
  <si>
    <t>November 30, 2017 at 09:52PM</t>
  </si>
  <si>
    <t>December 01, 2017 at 09:11AM</t>
  </si>
  <si>
    <t>December 02, 2017 at 01:08PM</t>
  </si>
  <si>
    <t>December 02, 2017 at 05:58PM</t>
  </si>
  <si>
    <t>December 02, 2017 at 06:40PM</t>
  </si>
  <si>
    <t>December 03, 2017 at 10:22AM</t>
  </si>
  <si>
    <t>December 03, 2017 at 03:49PM</t>
  </si>
  <si>
    <t>December 04, 2017 at 09:26AM</t>
  </si>
  <si>
    <t>December 05, 2017 at 09:41AM</t>
  </si>
  <si>
    <t>December 05, 2017 at 03:20PM</t>
  </si>
  <si>
    <t>December 05, 2017 at 06:26PM</t>
  </si>
  <si>
    <t>December 06, 2017 at 06:29PM</t>
  </si>
  <si>
    <t>December 07, 2017 at 12:56PM</t>
  </si>
  <si>
    <t>December 07, 2017 at 04:40PM</t>
  </si>
  <si>
    <t>December 08, 2017 at 03:47PM</t>
  </si>
  <si>
    <t>December 09, 2017 at 12:23PM</t>
  </si>
  <si>
    <t>December 09, 2017 at 03:26PM</t>
  </si>
  <si>
    <t>December 09, 2017 at 04:41PM</t>
  </si>
  <si>
    <t>December 10, 2017 at 07:43AM</t>
  </si>
  <si>
    <t>December 10, 2017 at 09:59AM</t>
  </si>
  <si>
    <t>December 10, 2017 at 06:50PM</t>
  </si>
  <si>
    <t>December 10, 2017 at 06:53PM</t>
  </si>
  <si>
    <t>December 10, 2017 at 09:44PM</t>
  </si>
  <si>
    <t>December 11, 2017 at 08:19AM</t>
  </si>
  <si>
    <t>December 11, 2017 at 12:31PM</t>
  </si>
  <si>
    <t>December 11, 2017 at 01:06PM</t>
  </si>
  <si>
    <t>December 11, 2017 at 02:14PM</t>
  </si>
  <si>
    <t>December 11, 2017 at 04:42PM</t>
  </si>
  <si>
    <t>December 11, 2017 at 08:17PM</t>
  </si>
  <si>
    <t>December 16, 2017 at 07:01PM</t>
  </si>
  <si>
    <t>December 18, 2017 at 08:07PM</t>
  </si>
  <si>
    <t>December 19, 2017 at 01:09PM</t>
  </si>
  <si>
    <t>December 19, 2017 at 05:16PM</t>
  </si>
  <si>
    <t>December 23, 2017 at 04:36PM</t>
  </si>
  <si>
    <t>December 23, 2017 at 08:01PM</t>
  </si>
  <si>
    <t>December 24, 2017 at 08:55AM</t>
  </si>
  <si>
    <t>December 27, 2017 at 06:16PM</t>
  </si>
  <si>
    <t>January 01, 2018 at 01:41PM</t>
  </si>
  <si>
    <t>January 01, 2018 at 03:00PM</t>
  </si>
  <si>
    <t>January 01, 2018 at 08:37PM</t>
  </si>
  <si>
    <t>January 01, 2018 at 08:38PM</t>
  </si>
  <si>
    <t>January 01, 2018 at 10:12PM</t>
  </si>
  <si>
    <t>January 02, 2018 at 10:23AM</t>
  </si>
  <si>
    <t>January 02, 2018 at 07:17PM</t>
  </si>
  <si>
    <t>January 04, 2018 at 08:25AM</t>
  </si>
  <si>
    <t>January 04, 2018 at 07:12PM</t>
  </si>
  <si>
    <t>January 06, 2018 at 10:58AM</t>
  </si>
  <si>
    <t>January 06, 2018 at 12:06PM</t>
  </si>
  <si>
    <t>January 06, 2018 at 06:42PM</t>
  </si>
  <si>
    <t>January 07, 2018 at 12:23PM</t>
  </si>
  <si>
    <t>January 07, 2018 at 04:41PM</t>
  </si>
  <si>
    <t>January 09, 2018 at 01:52PM</t>
  </si>
  <si>
    <t>January 12, 2018 at 05:38PM</t>
  </si>
  <si>
    <t>January 13, 2018 at 10:00AM</t>
  </si>
  <si>
    <t>January 13, 2018 at 01:03PM</t>
  </si>
  <si>
    <t>January 21, 2018 at 06:38PM</t>
  </si>
  <si>
    <t>January 25, 2018 at 01:21PM</t>
  </si>
  <si>
    <t>January 25, 2018 at 07:05PM</t>
  </si>
  <si>
    <t>January 26, 2018 at 03:48PM</t>
  </si>
  <si>
    <t>January 28, 2018 at 02:04PM</t>
  </si>
  <si>
    <t>February 01, 2018 at 04:10PM</t>
  </si>
  <si>
    <t>February 02, 2018 at 08:38PM</t>
  </si>
  <si>
    <t>February 03, 2018 at 12:24PM</t>
  </si>
  <si>
    <t>February 03, 2018 at 03:36PM</t>
  </si>
  <si>
    <t>February 04, 2018 at 06:55PM</t>
  </si>
  <si>
    <t>February 05, 2018 at 12:55PM</t>
  </si>
  <si>
    <t>February 07, 2018 at 12:12PM</t>
  </si>
  <si>
    <t>February 09, 2018 at 07:44PM</t>
  </si>
  <si>
    <t>February 10, 2018 at 08:40AM</t>
  </si>
  <si>
    <t>February 10, 2018 at 07:42PM</t>
  </si>
  <si>
    <t>February 11, 2018 at 03:22PM</t>
  </si>
  <si>
    <t>February 11, 2018 at 03:54PM</t>
  </si>
  <si>
    <t>February 12, 2018 at 08:45AM</t>
  </si>
  <si>
    <t>February 12, 2018 at 12:57PM</t>
  </si>
  <si>
    <t>February 12, 2018 at 02:35PM</t>
  </si>
  <si>
    <t>February 12, 2018 at 11:11PM</t>
  </si>
  <si>
    <t>February 12, 2018 at 11:44PM</t>
  </si>
  <si>
    <t>February 13, 2018 at 12:25PM</t>
  </si>
  <si>
    <t>February 13, 2018 at 07:58PM</t>
  </si>
  <si>
    <t>February 14, 2018 at 08:03AM</t>
  </si>
  <si>
    <t>February 14, 2018 at 08:04AM</t>
  </si>
  <si>
    <t>February 14, 2018 at 08:24AM</t>
  </si>
  <si>
    <t>February 14, 2018 at 11:14AM</t>
  </si>
  <si>
    <t>February 14, 2018 at 03:28PM</t>
  </si>
  <si>
    <t>February 14, 2018 at 04:11PM</t>
  </si>
  <si>
    <t>February 14, 2018 at 04:24PM</t>
  </si>
  <si>
    <t>February 14, 2018 at 05:33PM</t>
  </si>
  <si>
    <t>February 14, 2018 at 06:32PM</t>
  </si>
  <si>
    <t>February 15, 2018 at 01:13PM</t>
  </si>
  <si>
    <t>February 15, 2018 at 06:06PM</t>
  </si>
  <si>
    <t>February 16, 2018 at 09:47AM</t>
  </si>
  <si>
    <t>February 16, 2018 at 09:51AM</t>
  </si>
  <si>
    <t>February 16, 2018 at 06:59PM</t>
  </si>
  <si>
    <t>February 17, 2018 at 07:30PM</t>
  </si>
  <si>
    <t>February 19, 2018 at 01:16PM</t>
  </si>
  <si>
    <t>February 21, 2018 at 03:11PM</t>
  </si>
  <si>
    <t>February 23, 2018 at 12:55PM</t>
  </si>
  <si>
    <t>February 25, 2018 at 05:38PM</t>
  </si>
  <si>
    <t>February 25, 2018 at 05:52PM</t>
  </si>
  <si>
    <t>Grand Opening</t>
  </si>
  <si>
    <t>February 26, 2018 at 01:54PM</t>
  </si>
  <si>
    <t>February 28, 2018 at 09:20AM</t>
  </si>
  <si>
    <t>February 28, 2018 at 09:21AM</t>
  </si>
  <si>
    <t>March 02, 2018 at 01:54PM</t>
  </si>
  <si>
    <t>March 03, 2018 at 03:14PM</t>
  </si>
  <si>
    <t>March 04, 2018 at 08:52AM</t>
  </si>
  <si>
    <t>March 04, 2018 at 10:27AM</t>
  </si>
  <si>
    <t>March 06, 2018 at 02:03PM</t>
  </si>
  <si>
    <t>March 10, 2018 at 01:47PM</t>
  </si>
  <si>
    <t>March 10, 2018 at 07:41PM</t>
  </si>
  <si>
    <t>March 12, 2018 at 06:44PM</t>
  </si>
  <si>
    <t>March 13, 2018 at 12:59PM</t>
  </si>
  <si>
    <t>March 14, 2018 at 06:02PM</t>
  </si>
  <si>
    <t>March 16, 2018 at 04:32PM</t>
  </si>
  <si>
    <t>March 16, 2018 at 07:26PM</t>
  </si>
  <si>
    <t>March 16, 2018 at 08:37PM</t>
  </si>
  <si>
    <t>March 17, 2018 at 12:40PM</t>
  </si>
  <si>
    <t>March 17, 2018 at 02:54PM</t>
  </si>
  <si>
    <t>March 17, 2018 at 04:43PM</t>
  </si>
  <si>
    <t>March 18, 2018 at 08:46AM</t>
  </si>
  <si>
    <t>March 18, 2018 at 10:56AM</t>
  </si>
  <si>
    <t>March 18, 2018 at 12:06PM</t>
  </si>
  <si>
    <t>March 18, 2018 at 02:30PM</t>
  </si>
  <si>
    <t>March 18, 2018 at 08:15PM</t>
  </si>
  <si>
    <t>March 19, 2018 at 08:43AM</t>
  </si>
  <si>
    <t>March 19, 2018 at 10:55AM</t>
  </si>
  <si>
    <t>March 19, 2018 at 12:34PM</t>
  </si>
  <si>
    <t>March 19, 2018 at 05:37PM</t>
  </si>
  <si>
    <t>March 19, 2018 at 06:04PM</t>
  </si>
  <si>
    <t>March 19, 2018 at 08:34PM</t>
  </si>
  <si>
    <t>March 20, 2018 at 12:23PM</t>
  </si>
  <si>
    <t>March 20, 2018 at 03:21PM</t>
  </si>
  <si>
    <t>March 20, 2018 at 08:51PM</t>
  </si>
  <si>
    <t>March 21, 2018 at 12:24PM</t>
  </si>
  <si>
    <t>March 21, 2018 at 12:56PM</t>
  </si>
  <si>
    <t>March 21, 2018 at 01:48PM</t>
  </si>
  <si>
    <t>March 22, 2018 at 08:17AM</t>
  </si>
  <si>
    <t>March 22, 2018 at 10:17AM</t>
  </si>
  <si>
    <t>March 22, 2018 at 12:39PM</t>
  </si>
  <si>
    <t>March 22, 2018 at 01:12PM</t>
  </si>
  <si>
    <t>March 22, 2018 at 03:02PM</t>
  </si>
  <si>
    <t>March 24, 2018 at 12:59PM</t>
  </si>
  <si>
    <t>March 25, 2018 at 01:25PM</t>
  </si>
  <si>
    <t>March 25, 2018 at 06:02PM</t>
  </si>
  <si>
    <t>March 26, 2018 at 12:54PM</t>
  </si>
  <si>
    <t>March 27, 2018 at 04:56PM</t>
  </si>
  <si>
    <t>March 31, 2018 at 10:44AM</t>
  </si>
  <si>
    <t>March 31, 2018 at 04:52PM</t>
  </si>
  <si>
    <t>April 01, 2018 at 06:21PM</t>
  </si>
  <si>
    <t>April 05, 2018 at 03:08PM</t>
  </si>
  <si>
    <t>April 05, 2018 at 05:22PM</t>
  </si>
  <si>
    <t>April 05, 2018 at 06:26PM</t>
  </si>
  <si>
    <t>April 06, 2018 at 09:22AM</t>
  </si>
  <si>
    <t>April 06, 2018 at 03:15PM</t>
  </si>
  <si>
    <t>April 07, 2018 at 05:06AM</t>
  </si>
  <si>
    <t>April 07, 2018 at 07:26AM</t>
  </si>
  <si>
    <t>April 07, 2018 at 08:08AM</t>
  </si>
  <si>
    <t>April 07, 2018 at 09:50AM</t>
  </si>
  <si>
    <t>April 07, 2018 at 10:37AM</t>
  </si>
  <si>
    <t>April 07, 2018 at 05:38PM</t>
  </si>
  <si>
    <t>April 08, 2018 at 06:47PM</t>
  </si>
  <si>
    <t>April 09, 2018 at 10:25AM</t>
  </si>
  <si>
    <t>April 10, 2018 at 11:21AM</t>
  </si>
  <si>
    <t>April 10, 2018 at 01:00PM</t>
  </si>
  <si>
    <t>April 10, 2018 at 04:05PM</t>
  </si>
  <si>
    <t>April 12, 2018 at 09:06PM</t>
  </si>
  <si>
    <t>April 15, 2018 at 08:55AM</t>
  </si>
  <si>
    <t>April 15, 2018 at 07:20PM</t>
  </si>
  <si>
    <t>April 16, 2018 at 04:56PM</t>
  </si>
  <si>
    <t>April 16, 2018 at 06:35PM</t>
  </si>
  <si>
    <t>April 17, 2018 at 09:43AM</t>
  </si>
  <si>
    <t>April 17, 2018 at 11:05AM</t>
  </si>
  <si>
    <t>April 17, 2018 at 12:43PM</t>
  </si>
  <si>
    <t>April 17, 2018 at 03:56PM</t>
  </si>
  <si>
    <t>April 18, 2018 at 08:42PM</t>
  </si>
  <si>
    <t>April 20, 2018 at 08:24AM</t>
  </si>
  <si>
    <t>April 20, 2018 at 12:35PM</t>
  </si>
  <si>
    <t>April 21, 2018 at 06:14AM</t>
  </si>
  <si>
    <t>April 21, 2018 at 06:37AM</t>
  </si>
  <si>
    <t>April 21, 2018 at 06:48AM</t>
  </si>
  <si>
    <t>April 21, 2018 at 09:06AM</t>
  </si>
  <si>
    <t>April 21, 2018 at 12:23PM</t>
  </si>
  <si>
    <t>April 22, 2018 at 05:32PM</t>
  </si>
  <si>
    <t>April 23, 2018 at 01:42PM</t>
  </si>
  <si>
    <t>April 26, 2018 at 07:15PM</t>
  </si>
  <si>
    <t>April 27, 2018 at 06:10PM</t>
  </si>
  <si>
    <t>April 29, 2018 at 11:08AM</t>
  </si>
  <si>
    <t>May 01, 2018 at 05:44PM</t>
  </si>
  <si>
    <t>May 05, 2018 at 06:17PM</t>
  </si>
  <si>
    <t>May 05, 2018 at 06:23PM</t>
  </si>
  <si>
    <t>May 06, 2018 at 11:49AM</t>
  </si>
  <si>
    <t>May 06, 2018 at 12:25PM</t>
  </si>
  <si>
    <t>May 10, 2018 at 05:02PM</t>
  </si>
  <si>
    <t>May 12, 2018 at 12:19PM</t>
  </si>
  <si>
    <t>May 12, 2018 at 08:34PM</t>
  </si>
  <si>
    <t>May 13, 2018 at 10:45AM</t>
  </si>
  <si>
    <t>May 15, 2018 at 12:23PM</t>
  </si>
  <si>
    <t>May 18, 2018 at 06:22PM</t>
  </si>
  <si>
    <t>May 19, 2018 at 08:03AM</t>
  </si>
  <si>
    <t>May 19, 2018 at 01:25PM</t>
  </si>
  <si>
    <t>May 19, 2018 at 06:22PM</t>
  </si>
  <si>
    <t>May 20, 2018 at 09:47AM</t>
  </si>
  <si>
    <t>May 20, 2018 at 02:31PM</t>
  </si>
  <si>
    <t>May 20, 2018 at 04:28PM</t>
  </si>
  <si>
    <t>May 24, 2018 at 12:05PM</t>
  </si>
  <si>
    <t>May 24, 2018 at 12:40PM</t>
  </si>
  <si>
    <t>May 27, 2018 at 08:24AM</t>
  </si>
  <si>
    <t>May 27, 2018 at 01:47PM</t>
  </si>
  <si>
    <t>May 27, 2018 at 05:10PM</t>
  </si>
  <si>
    <t>May 28, 2018 at 12:47PM</t>
  </si>
  <si>
    <t>May 28, 2018 at 02:44PM</t>
  </si>
  <si>
    <t>May 28, 2018 at 07:38PM</t>
  </si>
  <si>
    <t>May 31, 2018 at 12:23PM</t>
  </si>
  <si>
    <t>June 02, 2018 at 03:38PM</t>
  </si>
  <si>
    <t>June 03, 2018 at 07:18PM</t>
  </si>
  <si>
    <t>June 06, 2018 at 01:45PM</t>
  </si>
  <si>
    <t>June 09, 2018 at 01:18PM</t>
  </si>
  <si>
    <t>June 10, 2018 at 09:41AM</t>
  </si>
  <si>
    <t>June 10, 2018 at 01:53PM</t>
  </si>
  <si>
    <t>June 10, 2018 at 03:18PM</t>
  </si>
  <si>
    <t>June 11, 2018 at 12:26PM</t>
  </si>
  <si>
    <t>June 11, 2018 at 02:02PM</t>
  </si>
  <si>
    <t>June 14, 2018 at 12:59PM</t>
  </si>
  <si>
    <t>June 18, 2018 at 08:52AM</t>
  </si>
  <si>
    <t>June 20, 2018 at 01:02PM</t>
  </si>
  <si>
    <t>June 20, 2018 at 06:53PM</t>
  </si>
  <si>
    <t>June 23, 2018 at 12:58PM</t>
  </si>
  <si>
    <t>June 23, 2018 at 08:56PM</t>
  </si>
  <si>
    <t>June 24, 2018 at 05:06AM</t>
  </si>
  <si>
    <t>June 27, 2018 at 02:41AM</t>
  </si>
  <si>
    <t>June 27, 2018 at 10:35PM</t>
  </si>
  <si>
    <t>June 28, 2018 at 03:43AM</t>
  </si>
  <si>
    <t>June 28, 2018 at 11:10PM</t>
  </si>
  <si>
    <t>June 29, 2018 at 02:17AM</t>
  </si>
  <si>
    <t>June 29, 2018 at 10:30PM</t>
  </si>
  <si>
    <t>June 30, 2018 at 09:54PM</t>
  </si>
  <si>
    <t>July 01, 2018 at 12:21AM</t>
  </si>
  <si>
    <t>July 03, 2018 at 09:43PM</t>
  </si>
  <si>
    <t>July 05, 2018 at 02:04AM</t>
  </si>
  <si>
    <t>July 06, 2018 at 12:41AM</t>
  </si>
  <si>
    <t>July 06, 2018 at 02:10AM</t>
  </si>
  <si>
    <t>July 06, 2018 at 05:33AM</t>
  </si>
  <si>
    <t>July 07, 2018 at 01:33AM</t>
  </si>
  <si>
    <t>July 07, 2018 at 04:03AM</t>
  </si>
  <si>
    <t>July 07, 2018 at 06:12AM</t>
  </si>
  <si>
    <t>July 11, 2018 at 01:39AM</t>
  </si>
  <si>
    <t>July 11, 2018 at 03:28AM</t>
  </si>
  <si>
    <t>July 11, 2018 at 05:10AM</t>
  </si>
  <si>
    <t>July 12, 2018 at 01:08AM</t>
  </si>
  <si>
    <t>July 13, 2018 at 06:06PM</t>
  </si>
  <si>
    <t>July 13, 2018 at 08:06PM</t>
  </si>
  <si>
    <t>July 15, 2018 at 04:02PM</t>
  </si>
  <si>
    <t>July 18, 2018 at 12:12PM</t>
  </si>
  <si>
    <t>July 19, 2018 at 12:43PM</t>
  </si>
  <si>
    <t>July 19, 2018 at 05:18PM</t>
  </si>
  <si>
    <t>July 20, 2018 at 06:42PM</t>
  </si>
  <si>
    <t>July 22, 2018 at 06:29PM</t>
  </si>
  <si>
    <t>July 23, 2018 at 06:27PM</t>
  </si>
  <si>
    <t>July 29, 2018 at 06:15PM</t>
  </si>
  <si>
    <t>July 31, 2018 at 01:55PM</t>
  </si>
  <si>
    <t>August 04, 2018 at 11:13AM</t>
  </si>
  <si>
    <t>August 05, 2018 at 03:07PM</t>
  </si>
  <si>
    <t>August 08, 2018 at 01:37PM</t>
  </si>
  <si>
    <t>August 10, 2018 at 07:07PM</t>
  </si>
  <si>
    <t>August 11, 2018 at 12:51PM</t>
  </si>
  <si>
    <t>August 11, 2018 at 03:45PM</t>
  </si>
  <si>
    <t>August 16, 2018 at 01:06PM</t>
  </si>
  <si>
    <t>August 22, 2018 at 01:38PM</t>
  </si>
  <si>
    <t>August 27, 2018 at 07:14PM</t>
  </si>
  <si>
    <t>August 27, 2018 at 07:15PM</t>
  </si>
  <si>
    <t>August 30, 2018 at 01:03PM</t>
  </si>
  <si>
    <t>August 30, 2018 at 07:18PM</t>
  </si>
  <si>
    <t>September 03, 2018 at 05:22PM</t>
  </si>
  <si>
    <t>September 06, 2018 at 01:36PM</t>
  </si>
  <si>
    <t>September 08, 2018 at 06:53PM</t>
  </si>
  <si>
    <t>September 09, 2018 at 03:03PM</t>
  </si>
  <si>
    <t>September 09, 2018 at 07:15PM</t>
  </si>
  <si>
    <t>September 12, 2018 at 01:59PM</t>
  </si>
  <si>
    <t>September 27, 2018 at 01:35PM</t>
  </si>
  <si>
    <t>September 27, 2018 at 06:43PM</t>
  </si>
  <si>
    <t>September 30, 2018 at 02:37PM</t>
  </si>
  <si>
    <t>October 01, 2018 at 02:44PM</t>
  </si>
  <si>
    <t>October 03, 2018 at 12:47PM</t>
  </si>
  <si>
    <t>October 06, 2018 at 02:27PM</t>
  </si>
  <si>
    <t>October 09, 2018 at 02:07PM</t>
  </si>
  <si>
    <t>October 12, 2018 at 10:43AM</t>
  </si>
  <si>
    <t>October 12, 2018 at 11:47AM</t>
  </si>
  <si>
    <t>October 12, 2018 at 03:55PM</t>
  </si>
  <si>
    <t>October 12, 2018 at 06:44PM</t>
  </si>
  <si>
    <t>October 13, 2018 at 11:27AM</t>
  </si>
  <si>
    <t>October 13, 2018 at 01:14PM</t>
  </si>
  <si>
    <t>October 14, 2018 at 01:36PM</t>
  </si>
  <si>
    <t>October 16, 2018 at 05:41PM</t>
  </si>
  <si>
    <t>October 18, 2018 at 06:50PM</t>
  </si>
  <si>
    <t>October 20, 2018 at 10:05AM</t>
  </si>
  <si>
    <t>October 20, 2018 at 12:04PM</t>
  </si>
  <si>
    <t>October 20, 2018 at 01:05PM</t>
  </si>
  <si>
    <t>October 20, 2018 at 02:25PM</t>
  </si>
  <si>
    <t>October 20, 2018 at 05:27PM</t>
  </si>
  <si>
    <t>October 20, 2018 at 07:10PM</t>
  </si>
  <si>
    <t>October 21, 2018 at 05:04PM</t>
  </si>
  <si>
    <t>October 21, 2018 at 08:15PM</t>
  </si>
  <si>
    <t>October 22, 2018 at 05:14PM</t>
  </si>
  <si>
    <t>October 25, 2018 at 10:13AM</t>
  </si>
  <si>
    <t>October 25, 2018 at 01:05PM</t>
  </si>
  <si>
    <t>October 25, 2018 at 02:40PM</t>
  </si>
  <si>
    <t>October 26, 2018 at 10:16AM</t>
  </si>
  <si>
    <t>October 26, 2018 at 11:04AM</t>
  </si>
  <si>
    <t>October 26, 2018 at 06:29PM</t>
  </si>
  <si>
    <t>October 27, 2018 at 09:55AM</t>
  </si>
  <si>
    <t>October 27, 2018 at 01:47PM</t>
  </si>
  <si>
    <t>October 27, 2018 at 02:04PM</t>
  </si>
  <si>
    <t>October 27, 2018 at 05:06PM</t>
  </si>
  <si>
    <t>October 28, 2018 at 11:04AM</t>
  </si>
  <si>
    <t>October 28, 2018 at 12:47PM</t>
  </si>
  <si>
    <t>October 28, 2018 at 01:55PM</t>
  </si>
  <si>
    <t>October 28, 2018 at 01:56PM</t>
  </si>
  <si>
    <t>November 01, 2018 at 06:24PM</t>
  </si>
  <si>
    <t>November 03, 2018 at 10:27AM</t>
  </si>
  <si>
    <t>November 04, 2018 at 04:39PM</t>
  </si>
  <si>
    <t>November 04, 2018 at 05:28PM</t>
  </si>
  <si>
    <t>November 05, 2018 at 12:17PM</t>
  </si>
  <si>
    <t>November 17, 2018 at 10:37AM</t>
  </si>
  <si>
    <t>November 18, 2018 at 02:28PM</t>
  </si>
  <si>
    <t>November 22, 2018 at 02:38PM</t>
  </si>
  <si>
    <t>November 24, 2018 at 10:46AM</t>
  </si>
  <si>
    <t>November 25, 2018 at 05:40PM</t>
  </si>
  <si>
    <t>November 25, 2018 at 09:30PM</t>
  </si>
  <si>
    <t>November 25, 2018 at 10:56PM</t>
  </si>
  <si>
    <t>November 26, 2018 at 08:55AM</t>
  </si>
  <si>
    <t>November 28, 2018 at 11:48AM</t>
  </si>
  <si>
    <t>November 28, 2018 at 08:48PM</t>
  </si>
  <si>
    <t>November 29, 2018 at 10:14AM</t>
  </si>
  <si>
    <t>November 29, 2018 at 03:57PM</t>
  </si>
  <si>
    <t>November 29, 2018 at 06:51PM</t>
  </si>
  <si>
    <t>November 29, 2018 at 07:40PM</t>
  </si>
  <si>
    <t>November 29, 2018 at 09:49PM</t>
  </si>
  <si>
    <t>November 29, 2018 at 10:12PM</t>
  </si>
  <si>
    <t>November 30, 2018 at 07:25AM</t>
  </si>
  <si>
    <t>November 30, 2018 at 11:13AM</t>
  </si>
  <si>
    <t>November 30, 2018 at 12:36PM</t>
  </si>
  <si>
    <t>November 30, 2018 at 02:48PM</t>
  </si>
  <si>
    <t>December 01, 2018 at 04:14PM</t>
  </si>
  <si>
    <t>December 02, 2018 at 09:52AM</t>
  </si>
  <si>
    <t>December 02, 2018 at 12:18PM</t>
  </si>
  <si>
    <t>December 02, 2018 at 05:04PM</t>
  </si>
  <si>
    <t>December 03, 2018 at 07:06PM</t>
  </si>
  <si>
    <t>December 04, 2018 at 05:49PM</t>
  </si>
  <si>
    <t>December 05, 2018 at 07:54PM</t>
  </si>
  <si>
    <t>December 07, 2018 at 08:34AM</t>
  </si>
  <si>
    <t>December 07, 2018 at 01:23PM</t>
  </si>
  <si>
    <t>December 08, 2018 at 01:49PM</t>
  </si>
  <si>
    <t>December 08, 2018 at 06:31PM</t>
  </si>
  <si>
    <t>December 12, 2018 at 07:00PM</t>
  </si>
  <si>
    <t>December 15, 2018 at 08:12PM</t>
  </si>
  <si>
    <t>December 16, 2018 at 05:51PM</t>
  </si>
  <si>
    <t>December 17, 2018 at 08:32PM</t>
  </si>
  <si>
    <t>December 19, 2018 at 12:59PM</t>
  </si>
  <si>
    <t>December 21, 2018 at 04:53PM</t>
  </si>
  <si>
    <t>December 21, 2018 at 09:39PM</t>
  </si>
  <si>
    <t>December 24, 2018 at 04:17PM</t>
  </si>
  <si>
    <t>December 25, 2018 at 04:34PM</t>
  </si>
  <si>
    <t>December 26, 2018 at 06:15PM</t>
  </si>
  <si>
    <t>December 27, 2018 at 09:22AM</t>
  </si>
  <si>
    <t>December 27, 2018 at 12:59PM</t>
  </si>
  <si>
    <t>December 28, 2018 at 10:05AM</t>
  </si>
  <si>
    <t>December 28, 2018 at 11:37AM</t>
  </si>
  <si>
    <t>December 28, 2018 at 06:29PM</t>
  </si>
  <si>
    <t>December 29, 2018 at 10:24AM</t>
  </si>
  <si>
    <t>December 29, 2018 at 11:06AM</t>
  </si>
  <si>
    <t>December 29, 2018 at 11:25AM</t>
  </si>
  <si>
    <t>December 29, 2018 at 12:04PM</t>
  </si>
  <si>
    <t>December 29, 2018 at 03:03PM</t>
  </si>
  <si>
    <t>December 29, 2018 at 04:48PM</t>
  </si>
  <si>
    <t>December 30, 2018 at 07:13AM</t>
  </si>
  <si>
    <t>December 30, 2018 at 08:56AM</t>
  </si>
  <si>
    <t>December 30, 2018 at 09:17AM</t>
  </si>
  <si>
    <t>December 30, 2018 at 03:25PM</t>
  </si>
  <si>
    <t>December 30, 2018 at 06:33PM</t>
  </si>
  <si>
    <t>December 31, 2018 at 09:16AM</t>
  </si>
  <si>
    <t>December 31, 2018 at 10:39AM</t>
  </si>
  <si>
    <t>December 31, 2018 at 11:47AM</t>
  </si>
  <si>
    <t>December 31, 2018 at 01:52PM</t>
  </si>
  <si>
    <t>January 01, 2019 at 06:14AM</t>
  </si>
  <si>
    <t>January 01, 2019 at 02:19PM</t>
  </si>
  <si>
    <t>January 02, 2019 at 12:11PM</t>
  </si>
  <si>
    <t>January 02, 2019 at 01:12PM</t>
  </si>
  <si>
    <t>January 02, 2019 at 04:29PM</t>
  </si>
  <si>
    <t>January 04, 2019 at 06:35AM</t>
  </si>
  <si>
    <t>January 04, 2019 at 02:10PM</t>
  </si>
  <si>
    <t>January 04, 2019 at 03:57PM</t>
  </si>
  <si>
    <t>January 05, 2019 at 12:52PM</t>
  </si>
  <si>
    <t>January 05, 2019 at 12:57PM</t>
  </si>
  <si>
    <t>January 05, 2019 at 03:56PM</t>
  </si>
  <si>
    <t>January 05, 2019 at 05:37PM</t>
  </si>
  <si>
    <t>January 05, 2019 at 06:22PM</t>
  </si>
  <si>
    <t>January 06, 2019 at 03:30AM</t>
  </si>
  <si>
    <t>January 06, 2019 at 06:43AM</t>
  </si>
  <si>
    <t>January 06, 2019 at 01:23PM</t>
  </si>
  <si>
    <t>January 06, 2019 at 06:47PM</t>
  </si>
  <si>
    <t>January 09, 2019 at 01:48PM</t>
  </si>
  <si>
    <t>January 09, 2019 at 07:09PM</t>
  </si>
  <si>
    <t>January 12, 2019 at 11:06AM</t>
  </si>
  <si>
    <t>January 14, 2019 at 01:39PM</t>
  </si>
  <si>
    <t>January 18, 2019 at 01:09PM</t>
  </si>
  <si>
    <t>January 30, 2019 at 06:34PM</t>
  </si>
  <si>
    <t>February 01, 2019 at 05:23PM</t>
  </si>
  <si>
    <t>February 03, 2019 at 07:07PM</t>
  </si>
  <si>
    <t>February 06, 2019 at 06:19PM</t>
  </si>
  <si>
    <t>February 10, 2019 at 01:18PM</t>
  </si>
  <si>
    <t>February 10, 2019 at 05:13PM</t>
  </si>
  <si>
    <t>February 10, 2019 at 06:44PM</t>
  </si>
  <si>
    <t>February 13, 2019 at 12:05PM</t>
  </si>
  <si>
    <t>February 13, 2019 at 07:07PM</t>
  </si>
  <si>
    <t>February 16, 2019 at 09:51AM</t>
  </si>
  <si>
    <t>February 16, 2019 at 05:06PM</t>
  </si>
  <si>
    <t>February 18, 2019 at 12:38PM</t>
  </si>
  <si>
    <t>February 18, 2019 at 05:38PM</t>
  </si>
  <si>
    <t>February 21, 2019 at 01:14PM</t>
  </si>
  <si>
    <t>February 26, 2019 at 05:20PM</t>
  </si>
  <si>
    <t>February 27, 2019 at 06:43PM</t>
  </si>
  <si>
    <t>March 02, 2019 at 06:52PM</t>
  </si>
  <si>
    <t>March 03, 2019 at 10:04AM</t>
  </si>
  <si>
    <t>March 03, 2019 at 12:43PM</t>
  </si>
  <si>
    <t>March 05, 2019 at 05:26PM</t>
  </si>
  <si>
    <t>March 09, 2019 at 10:01AM</t>
  </si>
  <si>
    <t>March 09, 2019 at 12:09PM</t>
  </si>
  <si>
    <t>March 09, 2019 at 01:34PM</t>
  </si>
  <si>
    <t>March 10, 2019 at 11:02AM</t>
  </si>
  <si>
    <t>March 10, 2019 at 02:51PM</t>
  </si>
  <si>
    <t>March 10, 2019 at 07:18PM</t>
  </si>
  <si>
    <t>March 11, 2019 at 06:19PM</t>
  </si>
  <si>
    <t>March 20, 2019 at 12:16PM</t>
  </si>
  <si>
    <t>April 03, 2019 at 06:55AM</t>
  </si>
  <si>
    <t>April 03, 2019 at 11:15AM</t>
  </si>
  <si>
    <t>April 03, 2019 at 06:30PM</t>
  </si>
  <si>
    <t>April 03, 2019 at 07:19PM</t>
  </si>
  <si>
    <t>April 03, 2019 at 09:19PM</t>
  </si>
  <si>
    <t>April 04, 2019 at 07:23AM</t>
  </si>
  <si>
    <t>April 04, 2019 at 09:43AM</t>
  </si>
  <si>
    <t>April 04, 2019 at 05:12PM</t>
  </si>
  <si>
    <t>April 04, 2019 at 07:07PM</t>
  </si>
  <si>
    <t>April 05, 2019 at 07:23AM</t>
  </si>
  <si>
    <t>April 05, 2019 at 05:41PM</t>
  </si>
  <si>
    <t>April 05, 2019 at 08:15PM</t>
  </si>
  <si>
    <t>April 06, 2019 at 10:16AM</t>
  </si>
  <si>
    <t>April 06, 2019 at 01:13PM</t>
  </si>
  <si>
    <t>April 07, 2019 at 08:31AM</t>
  </si>
  <si>
    <t>April 07, 2019 at 10:23AM</t>
  </si>
  <si>
    <t>April 07, 2019 at 05:20PM</t>
  </si>
  <si>
    <t>April 08, 2019 at 06:43PM</t>
  </si>
  <si>
    <t>April 08, 2019 at 08:13PM</t>
  </si>
  <si>
    <t>April 09, 2019 at 05:56PM</t>
  </si>
  <si>
    <t>April 10, 2019 at 06:33PM</t>
  </si>
  <si>
    <t>April 10, 2019 at 07:19PM</t>
  </si>
  <si>
    <t>April 11, 2019 at 06:11PM</t>
  </si>
  <si>
    <t>April 11, 2019 at 08:06PM</t>
  </si>
  <si>
    <t>April 11, 2019 at 08:27PM</t>
  </si>
  <si>
    <t>April 12, 2019 at 06:06PM</t>
  </si>
  <si>
    <t>April 13, 2019 at 11:42AM</t>
  </si>
  <si>
    <t>April 14, 2019 at 04:43PM</t>
  </si>
  <si>
    <t>April 14, 2019 at 07:53PM</t>
  </si>
  <si>
    <t>April 15, 2019 at 05:51PM</t>
  </si>
  <si>
    <t>April 17, 2019 at 05:13PM</t>
  </si>
  <si>
    <t>April 18, 2019 at 07:32PM</t>
  </si>
  <si>
    <t>April 18, 2019 at 07:44PM</t>
  </si>
  <si>
    <t>April 19, 2019 at 07:40PM</t>
  </si>
  <si>
    <t>April 20, 2019 at 08:34AM</t>
  </si>
  <si>
    <t>April 20, 2019 at 01:08PM</t>
  </si>
  <si>
    <t>April 20, 2019 at 04:00PM</t>
  </si>
  <si>
    <t>April 20, 2019 at 05:56PM</t>
  </si>
  <si>
    <t>April 20, 2019 at 07:29PM</t>
  </si>
  <si>
    <t>April 21, 2019 at 07:38AM</t>
  </si>
  <si>
    <t>April 25, 2019 at 05:50PM</t>
  </si>
  <si>
    <t>April 26, 2019 at 05:23PM</t>
  </si>
  <si>
    <t>April 26, 2019 at 06:47PM</t>
  </si>
  <si>
    <t>May 01, 2019 at 06:19PM</t>
  </si>
  <si>
    <t>May 04, 2019 at 10:14AM</t>
  </si>
  <si>
    <t>May 09, 2019 at 01:13PM</t>
  </si>
  <si>
    <t>May 12, 2019 at 12:38PM</t>
  </si>
  <si>
    <t>May 15, 2019 at 01:05PM</t>
  </si>
  <si>
    <t>May 20, 2019 at 01:23PM</t>
  </si>
  <si>
    <t>May 20, 2019 at 02:02PM</t>
  </si>
  <si>
    <t>May 29, 2019 at 06:13PM</t>
  </si>
  <si>
    <t>May 30, 2019 at 06:47PM</t>
  </si>
  <si>
    <t>May 30, 2019 at 07:38PM</t>
  </si>
  <si>
    <t>May 31, 2019 at 07:23PM</t>
  </si>
  <si>
    <t>June 01, 2019 at 04:07PM</t>
  </si>
  <si>
    <t>June 01, 2019 at 10:05PM</t>
  </si>
  <si>
    <t>June 02, 2019 at 07:58PM</t>
  </si>
  <si>
    <t>June 02, 2019 at 08:59PM</t>
  </si>
  <si>
    <t>June 03, 2019 at 04:38AM</t>
  </si>
  <si>
    <t>June 03, 2019 at 08:25PM</t>
  </si>
  <si>
    <t>June 04, 2019 at 02:30AM</t>
  </si>
  <si>
    <t>June 04, 2019 at 03:29AM</t>
  </si>
  <si>
    <t>June 04, 2019 at 03:41AM</t>
  </si>
  <si>
    <t>June 04, 2019 at 08:31AM</t>
  </si>
  <si>
    <t>June 05, 2019 at 09:28AM</t>
  </si>
  <si>
    <t>June 06, 2019 at 04:41AM</t>
  </si>
  <si>
    <t>June 07, 2019 at 03:46AM</t>
  </si>
  <si>
    <t>June 07, 2019 at 05:53AM</t>
  </si>
  <si>
    <t>June 07, 2019 at 10:47AM</t>
  </si>
  <si>
    <t>June 08, 2019 at 05:38AM</t>
  </si>
  <si>
    <t>June 09, 2019 at 05:11AM</t>
  </si>
  <si>
    <t>June 09, 2019 at 08:06AM</t>
  </si>
  <si>
    <t>June 09, 2019 at 10:19AM</t>
  </si>
  <si>
    <t>June 09, 2019 at 11:05AM</t>
  </si>
  <si>
    <t>June 10, 2019 at 12:13AM</t>
  </si>
  <si>
    <t>June 10, 2019 at 03:08AM</t>
  </si>
  <si>
    <t>June 10, 2019 at 04:38AM</t>
  </si>
  <si>
    <t>June 10, 2019 at 08:58AM</t>
  </si>
  <si>
    <t>June 10, 2019 at 10:54AM</t>
  </si>
  <si>
    <t>June 10, 2019 at 11:46PM</t>
  </si>
  <si>
    <t>June 11, 2019 at 03:25AM</t>
  </si>
  <si>
    <t>June 11, 2019 at 05:22AM</t>
  </si>
  <si>
    <t>June 12, 2019 at 08:32AM</t>
  </si>
  <si>
    <t>June 13, 2019 at 02:04AM</t>
  </si>
  <si>
    <t>June 13, 2019 at 06:37AM</t>
  </si>
  <si>
    <t>June 13, 2019 at 08:29AM</t>
  </si>
  <si>
    <t>June 14, 2019 at 02:02AM</t>
  </si>
  <si>
    <t>June 14, 2019 at 02:47AM</t>
  </si>
  <si>
    <t>June 14, 2019 at 03:29AM</t>
  </si>
  <si>
    <t>June 14, 2019 at 03:39AM</t>
  </si>
  <si>
    <t>June 14, 2019 at 05:36AM</t>
  </si>
  <si>
    <t>June 14, 2019 at 06:22AM</t>
  </si>
  <si>
    <t>June 14, 2019 at 10:35PM</t>
  </si>
  <si>
    <t>June 15, 2019 at 01:26AM</t>
  </si>
  <si>
    <t>June 15, 2019 at 02:44AM</t>
  </si>
  <si>
    <t>June 15, 2019 at 03:07AM</t>
  </si>
  <si>
    <t>June 15, 2019 at 03:38AM</t>
  </si>
  <si>
    <t>June 15, 2019 at 06:01AM</t>
  </si>
  <si>
    <t>June 15, 2019 at 08:57AM</t>
  </si>
  <si>
    <t>June 17, 2019 at 03:22AM</t>
  </si>
  <si>
    <t>June 17, 2019 at 06:17AM</t>
  </si>
  <si>
    <t>June 19, 2019 at 06:27AM</t>
  </si>
  <si>
    <t>June 19, 2019 at 08:21AM</t>
  </si>
  <si>
    <t>June 22, 2019 at 01:43AM</t>
  </si>
  <si>
    <t>June 22, 2019 at 02:05AM</t>
  </si>
  <si>
    <t>June 22, 2019 at 02:49AM</t>
  </si>
  <si>
    <t>June 22, 2019 at 02:59AM</t>
  </si>
  <si>
    <t>June 22, 2019 at 06:34AM</t>
  </si>
  <si>
    <t>June 22, 2019 at 07:27AM</t>
  </si>
  <si>
    <t>June 22, 2019 at 09:01AM</t>
  </si>
  <si>
    <t>June 23, 2019 at 02:22AM</t>
  </si>
  <si>
    <t>June 23, 2019 at 03:51AM</t>
  </si>
  <si>
    <t>June 23, 2019 at 05:06AM</t>
  </si>
  <si>
    <t>June 23, 2019 at 08:27AM</t>
  </si>
  <si>
    <t>June 23, 2019 at 10:25AM</t>
  </si>
  <si>
    <t>June 24, 2019 at 06:50AM</t>
  </si>
  <si>
    <t>June 24, 2019 at 07:18AM</t>
  </si>
  <si>
    <t>June 25, 2019 at 01:16AM</t>
  </si>
  <si>
    <t>June 25, 2019 at 02:14AM</t>
  </si>
  <si>
    <t>June 25, 2019 at 02:45AM</t>
  </si>
  <si>
    <t>June 25, 2019 at 07:01AM</t>
  </si>
  <si>
    <t>June 26, 2019 at 05:07AM</t>
  </si>
  <si>
    <t>June 27, 2019 at 06:00AM</t>
  </si>
  <si>
    <t>June 28, 2019 at 05:42AM</t>
  </si>
  <si>
    <t>June 28, 2019 at 05:53AM</t>
  </si>
  <si>
    <t>June 28, 2019 at 08:01AM</t>
  </si>
  <si>
    <t>June 29, 2019 at 02:54AM</t>
  </si>
  <si>
    <t>June 29, 2019 at 03:14AM</t>
  </si>
  <si>
    <t>June 29, 2019 at 04:09AM</t>
  </si>
  <si>
    <t>June 29, 2019 at 06:05AM</t>
  </si>
  <si>
    <t>June 29, 2019 at 09:29AM</t>
  </si>
  <si>
    <t>June 29, 2019 at 09:49AM</t>
  </si>
  <si>
    <t>June 29, 2019 at 11:39PM</t>
  </si>
  <si>
    <t>July 01, 2019 at 12:33AM</t>
  </si>
  <si>
    <t>July 01, 2019 at 03:58AM</t>
  </si>
  <si>
    <t>July 01, 2019 at 05:02AM</t>
  </si>
  <si>
    <t>July 01, 2019 at 11:08PM</t>
  </si>
  <si>
    <t>July 01, 2019 at 11:22PM</t>
  </si>
  <si>
    <t>July 02, 2019 at 04:07AM</t>
  </si>
  <si>
    <t>July 03, 2019 at 07:33AM</t>
  </si>
  <si>
    <t>July 03, 2019 at 09:33AM</t>
  </si>
  <si>
    <t>July 03, 2019 at 10:37AM</t>
  </si>
  <si>
    <t>July 04, 2019 at 04:01AM</t>
  </si>
  <si>
    <t>July 04, 2019 at 05:50AM</t>
  </si>
  <si>
    <t>July 04, 2019 at 06:43AM</t>
  </si>
  <si>
    <t>July 05, 2019 at 03:49AM</t>
  </si>
  <si>
    <t>July 07, 2019 at 05:40AM</t>
  </si>
  <si>
    <t>July 08, 2019 at 06:25AM</t>
  </si>
  <si>
    <t>July 08, 2019 at 11:29PM</t>
  </si>
  <si>
    <t>July 09, 2019 at 03:32AM</t>
  </si>
  <si>
    <t>July 09, 2019 at 04:26AM</t>
  </si>
  <si>
    <t>July 09, 2019 at 07:12AM</t>
  </si>
  <si>
    <t>July 09, 2019 at 11:15PM</t>
  </si>
  <si>
    <t>July 10, 2019 at 03:32AM</t>
  </si>
  <si>
    <t>July 10, 2019 at 06:07AM</t>
  </si>
  <si>
    <t>July 10, 2019 at 08:01AM</t>
  </si>
  <si>
    <t>July 11, 2019 at 12:43AM</t>
  </si>
  <si>
    <t>July 11, 2019 at 01:44AM</t>
  </si>
  <si>
    <t>July 11, 2019 at 02:59AM</t>
  </si>
  <si>
    <t>July 11, 2019 at 03:33AM</t>
  </si>
  <si>
    <t>July 11, 2019 at 06:31AM</t>
  </si>
  <si>
    <t>July 11, 2019 at 11:19PM</t>
  </si>
  <si>
    <t>July 12, 2019 at 11:47PM</t>
  </si>
  <si>
    <t>July 13, 2019 at 03:46AM</t>
  </si>
  <si>
    <t>July 13, 2019 at 04:10AM</t>
  </si>
  <si>
    <t>July 13, 2019 at 04:41AM</t>
  </si>
  <si>
    <t>July 13, 2019 at 08:25AM</t>
  </si>
  <si>
    <t>July 13, 2019 at 10:41AM</t>
  </si>
  <si>
    <t>July 13, 2019 at 10:49PM</t>
  </si>
  <si>
    <t>July 14, 2019 at 04:33AM</t>
  </si>
  <si>
    <t>July 14, 2019 at 05:13AM</t>
  </si>
  <si>
    <t>July 17, 2019 at 01:30AM</t>
  </si>
  <si>
    <t>July 17, 2019 at 02:30AM</t>
  </si>
  <si>
    <t>July 17, 2019 at 06:58AM</t>
  </si>
  <si>
    <t>July 17, 2019 at 11:42PM</t>
  </si>
  <si>
    <t>July 20, 2019 at 01:45AM</t>
  </si>
  <si>
    <t>July 20, 2019 at 02:07AM</t>
  </si>
  <si>
    <t>July 20, 2019 at 02:50AM</t>
  </si>
  <si>
    <t>July 20, 2019 at 04:28AM</t>
  </si>
  <si>
    <t>July 20, 2019 at 05:24AM</t>
  </si>
  <si>
    <t>July 20, 2019 at 08:11AM</t>
  </si>
  <si>
    <t>July 20, 2019 at 08:57AM</t>
  </si>
  <si>
    <t>July 20, 2019 at 10:48AM</t>
  </si>
  <si>
    <t>July 20, 2019 at 10:29PM</t>
  </si>
  <si>
    <t>July 21, 2019 at 02:32AM</t>
  </si>
  <si>
    <t>July 21, 2019 at 03:19AM</t>
  </si>
  <si>
    <t>July 21, 2019 at 03:20AM</t>
  </si>
  <si>
    <t>July 21, 2019 at 03:21AM</t>
  </si>
  <si>
    <t>July 21, 2019 at 08:09AM</t>
  </si>
  <si>
    <t>July 22, 2019 at 12:04AM</t>
  </si>
  <si>
    <t>July 22, 2019 at 12:40AM</t>
  </si>
  <si>
    <t>July 22, 2019 at 01:28AM</t>
  </si>
  <si>
    <t>July 22, 2019 at 02:46AM</t>
  </si>
  <si>
    <t>July 22, 2019 at 03:47AM</t>
  </si>
  <si>
    <t>July 23, 2019 at 01:35AM</t>
  </si>
  <si>
    <t>July 23, 2019 at 06:50AM</t>
  </si>
  <si>
    <t>July 23, 2019 at 08:36AM</t>
  </si>
  <si>
    <t>July 24, 2019 at 04:56AM</t>
  </si>
  <si>
    <t>July 24, 2019 at 05:11AM</t>
  </si>
  <si>
    <t>July 24, 2019 at 05:35AM</t>
  </si>
  <si>
    <t>July 24, 2019 at 05:47AM</t>
  </si>
  <si>
    <t>July 25, 2019 at 02:46AM</t>
  </si>
  <si>
    <t>July 25, 2019 at 03:34AM</t>
  </si>
  <si>
    <t>July 25, 2019 at 06:24AM</t>
  </si>
  <si>
    <t>July 27, 2019 at 08:16AM</t>
  </si>
  <si>
    <t>July 27, 2019 at 09:07AM</t>
  </si>
  <si>
    <t>July 28, 2019 at 03:06AM</t>
  </si>
  <si>
    <t>July 28, 2019 at 04:26AM</t>
  </si>
  <si>
    <t>July 28, 2019 at 05:46AM</t>
  </si>
  <si>
    <t>July 30, 2019 at 07:22AM</t>
  </si>
  <si>
    <t>July 30, 2019 at 08:04AM</t>
  </si>
  <si>
    <t>July 31, 2019 at 01:45AM</t>
  </si>
  <si>
    <t>July 31, 2019 at 02:55AM</t>
  </si>
  <si>
    <t>July 31, 2019 at 04:00AM</t>
  </si>
  <si>
    <t>July 31, 2019 at 06:37AM</t>
  </si>
  <si>
    <t>July 31, 2019 at 09:39AM</t>
  </si>
  <si>
    <t>August 01, 2019 at 03:01AM</t>
  </si>
  <si>
    <t>August 01, 2019 at 04:58AM</t>
  </si>
  <si>
    <t>August 01, 2019 at 07:49AM</t>
  </si>
  <si>
    <t>August 02, 2019 at 02:33AM</t>
  </si>
  <si>
    <t>August 02, 2019 at 05:54AM</t>
  </si>
  <si>
    <t>August 02, 2019 at 10:58PM</t>
  </si>
  <si>
    <t>August 02, 2019 at 11:28PM</t>
  </si>
  <si>
    <t>August 02, 2019 at 11:41PM</t>
  </si>
  <si>
    <t>August 02, 2019 at 11:53PM</t>
  </si>
  <si>
    <t>August 03, 2019 at 03:25AM</t>
  </si>
  <si>
    <t>August 03, 2019 at 04:39AM</t>
  </si>
  <si>
    <t>August 03, 2019 at 05:51AM</t>
  </si>
  <si>
    <t>August 03, 2019 at 06:46AM</t>
  </si>
  <si>
    <t>August 03, 2019 at 10:49AM</t>
  </si>
  <si>
    <t>August 04, 2019 at 06:50AM</t>
  </si>
  <si>
    <t>August 04, 2019 at 10:28AM</t>
  </si>
  <si>
    <t>August 04, 2019 at 10:40AM</t>
  </si>
  <si>
    <t>August 04, 2019 at 12:33PM</t>
  </si>
  <si>
    <t>August 04, 2019 at 12:53PM</t>
  </si>
  <si>
    <t>August 04, 2019 at 02:01PM</t>
  </si>
  <si>
    <t>August 05, 2019 at 04:22AM</t>
  </si>
  <si>
    <t>August 05, 2019 at 04:00PM</t>
  </si>
  <si>
    <t>August 05, 2019 at 06:22PM</t>
  </si>
  <si>
    <t>August 13, 2019 at 10:43AM</t>
  </si>
  <si>
    <t>August 15, 2019 at 10:05AM</t>
  </si>
  <si>
    <t>August 15, 2019 at 11:02AM</t>
  </si>
  <si>
    <t>August 15, 2019 at 01:47PM</t>
  </si>
  <si>
    <t>August 16, 2019 at 09:06PM</t>
  </si>
  <si>
    <t>August 19, 2019 at 06:21PM</t>
  </si>
  <si>
    <t>August 22, 2019 at 02:37PM</t>
  </si>
  <si>
    <t>August 25, 2019 at 10:48AM</t>
  </si>
  <si>
    <t>August 25, 2019 at 06:49PM</t>
  </si>
  <si>
    <t>August 27, 2019 at 02:02PM</t>
  </si>
  <si>
    <t>September 01, 2019 at 01:53PM</t>
  </si>
  <si>
    <t>September 05, 2019 at 08:39AM</t>
  </si>
  <si>
    <t>September 05, 2019 at 01:06PM</t>
  </si>
  <si>
    <t>September 06, 2019 at 07:42PM</t>
  </si>
  <si>
    <t>September 14, 2019 at 09:44AM</t>
  </si>
  <si>
    <t>September 15, 2019 at 01:02PM</t>
  </si>
  <si>
    <t>September 15, 2019 at 05:55PM</t>
  </si>
  <si>
    <t>September 20, 2019 at 05:09PM</t>
  </si>
  <si>
    <t>September 21, 2019 at 12:32PM</t>
  </si>
  <si>
    <t>September 22, 2019 at 09:20AM</t>
  </si>
  <si>
    <t>September 26, 2019 at 01:29PM</t>
  </si>
  <si>
    <t>September 26, 2019 at 05:34PM</t>
  </si>
  <si>
    <t>October 03, 2019 at 01:40PM</t>
  </si>
  <si>
    <t>October 04, 2019 at 01:19PM</t>
  </si>
  <si>
    <t>October 05, 2019 at 02:22PM</t>
  </si>
  <si>
    <t>October 06, 2019 at 07:37PM</t>
  </si>
  <si>
    <t>October 10, 2019 at 08:47AM</t>
  </si>
  <si>
    <t>October 10, 2019 at 11:06AM</t>
  </si>
  <si>
    <t>October 10, 2019 at 11:48AM</t>
  </si>
  <si>
    <t>October 10, 2019 at 03:27PM</t>
  </si>
  <si>
    <t>October 11, 2019 at 07:29AM</t>
  </si>
  <si>
    <t>October 11, 2019 at 07:30AM</t>
  </si>
  <si>
    <t>October 11, 2019 at 10:05AM</t>
  </si>
  <si>
    <t>October 11, 2019 at 11:35AM</t>
  </si>
  <si>
    <t>October 11, 2019 at 11:53AM</t>
  </si>
  <si>
    <t>October 11, 2019 at 05:09PM</t>
  </si>
  <si>
    <t>October 11, 2019 at 05:33PM</t>
  </si>
  <si>
    <t>October 13, 2019 at 07:52PM</t>
  </si>
  <si>
    <t>October 22, 2019 at 10:23AM</t>
  </si>
  <si>
    <t>October 22, 2019 at 12:16PM</t>
  </si>
  <si>
    <t>October 22, 2019 at 01:09PM</t>
  </si>
  <si>
    <t>October 22, 2019 at 02:49PM</t>
  </si>
  <si>
    <t>October 22, 2019 at 05:01PM</t>
  </si>
  <si>
    <t>October 23, 2019 at 07:04PM</t>
  </si>
  <si>
    <t>October 24, 2019 at 12:57PM</t>
  </si>
  <si>
    <t>October 24, 2019 at 01:47PM</t>
  </si>
  <si>
    <t>October 24, 2019 at 07:45PM</t>
  </si>
  <si>
    <t>October 25, 2019 at 10:00AM</t>
  </si>
  <si>
    <t>October 25, 2019 at 12:30PM</t>
  </si>
  <si>
    <t>October 25, 2019 at 02:36PM</t>
  </si>
  <si>
    <t>October 25, 2019 at 03:29PM</t>
  </si>
  <si>
    <t>October 25, 2019 at 04:08PM</t>
  </si>
  <si>
    <t>October 25, 2019 at 07:00PM</t>
  </si>
  <si>
    <t>October 26, 2019 at 10:55AM</t>
  </si>
  <si>
    <t>October 26, 2019 at 12:46PM</t>
  </si>
  <si>
    <t>October 26, 2019 at 12:56PM</t>
  </si>
  <si>
    <t>October 26, 2019 at 02:02PM</t>
  </si>
  <si>
    <t>October 26, 2019 at 02:09PM</t>
  </si>
  <si>
    <t>October 26, 2019 at 06:42PM</t>
  </si>
  <si>
    <t>November 01, 2019 at 06:00PM</t>
  </si>
  <si>
    <t>November 05, 2019 at 06:05PM</t>
  </si>
  <si>
    <t>November 07, 2019 at 01:08PM</t>
  </si>
  <si>
    <t>November 09, 2019 at 10:56AM</t>
  </si>
  <si>
    <t>November 10, 2019 at 07:06PM</t>
  </si>
  <si>
    <t>November 15, 2019 at 07:11PM</t>
  </si>
  <si>
    <t>November 16, 2019 at 08:26AM</t>
  </si>
  <si>
    <t>November 16, 2019 at 12:48PM</t>
  </si>
  <si>
    <t>November 16, 2019 at 03:17PM</t>
  </si>
  <si>
    <t>November 17, 2019 at 06:49AM</t>
  </si>
  <si>
    <t>November 17, 2019 at 11:14AM</t>
  </si>
  <si>
    <t>November 17, 2019 at 01:05PM</t>
  </si>
  <si>
    <t>November 18, 2019 at 08:52AM</t>
  </si>
  <si>
    <t>November 18, 2019 at 11:35AM</t>
  </si>
  <si>
    <t>November 18, 2019 at 12:23PM</t>
  </si>
  <si>
    <t>November 18, 2019 at 03:20PM</t>
  </si>
  <si>
    <t>November 18, 2019 at 05:32PM</t>
  </si>
  <si>
    <t>November 18, 2019 at 05:41PM</t>
  </si>
  <si>
    <t>November 18, 2019 at 06:49PM</t>
  </si>
  <si>
    <t>November 18, 2019 at 06:57PM</t>
  </si>
  <si>
    <t>November 21, 2019 at 05:14PM</t>
  </si>
  <si>
    <t>November 28, 2019 at 12:02PM</t>
  </si>
  <si>
    <t>December 01, 2019 at 06:17PM</t>
  </si>
  <si>
    <t>December 04, 2019 at 12:19PM</t>
  </si>
  <si>
    <t>December 06, 2019 at 07:10PM</t>
  </si>
  <si>
    <t>December 07, 2019 at 06:24PM</t>
  </si>
  <si>
    <t>December 12, 2019 at 02:00PM</t>
  </si>
  <si>
    <t>December 12, 2019 at 03:17PM</t>
  </si>
  <si>
    <t>December 17, 2019 at 06:21PM</t>
  </si>
  <si>
    <t>December 19, 2019 at 01:14PM</t>
  </si>
  <si>
    <t>December 20, 2019 at 06:30PM</t>
  </si>
  <si>
    <t>December 24, 2019 at 12:53PM</t>
  </si>
  <si>
    <t>December 24, 2019 at 06:43PM</t>
  </si>
  <si>
    <t>December 26, 2019 at 01:52PM</t>
  </si>
  <si>
    <t>December 27, 2019 at 08:55AM</t>
  </si>
  <si>
    <t>December 27, 2019 at 11:49AM</t>
  </si>
  <si>
    <t>December 27, 2019 at 01:16PM</t>
  </si>
  <si>
    <t>December 27, 2019 at 05:56PM</t>
  </si>
  <si>
    <t>December 28, 2019 at 08:57AM</t>
  </si>
  <si>
    <t>December 28, 2019 at 11:44AM</t>
  </si>
  <si>
    <t>December 28, 2019 at 12:46PM</t>
  </si>
  <si>
    <t>December 28, 2019 at 04:35PM</t>
  </si>
  <si>
    <t>December 28, 2019 at 07:11PM</t>
  </si>
  <si>
    <t>December 28, 2019 at 08:42PM</t>
  </si>
  <si>
    <t>December 29, 2019 at 12:34PM</t>
  </si>
  <si>
    <t>December 30, 2019 at 06:31PM</t>
  </si>
  <si>
    <t>December 31, 2019 at 11:02AM</t>
  </si>
  <si>
    <t>January 01, 2020 at 12:51PM</t>
  </si>
  <si>
    <t>January 01, 2020 at 06:53PM</t>
  </si>
  <si>
    <t>January 03, 2020 at 10:17AM</t>
  </si>
  <si>
    <t>January 04, 2020 at 10:01AM</t>
  </si>
  <si>
    <t>January 07, 2020 at 12:06PM</t>
  </si>
  <si>
    <t>January 07, 2020 at 12:26PM</t>
  </si>
  <si>
    <t>January 08, 2020 at 06:42PM</t>
  </si>
  <si>
    <t>January 11, 2020 at 02:53PM</t>
  </si>
  <si>
    <t>January 12, 2020 at 06:35PM</t>
  </si>
  <si>
    <t>January 19, 2020 at 03:40PM</t>
  </si>
  <si>
    <t>January 20, 2020 at 06:31PM</t>
  </si>
  <si>
    <t>January 23, 2020 at 01:35PM</t>
  </si>
  <si>
    <t>January 25, 2020 at 10:34AM</t>
  </si>
  <si>
    <t>January 25, 2020 at 11:43AM</t>
  </si>
  <si>
    <t>January 26, 2020 at 04:02PM</t>
  </si>
  <si>
    <t>February 02, 2020 at 07:44PM</t>
  </si>
  <si>
    <t>February 05, 2020 at 06:14PM</t>
  </si>
  <si>
    <t>February 14, 2020 at 06:28PM</t>
  </si>
  <si>
    <t>February 15, 2020 at 11:37AM</t>
  </si>
  <si>
    <t>February 15, 2020 at 06:49PM</t>
  </si>
  <si>
    <t>February 23, 2020 at 01:35PM</t>
  </si>
  <si>
    <t>February 23, 2020 at 06:55PM</t>
  </si>
  <si>
    <t>February 28, 2020 at 07:49PM</t>
  </si>
  <si>
    <t>February 29, 2020 at 07:39PM</t>
  </si>
  <si>
    <t>March 07, 2020 at 12:41PM</t>
  </si>
  <si>
    <t>March 14, 2020 at 01:14PM</t>
  </si>
  <si>
    <t>March 18, 2020 at 06:18PM</t>
  </si>
  <si>
    <t>March 21, 2020 at 04:45PM</t>
  </si>
  <si>
    <t>March 21, 2020 at 06:58PM</t>
  </si>
  <si>
    <t>March 21, 2020 at 08:34PM</t>
  </si>
  <si>
    <t>March 22, 2020 at 10:21AM</t>
  </si>
  <si>
    <t>March 22, 2020 at 02:14PM</t>
  </si>
  <si>
    <t>March 22, 2020 at 06:24PM</t>
  </si>
  <si>
    <t>March 23, 2020 at 07:11AM</t>
  </si>
  <si>
    <t>March 23, 2020 at 10:23AM</t>
  </si>
  <si>
    <t>March 23, 2020 at 10:33AM</t>
  </si>
  <si>
    <t>March 23, 2020 at 12:43PM</t>
  </si>
  <si>
    <t>March 23, 2020 at 01:47PM</t>
  </si>
  <si>
    <t>March 23, 2020 at 04:35PM</t>
  </si>
  <si>
    <t>March 23, 2020 at 06:26PM</t>
  </si>
  <si>
    <t>March 23, 2020 at 07:09PM</t>
  </si>
  <si>
    <t>March 24, 2020 at 09:09AM</t>
  </si>
  <si>
    <t>March 24, 2020 at 11:54AM</t>
  </si>
  <si>
    <t>March 24, 2020 at 12:04PM</t>
  </si>
  <si>
    <t>March 24, 2020 at 12:25PM</t>
  </si>
  <si>
    <t>March 24, 2020 at 12:39PM</t>
  </si>
  <si>
    <t>March 24, 2020 at 01:48PM</t>
  </si>
  <si>
    <t>March 24, 2020 at 06:42PM</t>
  </si>
  <si>
    <t>March 25, 2020 at 12:33PM</t>
  </si>
  <si>
    <t>March 25, 2020 at 04:35PM</t>
  </si>
  <si>
    <t>March 25, 2020 at 05:51PM</t>
  </si>
  <si>
    <t>March 27, 2020 at 03:41PM</t>
  </si>
  <si>
    <t>March 27, 2020 at 04:51PM</t>
  </si>
  <si>
    <t>March 28, 2020 at 11:40AM</t>
  </si>
  <si>
    <t>March 28, 2020 at 11:53AM</t>
  </si>
  <si>
    <t>March 28, 2020 at 02:24PM</t>
  </si>
  <si>
    <t>March 29, 2020 at 02:07PM</t>
  </si>
  <si>
    <t>March 31, 2020 at 12:17PM</t>
  </si>
  <si>
    <t>April 09, 2020 at 08:02AM</t>
  </si>
  <si>
    <t>April 12, 2020 at 06:05PM</t>
  </si>
  <si>
    <t>April 14, 2020 at 01:59PM</t>
  </si>
  <si>
    <t>April 26, 2020 at 06:59PM</t>
  </si>
  <si>
    <t>April 30, 2020 at 09:49AM</t>
  </si>
  <si>
    <t>May 01, 2020 at 05:09PM</t>
  </si>
  <si>
    <t>May 01, 2020 at 06:17PM</t>
  </si>
  <si>
    <t>May 01, 2020 at 07:15PM</t>
  </si>
  <si>
    <t>May 01, 2020 at 07:52PM</t>
  </si>
  <si>
    <t>May 02, 2020 at 06:32AM</t>
  </si>
  <si>
    <t>May 02, 2020 at 07:08AM</t>
  </si>
  <si>
    <t>May 02, 2020 at 08:35AM</t>
  </si>
  <si>
    <t>May 02, 2020 at 10:33AM</t>
  </si>
  <si>
    <t>May 02, 2020 at 05:01PM</t>
  </si>
  <si>
    <t>May 03, 2020 at 05:33AM</t>
  </si>
  <si>
    <t>May 03, 2020 at 08:41AM</t>
  </si>
  <si>
    <t>May 09, 2020 at 08:51AM</t>
  </si>
  <si>
    <t>May 19, 2020 at 06:37PM</t>
  </si>
  <si>
    <t>May 22, 2020 at 12:26PM</t>
  </si>
  <si>
    <t>May 23, 2020 at 08:55AM</t>
  </si>
  <si>
    <t>May 23, 2020 at 06:10PM</t>
  </si>
  <si>
    <t>May 26, 2020 at 01:19PM</t>
  </si>
  <si>
    <t>June 01, 2020 at 06:57PM</t>
  </si>
  <si>
    <t>June 04, 2020 at 10:57AM</t>
  </si>
  <si>
    <t>June 05, 2020 at 05:25PM</t>
  </si>
  <si>
    <t>June 10, 2020 at 08:58AM</t>
  </si>
  <si>
    <t>June 22, 2020 at 05:10PM</t>
  </si>
  <si>
    <t>June 24, 2020 at 06:10PM</t>
  </si>
  <si>
    <t>June 26, 2020 at 07:35PM</t>
  </si>
  <si>
    <t>June 27, 2020 at 02:06PM</t>
  </si>
  <si>
    <t>July 03, 2020 at 06:14PM</t>
  </si>
  <si>
    <t>July 06, 2020 at 01:31PM</t>
  </si>
  <si>
    <t>July 16, 2020 at 02:13PM</t>
  </si>
  <si>
    <t>July 17, 2020 at 06:44PM</t>
  </si>
  <si>
    <t>July 20, 2020 at 09:59AM</t>
  </si>
  <si>
    <t>July 24, 2020 at 04:50PM</t>
  </si>
  <si>
    <t>July 24, 2020 at 10:12PM</t>
  </si>
  <si>
    <t>July 25, 2020 at 11:31AM</t>
  </si>
  <si>
    <t>July 25, 2020 at 11:43AM</t>
  </si>
  <si>
    <t>July 25, 2020 at 03:45PM</t>
  </si>
  <si>
    <t>July 26, 2020 at 12:18PM</t>
  </si>
  <si>
    <t>July 26, 2020 at 02:40PM</t>
  </si>
  <si>
    <t>July 26, 2020 at 05:11PM</t>
  </si>
  <si>
    <t>July 27, 2020 at 05:56PM</t>
  </si>
  <si>
    <t>July 29, 2020 at 09:09AM</t>
  </si>
  <si>
    <t>August 01, 2020 at 09:55AM</t>
  </si>
  <si>
    <t>August 02, 2020 at 09:55AM</t>
  </si>
  <si>
    <t>August 04, 2020 at 12:49PM</t>
  </si>
  <si>
    <t>August 04, 2020 at 01:28PM</t>
  </si>
  <si>
    <t>August 07, 2020 at 06:43PM</t>
  </si>
  <si>
    <t>August 08, 2020 at 08:49AM</t>
  </si>
  <si>
    <t>August 08, 2020 at 06:53PM</t>
  </si>
  <si>
    <t>August 09, 2020 at 12:10PM</t>
  </si>
  <si>
    <t>August 12, 2020 at 08:25AM</t>
  </si>
  <si>
    <t>August 15, 2020 at 03:07PM</t>
  </si>
  <si>
    <t>August 20, 2020 at 04:53PM</t>
  </si>
  <si>
    <t>August 22, 2020 at 01:23PM</t>
  </si>
  <si>
    <t>August 25, 2020 at 11:15AM</t>
  </si>
  <si>
    <t>August 25, 2020 at 12:38PM</t>
  </si>
  <si>
    <t>August 26, 2020 at 12:38PM</t>
  </si>
  <si>
    <t>August 29, 2020 at 03:35PM</t>
  </si>
  <si>
    <t>September 01, 2020 at 12:57PM</t>
  </si>
  <si>
    <t>September 02, 2020 at 08:30AM</t>
  </si>
  <si>
    <t>September 02, 2020 at 06:06PM</t>
  </si>
  <si>
    <t>September 05, 2020 at 06:58PM</t>
  </si>
  <si>
    <t>September 08, 2020 at 09:12AM</t>
  </si>
  <si>
    <t>September 08, 2020 at 10:02AM</t>
  </si>
  <si>
    <t>September 08, 2020 at 12:43PM</t>
  </si>
  <si>
    <t>September 11, 2020 at 05:54PM</t>
  </si>
  <si>
    <t>September 16, 2020 at 05:48PM</t>
  </si>
  <si>
    <t>September 20, 2020 at 01:47PM</t>
  </si>
  <si>
    <t>September 21, 2020 at 08:06AM</t>
  </si>
  <si>
    <t>September 21, 2020 at 09:01AM</t>
  </si>
  <si>
    <t>September 21, 2020 at 11:02AM</t>
  </si>
  <si>
    <t>September 21, 2020 at 11:48AM</t>
  </si>
  <si>
    <t>September 21, 2020 at 12:18PM</t>
  </si>
  <si>
    <t>September 21, 2020 at 01:15PM</t>
  </si>
  <si>
    <t>September 21, 2020 at 07:44PM</t>
  </si>
  <si>
    <t>September 22, 2020 at 10:58AM</t>
  </si>
  <si>
    <t>September 22, 2020 at 11:26AM</t>
  </si>
  <si>
    <t>September 22, 2020 at 01:55PM</t>
  </si>
  <si>
    <t>September 22, 2020 at 04:04PM</t>
  </si>
  <si>
    <t>September 22, 2020 at 09:35PM</t>
  </si>
  <si>
    <t>September 23, 2020 at 11:27AM</t>
  </si>
  <si>
    <t>September 23, 2020 at 05:33PM</t>
  </si>
  <si>
    <t>September 23, 2020 at 05:34PM</t>
  </si>
  <si>
    <t>September 23, 2020 at 06:46PM</t>
  </si>
  <si>
    <t>September 24, 2020 at 08:22AM</t>
  </si>
  <si>
    <t>September 26, 2020 at 10:43AM</t>
  </si>
  <si>
    <t>September 26, 2020 at 12:39PM</t>
  </si>
  <si>
    <t>September 27, 2020 at 05:21PM</t>
  </si>
  <si>
    <t>September 28, 2020 at 05:00PM</t>
  </si>
  <si>
    <t>September 29, 2020 at 05:47PM</t>
  </si>
  <si>
    <t>October 01, 2020 at 05:35PM</t>
  </si>
  <si>
    <t>October 03, 2020 at 09:54AM</t>
  </si>
  <si>
    <t>October 03, 2020 at 11:34AM</t>
  </si>
  <si>
    <t>October 10, 2020 at 09:18AM</t>
  </si>
  <si>
    <t>October 10, 2020 at 04:12PM</t>
  </si>
  <si>
    <t>October 11, 2020 at 04:51PM</t>
  </si>
  <si>
    <t>October 12, 2020 at 01:37PM</t>
  </si>
  <si>
    <t>October 12, 2020 at 03:07PM</t>
  </si>
  <si>
    <t>October 15, 2020 at 09:49AM</t>
  </si>
  <si>
    <t>October 17, 2020 at 05:23PM</t>
  </si>
  <si>
    <t>October 18, 2020 at 07:46AM</t>
  </si>
  <si>
    <t>October 18, 2020 at 09:26AM</t>
  </si>
  <si>
    <t>October 18, 2020 at 12:30PM</t>
  </si>
  <si>
    <t>October 18, 2020 at 03:24PM</t>
  </si>
  <si>
    <t>October 19, 2020 at 01:05PM</t>
  </si>
  <si>
    <t>October 19, 2020 at 03:24PM</t>
  </si>
  <si>
    <t>October 19, 2020 at 03:52PM</t>
  </si>
  <si>
    <t>October 19, 2020 at 04:23PM</t>
  </si>
  <si>
    <t>October 19, 2020 at 06:04PM</t>
  </si>
  <si>
    <t>October 20, 2020 at 12:08PM</t>
  </si>
  <si>
    <t>October 20, 2020 at 02:18PM</t>
  </si>
  <si>
    <t>October 23, 2020 at 10:49AM</t>
  </si>
  <si>
    <t>October 23, 2020 at 12:42PM</t>
  </si>
  <si>
    <t>October 23, 2020 at 03:07PM</t>
  </si>
  <si>
    <t>October 31, 2020 at 02:09PM</t>
  </si>
  <si>
    <t>November 06, 2020 at 08:56AM</t>
  </si>
  <si>
    <t>November 08, 2020 at 08:47AM</t>
  </si>
  <si>
    <t>November 08, 2020 at 02:40PM</t>
  </si>
  <si>
    <t>November 14, 2020 at 10:45AM</t>
  </si>
  <si>
    <t>November 15, 2020 at 12:18PM</t>
  </si>
  <si>
    <t>November 19, 2020 at 12:46PM</t>
  </si>
  <si>
    <t>November 22, 2020 at 06:04PM</t>
  </si>
  <si>
    <t>November 24, 2020 at 05:03PM</t>
  </si>
  <si>
    <t>November 26, 2020 at 04:43PM</t>
  </si>
  <si>
    <t>November 27, 2020 at 05:58PM</t>
  </si>
  <si>
    <t>November 28, 2020 at 08:32AM</t>
  </si>
  <si>
    <t>November 29, 2020 at 01:50PM</t>
  </si>
  <si>
    <t>December 03, 2020 at 03:22PM</t>
  </si>
  <si>
    <t>December 05, 2020 at 01:14PM</t>
  </si>
  <si>
    <t>December 07, 2020 at 01:33PM</t>
  </si>
  <si>
    <t>December 07, 2020 at 03:22PM</t>
  </si>
  <si>
    <t>December 08, 2020 at 03:07PM</t>
  </si>
  <si>
    <t>December 11, 2020 at 05:31PM</t>
  </si>
  <si>
    <t>December 13, 2020 at 01:11PM</t>
  </si>
  <si>
    <t>December 18, 2020 at 09:14AM</t>
  </si>
  <si>
    <t>December 18, 2020 at 04:09PM</t>
  </si>
  <si>
    <t>December 18, 2020 at 05:27PM</t>
  </si>
  <si>
    <t>December 18, 2020 at 05:57PM</t>
  </si>
  <si>
    <t>December 19, 2020 at 02:24PM</t>
  </si>
  <si>
    <t>December 19, 2020 at 06:29PM</t>
  </si>
  <si>
    <t>December 20, 2020 at 03:11PM</t>
  </si>
  <si>
    <t>December 22, 2020 at 03:51PM</t>
  </si>
  <si>
    <t>December 22, 2020 at 06:56PM</t>
  </si>
  <si>
    <t>December 23, 2020 at 06:58PM</t>
  </si>
  <si>
    <t>December 24, 2020 at 02:50PM</t>
  </si>
  <si>
    <t>December 25, 2020 at 07:53PM</t>
  </si>
  <si>
    <t>December 26, 2020 at 11:17AM</t>
  </si>
  <si>
    <t>December 27, 2020 at 02:53PM</t>
  </si>
  <si>
    <t>December 29, 2020 at 01:53PM</t>
  </si>
  <si>
    <t>December 29, 2020 at 03:39PM</t>
  </si>
  <si>
    <t>December 29, 2020 at 03:40PM</t>
  </si>
  <si>
    <t>December 30, 2020 at 11:17AM</t>
  </si>
  <si>
    <t>December 30, 2020 at 12:31PM</t>
  </si>
  <si>
    <t>January 01, 2021 at 06:37PM</t>
  </si>
  <si>
    <t>January 02, 2021 at 12:11PM</t>
  </si>
  <si>
    <t>January 04, 2021 at 06:15PM</t>
  </si>
  <si>
    <t>January 08, 2021 at 06:48PM</t>
  </si>
  <si>
    <t>January 17, 2021 at 06:29PM</t>
  </si>
  <si>
    <t>January 22, 2021 at 06:04PM</t>
  </si>
  <si>
    <t>January 24, 2021 at 12:15PM</t>
  </si>
  <si>
    <t>January 26, 2021 at 08:14AM</t>
  </si>
  <si>
    <t>January 29, 2021 at 08:21AM</t>
  </si>
  <si>
    <t>January 29, 2021 at 08:30AM</t>
  </si>
  <si>
    <t>January 31, 2021 at 04:21PM</t>
  </si>
  <si>
    <t>January 31, 2021 at 05:12PM</t>
  </si>
  <si>
    <t>February 02, 2021 at 07:06PM</t>
  </si>
  <si>
    <t>February 03, 2021 at 07:59AM</t>
  </si>
  <si>
    <t>February 06, 2021 at 01:40PM</t>
  </si>
  <si>
    <t>February 10, 2021 at 01:28PM</t>
  </si>
  <si>
    <t>February 12, 2021 at 07:12PM</t>
  </si>
  <si>
    <t>February 13, 2021 at 07:10PM</t>
  </si>
  <si>
    <t>February 14, 2021 at 09:05AM</t>
  </si>
  <si>
    <t>February 19, 2021 at 05:54PM</t>
  </si>
  <si>
    <t>February 19, 2021 at 07:00PM</t>
  </si>
  <si>
    <t>February 20, 2021 at 09:45AM</t>
  </si>
  <si>
    <t>February 21, 2021 at 09:19AM</t>
  </si>
  <si>
    <t>February 23, 2021 at 02:25PM</t>
  </si>
  <si>
    <t>February 26, 2021 at 09:30AM</t>
  </si>
  <si>
    <t>February 26, 2021 at 11:49AM</t>
  </si>
  <si>
    <t>No longer in service</t>
  </si>
  <si>
    <t>February 26, 2021 at 01:11PM</t>
  </si>
  <si>
    <t>February 26, 2021 at 04:06PM</t>
  </si>
  <si>
    <t>February 26, 2021 at 10:39PM</t>
  </si>
  <si>
    <t>February 27, 2021 at 10:35AM</t>
  </si>
  <si>
    <t>February 27, 2021 at 06:37PM</t>
  </si>
  <si>
    <t>February 27, 2021 at 06:50PM</t>
  </si>
  <si>
    <t>February 27, 2021 at 07:13PM</t>
  </si>
  <si>
    <t>February 27, 2021 at 07:50PM</t>
  </si>
  <si>
    <t>February 28, 2021 at 01:11PM</t>
  </si>
  <si>
    <t>February 28, 2021 at 07:45PM</t>
  </si>
  <si>
    <t>February 28, 2021 at 09:41PM</t>
  </si>
  <si>
    <t>March 01, 2021 at 11:33AM</t>
  </si>
  <si>
    <t>March 01, 2021 at 11:41AM</t>
  </si>
  <si>
    <t>March 01, 2021 at 11:59AM</t>
  </si>
  <si>
    <t>March 01, 2021 at 12:35PM</t>
  </si>
  <si>
    <t>March 01, 2021 at 07:50PM</t>
  </si>
  <si>
    <t>March 02, 2021 at 10:18AM</t>
  </si>
  <si>
    <t>March 02, 2021 at 11:44AM</t>
  </si>
  <si>
    <t>March 02, 2021 at 12:14PM</t>
  </si>
  <si>
    <t>March 02, 2021 at 03:17PM</t>
  </si>
  <si>
    <t>March 02, 2021 at 04:32PM</t>
  </si>
  <si>
    <t>March 02, 2021 at 07:46PM</t>
  </si>
  <si>
    <t>March 02, 2021 at 08:05PM</t>
  </si>
  <si>
    <t>March 03, 2021 at 06:15AM</t>
  </si>
  <si>
    <t>March 03, 2021 at 10:36AM</t>
  </si>
  <si>
    <t>March 06, 2021 at 06:59PM</t>
  </si>
  <si>
    <t>March 11, 2021 at 08:00PM</t>
  </si>
  <si>
    <t>March 13, 2021 at 06:11PM</t>
  </si>
  <si>
    <t>March 14, 2021 at 10:01AM</t>
  </si>
  <si>
    <t>March 17, 2021 at 01:24PM</t>
  </si>
  <si>
    <t>March 20, 2021 at 11:37AM</t>
  </si>
  <si>
    <t>March 20, 2021 at 07:23PM</t>
  </si>
  <si>
    <t>March 21, 2021 at 01:48PM</t>
  </si>
  <si>
    <t>March 21, 2021 at 03:34PM</t>
  </si>
  <si>
    <t>March 25, 2021 at 05:26PM</t>
  </si>
  <si>
    <t>March 27, 2021 at 10:24AM</t>
  </si>
  <si>
    <t>April 02, 2021 at 09:10PM</t>
  </si>
  <si>
    <t>April 05, 2021 at 01:07PM</t>
  </si>
  <si>
    <t>April 06, 2021 at 08:15AM</t>
  </si>
  <si>
    <t>April 07, 2021 at 12:21PM</t>
  </si>
  <si>
    <t>April 09, 2021 at 07:08PM</t>
  </si>
  <si>
    <t>April 10, 2021 at 07:02PM</t>
  </si>
  <si>
    <t>April 12, 2021 at 05:14PM</t>
  </si>
  <si>
    <t>April 12, 2021 at 05:30PM</t>
  </si>
  <si>
    <t>April 13, 2021 at 02:00PM</t>
  </si>
  <si>
    <t>April 16, 2021 at 12:40PM</t>
  </si>
  <si>
    <t>April 17, 2021 at 12:29PM</t>
  </si>
  <si>
    <t>April 18, 2021 at 12:37PM</t>
  </si>
  <si>
    <t>April 21, 2021 at 06:27PM</t>
  </si>
  <si>
    <t>June 06, 2021 at 11:48AM</t>
  </si>
  <si>
    <t>June 06, 2021 at 05:30PM</t>
  </si>
  <si>
    <t>June 09, 2021 at 12:34PM</t>
  </si>
  <si>
    <t>June 09, 2021 at 01:35PM</t>
  </si>
  <si>
    <t>June 11, 2021 at 06:28PM</t>
  </si>
  <si>
    <t>June 12, 2021 at 01:00PM</t>
  </si>
  <si>
    <t>June 12, 2021 at 06:24PM</t>
  </si>
  <si>
    <t>June 13, 2021 at 02:14PM</t>
  </si>
  <si>
    <t>June 13, 2021 at 04:04PM</t>
  </si>
  <si>
    <t>June 13, 2021 at 06:18PM</t>
  </si>
  <si>
    <t>June 14, 2021 at 07:14AM</t>
  </si>
  <si>
    <t>June 14, 2021 at 02:30PM</t>
  </si>
  <si>
    <t>June 14, 2021 at 07:35PM</t>
  </si>
  <si>
    <t>June 15, 2021 at 06:08AM</t>
  </si>
  <si>
    <t>June 15, 2021 at 02:26PM</t>
  </si>
  <si>
    <t>June 16, 2021 at 04:41AM</t>
  </si>
  <si>
    <t>June 16, 2021 at 05:22AM</t>
  </si>
  <si>
    <t>June 16, 2021 at 10:40PM</t>
  </si>
  <si>
    <t>June 17, 2021 at 08:33AM</t>
  </si>
  <si>
    <t>June 21, 2021 at 02:09AM</t>
  </si>
  <si>
    <t>June 21, 2021 at 03:01AM</t>
  </si>
  <si>
    <t>June 22, 2021 at 12:35AM</t>
  </si>
  <si>
    <t>June 24, 2021 at 07:45AM</t>
  </si>
  <si>
    <t>June 25, 2021 at 05:31AM</t>
  </si>
  <si>
    <t>June 25, 2021 at 07:34AM</t>
  </si>
  <si>
    <t>June 26, 2021 at 04:54AM</t>
  </si>
  <si>
    <t>June 26, 2021 at 06:47AM</t>
  </si>
  <si>
    <t>June 27, 2021 at 02:44AM</t>
  </si>
  <si>
    <t>June 27, 2021 at 03:22AM</t>
  </si>
  <si>
    <t>June 28, 2021 at 10:18AM</t>
  </si>
  <si>
    <t>June 28, 2021 at 10:56PM</t>
  </si>
  <si>
    <t>June 28, 2021 at 11:57PM</t>
  </si>
  <si>
    <t>June 29, 2021 at 03:42AM</t>
  </si>
  <si>
    <t>June 29, 2021 at 04:59AM</t>
  </si>
  <si>
    <t>June 29, 2021 at 10:54PM</t>
  </si>
  <si>
    <t>June 30, 2021 at 01:02AM</t>
  </si>
  <si>
    <t>July 02, 2021 at 06:53AM</t>
  </si>
  <si>
    <t>July 09, 2021 at 04:29AM</t>
  </si>
  <si>
    <t>July 09, 2021 at 05:18AM</t>
  </si>
  <si>
    <t>July 10, 2021 at 10:11AM</t>
  </si>
  <si>
    <t>July 11, 2021 at 03:39AM</t>
  </si>
  <si>
    <t>July 11, 2021 at 10:13AM</t>
  </si>
  <si>
    <t>July 11, 2021 at 10:35AM</t>
  </si>
  <si>
    <t>July 11, 2021 at 10:40PM</t>
  </si>
  <si>
    <t>July 14, 2021 at 08:57AM</t>
  </si>
  <si>
    <t>July 16, 2021 at 01:25AM</t>
  </si>
  <si>
    <t>July 18, 2021 at 09:53PM</t>
  </si>
  <si>
    <t>July 18, 2021 at 10:21PM</t>
  </si>
  <si>
    <t>July 19, 2021 at 12:11AM</t>
  </si>
  <si>
    <t>July 19, 2021 at 01:28AM</t>
  </si>
  <si>
    <t>July 19, 2021 at 02:34AM</t>
  </si>
  <si>
    <t>July 19, 2021 at 06:18AM</t>
  </si>
  <si>
    <t>July 19, 2021 at 08:11AM</t>
  </si>
  <si>
    <t>July 19, 2021 at 08:47AM</t>
  </si>
  <si>
    <t>July 20, 2021 at 02:01AM</t>
  </si>
  <si>
    <t>July 20, 2021 at 04:28AM</t>
  </si>
  <si>
    <t>July 22, 2021 at 02:07AM</t>
  </si>
  <si>
    <t>July 22, 2021 at 09:22AM</t>
  </si>
  <si>
    <t>July 23, 2021 at 02:16AM</t>
  </si>
  <si>
    <t>July 24, 2021 at 12:19AM</t>
  </si>
  <si>
    <t>July 24, 2021 at 08:38AM</t>
  </si>
  <si>
    <t>July 25, 2021 at 05:31AM</t>
  </si>
  <si>
    <t>July 26, 2021 at 02:07AM</t>
  </si>
  <si>
    <t>July 27, 2021 at 04:52AM</t>
  </si>
  <si>
    <t>August 04, 2021 at 03:08AM</t>
  </si>
  <si>
    <t>August 04, 2021 at 09:45AM</t>
  </si>
  <si>
    <t>August 05, 2021 at 02:28AM</t>
  </si>
  <si>
    <t>August 06, 2021 at 02:00AM</t>
  </si>
  <si>
    <t>August 08, 2021 at 04:14AM</t>
  </si>
  <si>
    <t>August 08, 2021 at 04:59AM</t>
  </si>
  <si>
    <t>August 08, 2021 at 06:57AM</t>
  </si>
  <si>
    <t>August 09, 2021 at 11:25PM</t>
  </si>
  <si>
    <t>August 10, 2021 at 09:41AM</t>
  </si>
  <si>
    <t>August 12, 2021 at 11:39PM</t>
  </si>
  <si>
    <t>August 14, 2021 at 10:01AM</t>
  </si>
  <si>
    <t>August 18, 2021 at 01:55AM</t>
  </si>
  <si>
    <t>August 18, 2021 at 04:14AM</t>
  </si>
  <si>
    <t>August 19, 2021 at 08:31AM</t>
  </si>
  <si>
    <t>August 20, 2021 at 12:43AM</t>
  </si>
  <si>
    <t>August 22, 2021 at 07:37AM</t>
  </si>
  <si>
    <t>August 23, 2021 at 09:08AM</t>
  </si>
  <si>
    <t>August 23, 2021 at 11:18PM</t>
  </si>
  <si>
    <t>August 24, 2021 at 12:24AM</t>
  </si>
  <si>
    <t>August 24, 2021 at 02:55AM</t>
  </si>
  <si>
    <t>August 27, 2021 at 07:56AM</t>
  </si>
  <si>
    <t>August 29, 2021 at 12:31AM</t>
  </si>
  <si>
    <t>August 29, 2021 at 04:29AM</t>
  </si>
  <si>
    <t>August 29, 2021 at 08:11AM</t>
  </si>
  <si>
    <t>September 05, 2021 at 12:23AM</t>
  </si>
  <si>
    <t>September 05, 2021 at 12:52AM</t>
  </si>
  <si>
    <t>September 06, 2021 at 01:48AM</t>
  </si>
  <si>
    <t>September 06, 2021 at 04:14AM</t>
  </si>
  <si>
    <t>September 06, 2021 at 12:07PM</t>
  </si>
  <si>
    <t>September 07, 2021 at 08:10AM</t>
  </si>
  <si>
    <t>September 09, 2021 at 04:02AM</t>
  </si>
  <si>
    <t>September 10, 2021 at 01:02AM</t>
  </si>
  <si>
    <t>September 12, 2021 at 02:07AM</t>
  </si>
  <si>
    <t>September 12, 2021 at 05:44AM</t>
  </si>
  <si>
    <t>September 17, 2021 at 04:12AM</t>
  </si>
  <si>
    <t>September 22, 2021 at 01:10PM</t>
  </si>
  <si>
    <t>September 24, 2021 at 09:55AM</t>
  </si>
  <si>
    <t>September 25, 2021 at 05:42PM</t>
  </si>
  <si>
    <t>September 28, 2021 at 02:16PM</t>
  </si>
  <si>
    <t>October 01, 2021 at 04:29PM</t>
  </si>
  <si>
    <t>October 02, 2021 at 02:51PM</t>
  </si>
  <si>
    <t>October 05, 2021 at 04:48PM</t>
  </si>
  <si>
    <t>October 08, 2021 at 08:09AM</t>
  </si>
  <si>
    <t>October 08, 2021 at 09:23AM</t>
  </si>
  <si>
    <t>October 08, 2021 at 02:40PM</t>
  </si>
  <si>
    <t>October 10, 2021 at 03:29PM</t>
  </si>
  <si>
    <t>October 11, 2021 at 09:03AM</t>
  </si>
  <si>
    <t>October 11, 2021 at 10:35AM</t>
  </si>
  <si>
    <t>October 11, 2021 at 10:36AM</t>
  </si>
  <si>
    <t>October 11, 2021 at 03:08PM</t>
  </si>
  <si>
    <t>October 23, 2021 at 01:43PM</t>
  </si>
  <si>
    <t>October 27, 2021 at 08:38AM</t>
  </si>
  <si>
    <t>October 30, 2021 at 10:30AM</t>
  </si>
  <si>
    <t>November 05, 2021 at 11:04AM</t>
  </si>
  <si>
    <t>November 05, 2021 at 01:21PM</t>
  </si>
  <si>
    <t>November 05, 2021 at 07:43PM</t>
  </si>
  <si>
    <t>November 06, 2021 at 06:46PM</t>
  </si>
  <si>
    <t>November 09, 2021 at 05:37PM</t>
  </si>
  <si>
    <t>November 12, 2021 at 01:12PM</t>
  </si>
  <si>
    <t>November 13, 2021 at 11:54AM</t>
  </si>
  <si>
    <t>November 13, 2021 at 02:33PM</t>
  </si>
  <si>
    <t>November 13, 2021 at 03:30PM</t>
  </si>
  <si>
    <t>November 18, 2021 at 09:02AM</t>
  </si>
  <si>
    <t>November 19, 2021 at 11:55AM</t>
  </si>
  <si>
    <t>November 19, 2021 at 12:46PM</t>
  </si>
  <si>
    <t>November 19, 2021 at 02:09PM</t>
  </si>
  <si>
    <t>November 29, 2021 at 11:13AM</t>
  </si>
  <si>
    <t>November 29, 2021 at 05:29PM</t>
  </si>
  <si>
    <t>December 03, 2021 at 11:45AM</t>
  </si>
  <si>
    <t>December 05, 2021 at 12:06PM</t>
  </si>
  <si>
    <t>December 07, 2021 at 07:21PM</t>
  </si>
  <si>
    <t>December 11, 2021 at 12:04PM</t>
  </si>
  <si>
    <t>December 23, 2021 at 12:25PM</t>
  </si>
  <si>
    <t>December 23, 2021 at 07:21PM</t>
  </si>
  <si>
    <t>January 05, 2022 at 03:07PM</t>
  </si>
  <si>
    <t>January 20, 2022 at 04:31PM</t>
  </si>
  <si>
    <t>January 21, 2022 at 08:38AM</t>
  </si>
  <si>
    <t>January 23, 2022 at 10:43AM</t>
  </si>
  <si>
    <t>February 05, 2022 at 05:40PM</t>
  </si>
  <si>
    <t>February 06, 2022 at 02:42PM</t>
  </si>
  <si>
    <t>February 10, 2022 at 05:12AM</t>
  </si>
  <si>
    <t>February 10, 2022 at 08:02AM</t>
  </si>
  <si>
    <t>February 10, 2022 at 10:30AM</t>
  </si>
  <si>
    <t>February 10, 2022 at 12:25PM</t>
  </si>
  <si>
    <t>February 12, 2022 at 11:11AM</t>
  </si>
  <si>
    <t>February 12, 2022 at 05:33PM</t>
  </si>
  <si>
    <t>February 12, 2022 at 06:34PM</t>
  </si>
  <si>
    <t>February 13, 2022 at 01:25PM</t>
  </si>
  <si>
    <t>February 13, 2022 at 02:03PM</t>
  </si>
  <si>
    <t>February 13, 2022 at 07:19PM</t>
  </si>
  <si>
    <t>February 13, 2022 at 07:33PM</t>
  </si>
  <si>
    <t>February 13, 2022 at 08:59PM</t>
  </si>
  <si>
    <t>February 13, 2022 at 10:52PM</t>
  </si>
  <si>
    <t>February 18, 2022 at 08:53AM</t>
  </si>
  <si>
    <t>February 20, 2022 at 10:05AM</t>
  </si>
  <si>
    <t>February 20, 2022 at 01:32PM</t>
  </si>
  <si>
    <t>February 27, 2022 at 08:53AM</t>
  </si>
  <si>
    <t>March 05, 2022 at 05:26PM</t>
  </si>
  <si>
    <t>March 07, 2022 at 08:44AM</t>
  </si>
  <si>
    <t>March 07, 2022 at 10:39AM</t>
  </si>
  <si>
    <t>March 07, 2022 at 01:34PM</t>
  </si>
  <si>
    <t>March 07, 2022 at 04:31PM</t>
  </si>
  <si>
    <t>March 07, 2022 at 07:23PM</t>
  </si>
  <si>
    <t>March 07, 2022 at 07:53PM</t>
  </si>
  <si>
    <t>March 09, 2022 at 01:31PM</t>
  </si>
  <si>
    <t>March 11, 2022 at 08:41AM</t>
  </si>
  <si>
    <t>March 11, 2022 at 02:30PM</t>
  </si>
  <si>
    <t>March 18, 2022 at 05:46PM</t>
  </si>
  <si>
    <t>March 19, 2022 at 11:16AM</t>
  </si>
  <si>
    <t>March 19, 2022 at 11:24AM</t>
  </si>
  <si>
    <t>March 19, 2022 at 05:58PM</t>
  </si>
  <si>
    <t>March 20, 2022 at 08:48AM</t>
  </si>
  <si>
    <t>March 20, 2022 at 12:52PM</t>
  </si>
  <si>
    <t>April 03, 2022 at 01:44PM</t>
  </si>
  <si>
    <t>April 06, 2022 at 10:05AM</t>
  </si>
  <si>
    <t>April 12, 2022 at 09:56AM</t>
  </si>
  <si>
    <t>April 15, 2022 at 11:25AM</t>
  </si>
  <si>
    <t>April 22, 2022 at 06:10PM</t>
  </si>
  <si>
    <t>April 22, 2022 at 06:12PM</t>
  </si>
  <si>
    <t>April 24, 2022 at 02:32PM</t>
  </si>
  <si>
    <t>May 06, 2022 at 10:35AM</t>
  </si>
  <si>
    <t>May 08, 2022 at 03:59PM</t>
  </si>
  <si>
    <t>May 15, 2022 at 02:44PM</t>
  </si>
  <si>
    <t>May 20, 2022 at 04:13PM</t>
  </si>
  <si>
    <t>June 09, 2022 at 12:02PM</t>
  </si>
  <si>
    <t>June 11, 2022 at 08:36AM</t>
  </si>
  <si>
    <t>June 11, 2022 at 10:07AM</t>
  </si>
  <si>
    <t>June 12, 2022 at 02:07PM</t>
  </si>
  <si>
    <t>June 15, 2022 at 05:27PM</t>
  </si>
  <si>
    <t>June 22, 2022 at 05:24AM</t>
  </si>
  <si>
    <t>June 22, 2022 at 05:43AM</t>
  </si>
  <si>
    <t>June 22, 2022 at 11:05AM</t>
  </si>
  <si>
    <t>June 22, 2022 at 02:59PM</t>
  </si>
  <si>
    <t>June 22, 2022 at 03:07PM</t>
  </si>
  <si>
    <t>June 23, 2022 at 12:10PM</t>
  </si>
  <si>
    <t>June 23, 2022 at 01:48PM</t>
  </si>
  <si>
    <t>June 26, 2022 at 10:18AM</t>
  </si>
  <si>
    <t>June 26, 2022 at 09:56PM</t>
  </si>
  <si>
    <t>June 28, 2022 at 08:14AM</t>
  </si>
  <si>
    <t>June 28, 2022 at 10:07AM</t>
  </si>
  <si>
    <t>June 29, 2022 at 08:03AM</t>
  </si>
  <si>
    <t>June 30, 2022 at 06:13AM</t>
  </si>
  <si>
    <t>June 30, 2022 at 03:16PM</t>
  </si>
  <si>
    <t>July 01, 2022 at 01:51PM</t>
  </si>
  <si>
    <t>July 01, 2022 at 06:14PM</t>
  </si>
  <si>
    <t>July 02, 2022 at 03:01PM</t>
  </si>
  <si>
    <t>July 03, 2022 at 07:07PM</t>
  </si>
  <si>
    <t>July 04, 2022 at 10:25AM</t>
  </si>
  <si>
    <t>July 05, 2022 at 02:01PM</t>
  </si>
  <si>
    <t>July 05, 2022 at 03:48PM</t>
  </si>
  <si>
    <t>July 06, 2022 at 01:02AM</t>
  </si>
  <si>
    <t>July 08, 2022 at 06:56PM</t>
  </si>
  <si>
    <t>July 10, 2022 at 05:50PM</t>
  </si>
  <si>
    <t>July 11, 2022 at 01:58PM</t>
  </si>
  <si>
    <t>July 17, 2022 at 01:57PM</t>
  </si>
  <si>
    <t>July 17, 2022 at 02:31PM</t>
  </si>
  <si>
    <t>July 18, 2022 at 08:17AM</t>
  </si>
  <si>
    <t>July 20, 2022 at 10:38AM</t>
  </si>
  <si>
    <t>July 20, 2022 at 11:11AM</t>
  </si>
  <si>
    <t>July 23, 2022 at 08:40AM</t>
  </si>
  <si>
    <t>July 28, 2022 at 03:30PM</t>
  </si>
  <si>
    <t>July 29, 2022 at 01:19PM</t>
  </si>
  <si>
    <t>July 30, 2022 at 07:30AM</t>
  </si>
  <si>
    <t>July 31, 2022 at 02:30AM</t>
  </si>
  <si>
    <t>July 31, 2022 at 12:22PM</t>
  </si>
  <si>
    <t>July 31, 2022 at 06:56PM</t>
  </si>
  <si>
    <t>August 01, 2022 at 12:40AM</t>
  </si>
  <si>
    <t>August 01, 2022 at 02:21AM</t>
  </si>
  <si>
    <t>August 01, 2022 at 04:30AM</t>
  </si>
  <si>
    <t>August 02, 2022 at 03:20AM</t>
  </si>
  <si>
    <t>August 02, 2022 at 04:21AM</t>
  </si>
  <si>
    <t>August 03, 2022 at 05:20AM</t>
  </si>
  <si>
    <t>August 03, 2022 at 04:58PM</t>
  </si>
  <si>
    <t>August 03, 2022 at 05:55PM</t>
  </si>
  <si>
    <t>August 03, 2022 at 10:05PM</t>
  </si>
  <si>
    <t>August 04, 2022 at 12:00AM</t>
  </si>
  <si>
    <t>August 04, 2022 at 07:45PM</t>
  </si>
  <si>
    <t>August 05, 2022 at 05:17AM</t>
  </si>
  <si>
    <t>August 05, 2022 at 08:32PM</t>
  </si>
  <si>
    <t>August 05, 2022 at 09:08PM</t>
  </si>
  <si>
    <t>August 05, 2022 at 09:58PM</t>
  </si>
  <si>
    <t>August 05, 2022 at 11:51PM</t>
  </si>
  <si>
    <t>August 06, 2022 at 12:23AM</t>
  </si>
  <si>
    <t>August 07, 2022 at 03:40AM</t>
  </si>
  <si>
    <t>August 07, 2022 at 08:23PM</t>
  </si>
  <si>
    <t>August 07, 2022 at 11:29PM</t>
  </si>
  <si>
    <t>August 08, 2022 at 12:25AM</t>
  </si>
  <si>
    <t>August 08, 2022 at 05:31AM</t>
  </si>
  <si>
    <t>August 08, 2022 at 07:42AM</t>
  </si>
  <si>
    <t>August 08, 2022 at 04:40PM</t>
  </si>
  <si>
    <t>August 08, 2022 at 09:01PM</t>
  </si>
  <si>
    <t>August 08, 2022 at 10:26PM</t>
  </si>
  <si>
    <t>August 09, 2022 at 08:35PM</t>
  </si>
  <si>
    <t>August 10, 2022 at 04:40AM</t>
  </si>
  <si>
    <t>August 11, 2022 at 02:44AM</t>
  </si>
  <si>
    <t>August 11, 2022 at 10:33PM</t>
  </si>
  <si>
    <t>August 12, 2022 at 03:12AM</t>
  </si>
  <si>
    <t>August 12, 2022 at 04:00AM</t>
  </si>
  <si>
    <t>August 12, 2022 at 06:21AM</t>
  </si>
  <si>
    <t>August 12, 2022 at 07:05PM</t>
  </si>
  <si>
    <t>August 13, 2022 at 02:21AM</t>
  </si>
  <si>
    <t>August 13, 2022 at 08:57PM</t>
  </si>
  <si>
    <t>August 14, 2022 at 04:23AM</t>
  </si>
  <si>
    <t>August 14, 2022 at 11:30PM</t>
  </si>
  <si>
    <t>August 16, 2022 at 09:04PM</t>
  </si>
  <si>
    <t>August 16, 2022 at 11:04PM</t>
  </si>
  <si>
    <t>August 17, 2022 at 05:34PM</t>
  </si>
  <si>
    <t>August 17, 2022 at 07:50PM</t>
  </si>
  <si>
    <t>August 17, 2022 at 08:38PM</t>
  </si>
  <si>
    <t>August 18, 2022 at 05:11AM</t>
  </si>
  <si>
    <t>August 18, 2022 at 05:27PM</t>
  </si>
  <si>
    <t>August 18, 2022 at 05:47PM</t>
  </si>
  <si>
    <t>August 19, 2022 at 03:51AM</t>
  </si>
  <si>
    <t>August 19, 2022 at 08:21AM</t>
  </si>
  <si>
    <t>August 19, 2022 at 04:24PM</t>
  </si>
  <si>
    <t>August 20, 2022 at 09:26AM</t>
  </si>
  <si>
    <t>August 23, 2022 at 02:22PM</t>
  </si>
  <si>
    <t>August 24, 2022 at 01:56PM</t>
  </si>
  <si>
    <t>August 24, 2022 at 04:12PM</t>
  </si>
  <si>
    <t>August 26, 2022 at 06:12PM</t>
  </si>
  <si>
    <t>August 27, 2022 at 08:31AM</t>
  </si>
  <si>
    <t>August 27, 2022 at 02:25PM</t>
  </si>
  <si>
    <t>August 27, 2022 at 05:27PM</t>
  </si>
  <si>
    <t>August 27, 2022 at 05:41PM</t>
  </si>
  <si>
    <t>August 28, 2022 at 07:41AM</t>
  </si>
  <si>
    <t>September 02, 2022 at 02:13PM</t>
  </si>
  <si>
    <t>September 04, 2022 at 06:38PM</t>
  </si>
  <si>
    <t>September 12, 2022 at 05:12PM</t>
  </si>
  <si>
    <t>September 13, 2022 at 11:59AM</t>
  </si>
  <si>
    <t>September 16, 2022 at 05:21PM</t>
  </si>
  <si>
    <t>September 25, 2022 at 09:49AM</t>
  </si>
  <si>
    <t>September 28, 2022 at 08:35AM</t>
  </si>
  <si>
    <t>September 30, 2022 at 06:08AM</t>
  </si>
  <si>
    <t>September 30, 2022 at 08:25AM</t>
  </si>
  <si>
    <t>September 30, 2022 at 10:13AM</t>
  </si>
  <si>
    <t>September 30, 2022 at 01:05PM</t>
  </si>
  <si>
    <t>September 30, 2022 at 01:22PM</t>
  </si>
  <si>
    <t>September 30, 2022 at 10:31PM</t>
  </si>
  <si>
    <t>October 04, 2022 at 04:34PM</t>
  </si>
  <si>
    <t>October 09, 2022 at 01:55PM</t>
  </si>
  <si>
    <t>October 16, 2022 at 09:28AM</t>
  </si>
  <si>
    <t>October 18, 2022 at 09:42AM</t>
  </si>
  <si>
    <t>October 23, 2022 at 12:25PM</t>
  </si>
  <si>
    <t>October 23, 2022 at 01:50PM</t>
  </si>
  <si>
    <t>October 29, 2022 at 07:07PM</t>
  </si>
  <si>
    <t>November 05, 2022 at 09:15AM</t>
  </si>
  <si>
    <t>First pumpkin spice latte, 10 yrs after invented.</t>
  </si>
  <si>
    <t>November 10, 2022 at 12:57PM</t>
  </si>
  <si>
    <t>November 18, 2022 at 06:54PM</t>
  </si>
  <si>
    <t>November 23, 2022 at 11:46AM</t>
  </si>
  <si>
    <t>November 26, 2022 at 11:42AM</t>
  </si>
  <si>
    <t>November 27, 2022 at 04:08PM</t>
  </si>
  <si>
    <t>December 02, 2022 at 08:26AM</t>
  </si>
  <si>
    <t>December 02, 2022 at 04:25PM</t>
  </si>
  <si>
    <t>December 03, 2022 at 05:28PM</t>
  </si>
  <si>
    <t>December 04, 2022 at 12:31PM</t>
  </si>
  <si>
    <t>December 06, 2022 at 03:36PM</t>
  </si>
  <si>
    <t>December 10, 2022 at 01:17PM</t>
  </si>
  <si>
    <t>December 10, 2022 at 02:44PM</t>
  </si>
  <si>
    <t>December 10, 2022 at 03:19PM</t>
  </si>
  <si>
    <t>December 10, 2022 at 03:59PM</t>
  </si>
  <si>
    <t>December 11, 2022 at 03:01PM</t>
  </si>
  <si>
    <t>December 18, 2022 at 11:51AM</t>
  </si>
  <si>
    <t>December 19, 2022 at 02:24PM</t>
  </si>
  <si>
    <t>December 22, 2022 at 12:20PM</t>
  </si>
  <si>
    <t>December 24, 2022 at 12:15PM</t>
  </si>
  <si>
    <t>December 26, 2022 at 12:04PM</t>
  </si>
  <si>
    <t>December 30, 2022 at 02:57PM</t>
  </si>
  <si>
    <t>December 30, 2022 at 05:26PM</t>
  </si>
  <si>
    <t>December 30, 2022 at 06:41PM</t>
  </si>
  <si>
    <t>December 30, 2022 at 08:15PM</t>
  </si>
  <si>
    <t>Randy Meyer</t>
  </si>
  <si>
    <t>December 30, 2022 at 09:27PM</t>
  </si>
  <si>
    <t>December 31, 2022 at 06:36AM</t>
  </si>
  <si>
    <t>December 31, 2022 at 11:32AM</t>
  </si>
  <si>
    <t>December 31, 2022 at 05:36PM</t>
  </si>
  <si>
    <t>December 31, 2022 at 05:37PM</t>
  </si>
  <si>
    <t>December 31, 2022 at 06:56PM</t>
  </si>
  <si>
    <t>January 01, 2023 at 11:24AM</t>
  </si>
  <si>
    <t>January 01, 2023 at 02:11PM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</si>
</sst>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/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6.0"/>
    <col customWidth="1" min="3" max="3" width="88.88"/>
  </cols>
  <sheetData>
    <row r="1">
      <c r="A1" s="1" t="s">
        <v>0</v>
      </c>
      <c r="B1" s="2"/>
      <c r="C1" s="1" t="s">
        <v>1</v>
      </c>
    </row>
    <row r="2">
      <c r="A2" s="2" t="s">
        <v>2</v>
      </c>
      <c r="B2" s="2" t="s">
        <v>3</v>
      </c>
      <c r="C2" s="3" t="str">
        <f>HYPERLINK("http://4sq.com/aFu7LB","Big C Extra (บิ๊กซี เอ็กซ์ตร้า) ")</f>
        <v>Big C Extra (บิ๊กซี เอ็กซ์ตร้า) </v>
      </c>
    </row>
    <row r="3">
      <c r="A3" s="2" t="s">
        <v>4</v>
      </c>
      <c r="B3" s="2" t="s">
        <v>3</v>
      </c>
      <c r="C3" s="3" t="str">
        <f>HYPERLINK("http://4sq.com/ceWYjg","Skytrain Jazz Club ")</f>
        <v>Skytrain Jazz Club </v>
      </c>
    </row>
    <row r="4">
      <c r="A4" s="2" t="s">
        <v>5</v>
      </c>
      <c r="B4" s="2" t="s">
        <v>3</v>
      </c>
      <c r="C4" s="3" t="str">
        <f>HYPERLINK("http://4sq.com/iLuTkv","Supapong Condominium ")</f>
        <v>Supapong Condominium </v>
      </c>
    </row>
    <row r="5">
      <c r="A5" s="2" t="s">
        <v>6</v>
      </c>
      <c r="B5" s="2" t="s">
        <v>3</v>
      </c>
      <c r="C5" s="3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</row>
    <row r="6">
      <c r="A6" s="2" t="s">
        <v>7</v>
      </c>
      <c r="B6" s="2" t="s">
        <v>3</v>
      </c>
      <c r="C6" s="3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</row>
    <row r="7">
      <c r="A7" s="2" t="s">
        <v>8</v>
      </c>
      <c r="B7" s="2" t="s">
        <v>3</v>
      </c>
      <c r="C7" s="3" t="str">
        <f>HYPERLINK("http://4sq.com/1uTcCs4","Local Cafe (คาเฟ่บ้านนอก) ")</f>
        <v>Local Cafe (คาเฟ่บ้านนอก) </v>
      </c>
    </row>
    <row r="8">
      <c r="A8" s="2" t="s">
        <v>9</v>
      </c>
      <c r="B8" s="2" t="s">
        <v>3</v>
      </c>
      <c r="C8" s="3" t="str">
        <f>HYPERLINK("http://4sq.com/1GjmLUZ","Pizza Pasta by Simon ")</f>
        <v>Pizza Pasta by Simon </v>
      </c>
    </row>
    <row r="9">
      <c r="A9" s="2" t="s">
        <v>10</v>
      </c>
      <c r="B9" s="2" t="s">
        <v>3</v>
      </c>
      <c r="C9" s="3" t="str">
        <f>HYPERLINK("http://4sq.com/2mr4p2V","paw's cafe ")</f>
        <v>paw's cafe </v>
      </c>
    </row>
    <row r="10">
      <c r="A10" s="2" t="s">
        <v>11</v>
      </c>
      <c r="B10" s="2" t="s">
        <v>3</v>
      </c>
      <c r="C10" s="3" t="str">
        <f>HYPERLINK("http://4sq.com/12weN37","คาเฟ่ ดินดิน Cafe DinDin ")</f>
        <v>คาเฟ่ ดินดิน Cafe DinDin </v>
      </c>
    </row>
    <row r="11">
      <c r="A11" s="2" t="s">
        <v>12</v>
      </c>
      <c r="B11" s="2" t="s">
        <v>3</v>
      </c>
      <c r="C11" s="3" t="str">
        <f>HYPERLINK("http://4sq.com/2bIJz8b","Lamona View Swimming Pool ")</f>
        <v>Lamona View Swimming Pool </v>
      </c>
    </row>
    <row r="12">
      <c r="A12" s="2" t="s">
        <v>13</v>
      </c>
      <c r="B12" s="2" t="s">
        <v>3</v>
      </c>
      <c r="C12" s="3" t="str">
        <f>HYPERLINK("http://4sq.com/sEnrif","Cheunjai Coffee, Food &amp; Drinks (กาแฟชื่นใจ) ")</f>
        <v>Cheunjai Coffee, Food &amp; Drinks (กาแฟชื่นใจ) </v>
      </c>
    </row>
    <row r="13">
      <c r="A13" s="2" t="s">
        <v>14</v>
      </c>
      <c r="B13" s="2" t="s">
        <v>3</v>
      </c>
      <c r="C13" s="3" t="str">
        <f>HYPERLINK("http://4sq.com/1MMRblc","The Mellowship ")</f>
        <v>The Mellowship </v>
      </c>
    </row>
    <row r="14">
      <c r="A14" s="2" t="s">
        <v>15</v>
      </c>
      <c r="B14" s="2" t="s">
        <v>3</v>
      </c>
      <c r="C14" s="3" t="str">
        <f>HYPERLINK("http://4sq.com/1LwwIEn","Let It Be ")</f>
        <v>Let It Be </v>
      </c>
    </row>
    <row r="15">
      <c r="A15" s="2" t="s">
        <v>16</v>
      </c>
      <c r="B15" s="2" t="s">
        <v>3</v>
      </c>
      <c r="C15" s="3" t="str">
        <f>HYPERLINK("http://4sq.com/1uTcCs4","Local Cafe (คาเฟ่บ้านนอก) ")</f>
        <v>Local Cafe (คาเฟ่บ้านนอก) </v>
      </c>
    </row>
    <row r="16">
      <c r="A16" s="2" t="s">
        <v>17</v>
      </c>
      <c r="B16" s="2" t="s">
        <v>3</v>
      </c>
      <c r="C16" s="3" t="str">
        <f>HYPERLINK("http://4sq.com/12weN37","คาเฟ่ ดินดิน Cafe DinDin ")</f>
        <v>คาเฟ่ ดินดิน Cafe DinDin </v>
      </c>
    </row>
    <row r="17">
      <c r="A17" s="2" t="s">
        <v>18</v>
      </c>
      <c r="B17" s="2" t="s">
        <v>3</v>
      </c>
      <c r="C17" s="3" t="str">
        <f>HYPERLINK("http://4sq.com/FPnlXd","Natwat Home Café (ณัฐวัฒน์โฮมคาเฟ่) ")</f>
        <v>Natwat Home Café (ณัฐวัฒน์โฮมคาเฟ่) </v>
      </c>
    </row>
    <row r="18">
      <c r="A18" s="2" t="s">
        <v>19</v>
      </c>
      <c r="B18" s="2" t="s">
        <v>3</v>
      </c>
      <c r="C18" s="3" t="str">
        <f>HYPERLINK("http://4sq.com/9kVQ5Z","College of Music (วิทยาลัยดุริยศิลป์) ")</f>
        <v>College of Music (วิทยาลัยดุริยศิลป์) </v>
      </c>
    </row>
    <row r="19">
      <c r="A19" s="2" t="s">
        <v>20</v>
      </c>
      <c r="B19" s="2" t="s">
        <v>3</v>
      </c>
      <c r="C19" s="3" t="str">
        <f>HYPERLINK("http://4sq.com/2nhA9b1","Because of Love Cafè (เพาะรัก 24 Hrs) ")</f>
        <v>Because of Love Cafè (เพาะรัก 24 Hrs) </v>
      </c>
    </row>
    <row r="20">
      <c r="A20" s="2" t="s">
        <v>21</v>
      </c>
      <c r="B20" s="2" t="s">
        <v>3</v>
      </c>
      <c r="C20" s="3" t="str">
        <f>HYPERLINK("http://4sq.com/1LwwIEn","Let It Be ")</f>
        <v>Let It Be </v>
      </c>
    </row>
    <row r="21">
      <c r="A21" s="2" t="s">
        <v>22</v>
      </c>
      <c r="B21" s="2" t="s">
        <v>3</v>
      </c>
      <c r="C21" s="3" t="str">
        <f>HYPERLINK("http://4sq.com/1uTcCs4","Local Cafe (คาเฟ่บ้านนอก) ")</f>
        <v>Local Cafe (คาเฟ่บ้านนอก) </v>
      </c>
    </row>
    <row r="22">
      <c r="A22" s="2" t="s">
        <v>23</v>
      </c>
      <c r="B22" s="2" t="s">
        <v>3</v>
      </c>
      <c r="C22" s="3" t="str">
        <f>HYPERLINK("http://4sq.com/1JMJibe","Chiang Mai Immigration One Stop Service ")</f>
        <v>Chiang Mai Immigration One Stop Service </v>
      </c>
    </row>
    <row r="23">
      <c r="A23" s="2" t="s">
        <v>23</v>
      </c>
      <c r="B23" s="2" t="s">
        <v>3</v>
      </c>
      <c r="C23" s="3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</row>
    <row r="24">
      <c r="A24" s="2" t="s">
        <v>24</v>
      </c>
      <c r="B24" s="2" t="s">
        <v>3</v>
      </c>
      <c r="C24" s="3" t="str">
        <f>HYPERLINK("http://4sq.com/cTCMbh","PTT Jiffy (ปตท.) ")</f>
        <v>PTT Jiffy (ปตท.) </v>
      </c>
    </row>
    <row r="25">
      <c r="A25" s="2" t="s">
        <v>25</v>
      </c>
      <c r="B25" s="2" t="s">
        <v>3</v>
      </c>
      <c r="C25" s="3" t="str">
        <f>HYPERLINK("http://4sq.com/1CuEd6p","Tiang Naa (เถียงนา) Coffee and Bakery Farm ")</f>
        <v>Tiang Naa (เถียงนา) Coffee and Bakery Farm </v>
      </c>
    </row>
    <row r="26">
      <c r="A26" s="2" t="s">
        <v>26</v>
      </c>
      <c r="B26" s="2" t="s">
        <v>3</v>
      </c>
      <c r="C26" s="3" t="str">
        <f>HYPERLINK("http://4sq.com/blLUqQ","Thai-Myanmar Friendship Bridge (สะพานมิตรภาพไทย-พม่า) ")</f>
        <v>Thai-Myanmar Friendship Bridge (สะพานมิตรภาพไทย-พม่า) </v>
      </c>
    </row>
    <row r="27">
      <c r="A27" s="2" t="s">
        <v>27</v>
      </c>
      <c r="B27" s="2" t="s">
        <v>3</v>
      </c>
      <c r="C27" s="3" t="str">
        <f>HYPERLINK("http://4sq.com/e193Gl","Borderline Tea Shop ")</f>
        <v>Borderline Tea Shop </v>
      </c>
    </row>
    <row r="28">
      <c r="A28" s="2" t="s">
        <v>28</v>
      </c>
      <c r="B28" s="2" t="s">
        <v>3</v>
      </c>
      <c r="C28" s="3" t="str">
        <f>HYPERLINK("http://4sq.com/fRmKjH","Doi Musoe Market (ตลาดดอยมูเซอ) ")</f>
        <v>Doi Musoe Market (ตลาดดอยมูเซอ) </v>
      </c>
    </row>
    <row r="29">
      <c r="A29" s="2" t="s">
        <v>29</v>
      </c>
      <c r="B29" s="2" t="s">
        <v>3</v>
      </c>
      <c r="C29" s="3" t="str">
        <f>HYPERLINK("http://4sq.com/a7Db5V","สะพานสมโภชกรุงรัตนโกสินทร์ 200 ปี ")</f>
        <v>สะพานสมโภชกรุงรัตนโกสินทร์ 200 ปี </v>
      </c>
    </row>
    <row r="30">
      <c r="A30" s="2" t="s">
        <v>30</v>
      </c>
      <c r="B30" s="2" t="s">
        <v>3</v>
      </c>
      <c r="C30" s="3" t="str">
        <f>HYPERLINK("http://4sq.com/1sL1bRN","Tak Treehouse ")</f>
        <v>Tak Treehouse </v>
      </c>
    </row>
    <row r="31">
      <c r="A31" s="2" t="s">
        <v>31</v>
      </c>
      <c r="B31" s="2" t="s">
        <v>3</v>
      </c>
      <c r="C31" s="3" t="str">
        <f>HYPERLINK("http://4sq.com/1uTcCs4","Local Cafe (คาเฟ่บ้านนอก) ")</f>
        <v>Local Cafe (คาเฟ่บ้านนอก) </v>
      </c>
    </row>
    <row r="32">
      <c r="A32" s="2" t="s">
        <v>32</v>
      </c>
      <c r="B32" s="2" t="s">
        <v>3</v>
      </c>
      <c r="C32" s="3" t="str">
        <f>HYPERLINK("http://4sq.com/a3WF57","Pizza Mania ")</f>
        <v>Pizza Mania </v>
      </c>
    </row>
    <row r="33">
      <c r="A33" s="2" t="s">
        <v>33</v>
      </c>
      <c r="B33" s="2" t="s">
        <v>3</v>
      </c>
      <c r="C33" s="3" t="str">
        <f>HYPERLINK("http://4sq.com/amzSVo","Rimping Supermarket (ริมปิง) ")</f>
        <v>Rimping Supermarket (ริมปิง) </v>
      </c>
    </row>
    <row r="34">
      <c r="A34" s="2" t="s">
        <v>34</v>
      </c>
      <c r="B34" s="2" t="s">
        <v>3</v>
      </c>
      <c r="C34" s="3" t="str">
        <f>HYPERLINK("http://4sq.com/fHcaB9","Coffee Bus (คอฟฟี่บัส) ")</f>
        <v>Coffee Bus (คอฟฟี่บัส) </v>
      </c>
    </row>
    <row r="35">
      <c r="A35" s="2" t="s">
        <v>35</v>
      </c>
      <c r="B35" s="2" t="s">
        <v>3</v>
      </c>
      <c r="C35" s="3" t="str">
        <f>HYPERLINK("http://4sq.com/p8J1iG","ไปรษณีย์แม่ริม Post office ")</f>
        <v>ไปรษณีย์แม่ริม Post office </v>
      </c>
    </row>
    <row r="36">
      <c r="A36" s="2" t="s">
        <v>36</v>
      </c>
      <c r="B36" s="2" t="s">
        <v>3</v>
      </c>
      <c r="C36" s="3" t="str">
        <f>HYPERLINK("http://4sq.com/1uTcCs4","Local Cafe (คาเฟ่บ้านนอก) ")</f>
        <v>Local Cafe (คาเฟ่บ้านนอก) </v>
      </c>
    </row>
    <row r="37">
      <c r="A37" s="2" t="s">
        <v>37</v>
      </c>
      <c r="B37" s="2" t="s">
        <v>3</v>
      </c>
      <c r="C37" s="3" t="str">
        <f>HYPERLINK("http://4sq.com/2oUubue","Hidden village ")</f>
        <v>Hidden village </v>
      </c>
    </row>
    <row r="38">
      <c r="A38" s="2" t="s">
        <v>38</v>
      </c>
      <c r="B38" s="2" t="s">
        <v>3</v>
      </c>
      <c r="C38" s="3" t="str">
        <f>HYPERLINK("http://4sq.com/2tj6Ech","อุ้มกะต๋องVintage Barn ")</f>
        <v>อุ้มกะต๋องVintage Barn </v>
      </c>
    </row>
    <row r="39">
      <c r="A39" s="2" t="s">
        <v>39</v>
      </c>
      <c r="B39" s="2" t="s">
        <v>3</v>
      </c>
      <c r="C39" s="3" t="str">
        <f>HYPERLINK("http://4sq.com/batEOn","Chiangmai International Convention Center (ศูนย์ประชุมและแสดงสินค้านานาชาติฯ) ")</f>
        <v>Chiangmai International Convention Center (ศูนย์ประชุมและแสดงสินค้านานาชาติฯ) </v>
      </c>
    </row>
    <row r="40">
      <c r="A40" s="2" t="s">
        <v>40</v>
      </c>
      <c r="B40" s="2" t="s">
        <v>3</v>
      </c>
      <c r="C40" s="3" t="str">
        <f>HYPERLINK("http://4sq.com/cDbPYP","Ton Nam Pla Pao (ต้นน้ำปลาเผา) ")</f>
        <v>Ton Nam Pla Pao (ต้นน้ำปลาเผา) </v>
      </c>
    </row>
    <row r="41">
      <c r="A41" s="2" t="s">
        <v>41</v>
      </c>
      <c r="B41" s="2" t="s">
        <v>3</v>
      </c>
      <c r="C41" s="3" t="str">
        <f>HYPERLINK("http://4sq.com/sEnrif","Cheunjai Coffee, Food &amp; Drinks (กาแฟชื่นใจ) ")</f>
        <v>Cheunjai Coffee, Food &amp; Drinks (กาแฟชื่นใจ) </v>
      </c>
    </row>
    <row r="42">
      <c r="A42" s="2" t="s">
        <v>42</v>
      </c>
      <c r="B42" s="2" t="s">
        <v>3</v>
      </c>
      <c r="C42" s="3" t="str">
        <f>HYPERLINK("http://4sq.com/2tkbsgp","หมูจุ่มฮิปสเตอร์ แม่ริม ")</f>
        <v>หมูจุ่มฮิปสเตอร์ แม่ริม </v>
      </c>
    </row>
    <row r="43">
      <c r="A43" s="2" t="s">
        <v>43</v>
      </c>
      <c r="B43" s="2" t="s">
        <v>3</v>
      </c>
      <c r="C43" s="3" t="str">
        <f>HYPERLINK("http://4sq.com/1glAL7r","The Duke's ")</f>
        <v>The Duke's </v>
      </c>
    </row>
    <row r="44">
      <c r="A44" s="2" t="s">
        <v>44</v>
      </c>
      <c r="B44" s="2" t="s">
        <v>3</v>
      </c>
      <c r="C44" s="3" t="str">
        <f>HYPERLINK("http://4sq.com/uU597b","Baa Baa Black Cafe ")</f>
        <v>Baa Baa Black Cafe </v>
      </c>
    </row>
    <row r="45">
      <c r="A45" s="2" t="s">
        <v>45</v>
      </c>
      <c r="B45" s="2" t="s">
        <v>3</v>
      </c>
      <c r="C45" s="3" t="str">
        <f>HYPERLINK("http://4sq.com/1KzFYHb","Paddy &amp; Rose ")</f>
        <v>Paddy &amp; Rose </v>
      </c>
    </row>
    <row r="46">
      <c r="A46" s="2" t="s">
        <v>46</v>
      </c>
      <c r="B46" s="2" t="s">
        <v>3</v>
      </c>
      <c r="C46" s="3" t="str">
        <f>HYPERLINK("http://4sq.com/1LwwIEn","Let It Be ")</f>
        <v>Let It Be </v>
      </c>
    </row>
    <row r="47">
      <c r="A47" s="1" t="s">
        <v>47</v>
      </c>
      <c r="B47" s="2"/>
      <c r="C47" s="4" t="str">
        <f>HYPERLINK("http://4sq.com/2seIOdR","Ai Sushi The One Place สันผีเสื้อ ")</f>
        <v>Ai Sushi The One Place สันผีเสื้อ </v>
      </c>
      <c r="D47" s="1" t="s">
        <v>3</v>
      </c>
    </row>
    <row r="48">
      <c r="A48" s="1" t="s">
        <v>48</v>
      </c>
      <c r="B48" s="2"/>
      <c r="C48" s="4" t="str">
        <f>HYPERLINK("http://4sq.com/1uTcCs4","Local Cafe (คาเฟ่บ้านนอก) ")</f>
        <v>Local Cafe (คาเฟ่บ้านนอก) </v>
      </c>
      <c r="D48" s="1"/>
      <c r="E48" s="1"/>
    </row>
    <row r="49">
      <c r="A49" s="1" t="s">
        <v>49</v>
      </c>
      <c r="B49" s="2"/>
      <c r="C49" s="4" t="str">
        <f>HYPERLINK("http://4sq.com/2ku7jyQ","mercato wine bar &amp; eatery ")</f>
        <v>mercato wine bar &amp; eatery </v>
      </c>
      <c r="D49" s="1"/>
      <c r="E49" s="1"/>
    </row>
    <row r="50">
      <c r="A50" s="1" t="s">
        <v>50</v>
      </c>
      <c r="B50" s="2"/>
      <c r="C50" s="4" t="str">
        <f t="shared" ref="C50:C51" si="1">HYPERLINK("http://4sq.com/1U9Ec2j","honda active riding chiang mai ")</f>
        <v>honda active riding chiang mai </v>
      </c>
      <c r="D50" s="1"/>
      <c r="E50" s="1"/>
    </row>
    <row r="51">
      <c r="A51" s="1" t="s">
        <v>51</v>
      </c>
      <c r="B51" s="2"/>
      <c r="C51" s="4" t="str">
        <f t="shared" si="1"/>
        <v>honda active riding chiang mai </v>
      </c>
      <c r="D51" s="1"/>
      <c r="E51" s="1"/>
    </row>
    <row r="52">
      <c r="A52" s="1" t="s">
        <v>52</v>
      </c>
      <c r="B52" s="2"/>
      <c r="C52" s="4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  <c r="D52" s="1"/>
      <c r="E52" s="1"/>
    </row>
    <row r="53">
      <c r="A53" s="1" t="s">
        <v>53</v>
      </c>
      <c r="B53" s="2"/>
      <c r="C53" s="4" t="str">
        <f>HYPERLINK("http://4sq.com/1uTcCs4","Local Cafe (คาเฟ่บ้านนอก) ")</f>
        <v>Local Cafe (คาเฟ่บ้านนอก) </v>
      </c>
      <c r="D53" s="1"/>
      <c r="E53" s="1"/>
    </row>
    <row r="54">
      <c r="A54" s="1" t="s">
        <v>54</v>
      </c>
      <c r="B54" s="2"/>
      <c r="C54" s="4" t="str">
        <f>HYPERLINK("http://4sq.com/cQhc0X","Chiang Mai University Art Museum (หอนิทรรศการศิลปวัฒนธรรม มหาวิทยาลัยเชียงใหม่) ")</f>
        <v>Chiang Mai University Art Museum (หอนิทรรศการศิลปวัฒนธรรม มหาวิทยาลัยเชียงใหม่) </v>
      </c>
      <c r="D54" s="1"/>
      <c r="E54" s="1"/>
    </row>
    <row r="55">
      <c r="A55" s="1" t="s">
        <v>55</v>
      </c>
      <c r="B55" s="2"/>
      <c r="C55" s="4" t="str">
        <f>HYPERLINK("http://4sq.com/eKeNJG","Krisdadoi Resort Chiang Mai ")</f>
        <v>Krisdadoi Resort Chiang Mai </v>
      </c>
      <c r="D55" s="1"/>
      <c r="E55" s="1"/>
    </row>
    <row r="56">
      <c r="A56" s="1" t="s">
        <v>56</v>
      </c>
      <c r="B56" s="2"/>
      <c r="C56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56" s="1"/>
      <c r="E56" s="1"/>
    </row>
    <row r="57">
      <c r="A57" s="1" t="s">
        <v>57</v>
      </c>
      <c r="B57" s="2"/>
      <c r="C57" s="4" t="str">
        <f>HYPERLINK("http://4sq.com/aHavM2","Felix River Kwai Resort (โรงแรมเฟลิกซ์ ริเวอร์แคว รีสอร์ท) ")</f>
        <v>Felix River Kwai Resort (โรงแรมเฟลิกซ์ ริเวอร์แคว รีสอร์ท) </v>
      </c>
      <c r="D57" s="1"/>
      <c r="E57" s="1"/>
    </row>
    <row r="58">
      <c r="A58" s="1" t="s">
        <v>58</v>
      </c>
      <c r="B58" s="2"/>
      <c r="C58" s="4" t="str">
        <f>HYPERLINK("http://4sq.com/bkWyb7","Dheva Mantra Resort &amp; Spa (เทวมันตร์ทรา) ")</f>
        <v>Dheva Mantra Resort &amp; Spa (เทวมันตร์ทรา) </v>
      </c>
      <c r="D58" s="1"/>
      <c r="E58" s="1"/>
    </row>
    <row r="59">
      <c r="A59" s="1" t="s">
        <v>59</v>
      </c>
      <c r="B59" s="2"/>
      <c r="C59" s="4" t="str">
        <f>HYPERLINK("http://4sq.com/1A2U38b","Srifa Coffee ")</f>
        <v>Srifa Coffee </v>
      </c>
      <c r="D59" s="1"/>
      <c r="E59" s="1"/>
    </row>
    <row r="60">
      <c r="A60" s="1" t="s">
        <v>60</v>
      </c>
      <c r="B60" s="2"/>
      <c r="C60" s="4" t="str">
        <f>HYPERLINK("http://4sq.com/bw8l5h","Novotel Bangkok on Siam Square (โรงแรมโนโวเทลกรุงเทพ สยามสแควร์) ")</f>
        <v>Novotel Bangkok on Siam Square (โรงแรมโนโวเทลกรุงเทพ สยามสแควร์) </v>
      </c>
      <c r="D60" s="1"/>
      <c r="E60" s="1"/>
    </row>
    <row r="61">
      <c r="A61" s="1" t="s">
        <v>61</v>
      </c>
      <c r="B61" s="2"/>
      <c r="C61" s="4" t="str">
        <f>HYPERLINK("http://4sq.com/6Opet3","Ramathibodi Hospital (โรงพยาบาลรามาธิบดี) ")</f>
        <v>Ramathibodi Hospital (โรงพยาบาลรามาธิบดี) </v>
      </c>
      <c r="D61" s="1"/>
      <c r="E61" s="1"/>
    </row>
    <row r="62">
      <c r="A62" s="1" t="s">
        <v>62</v>
      </c>
      <c r="B62" s="2"/>
      <c r="C62" s="4" t="str">
        <f>HYPERLINK("http://4sq.com/6faMgT","Siam Paragon (สยามพารากอน) ")</f>
        <v>Siam Paragon (สยามพารากอน) </v>
      </c>
      <c r="D62" s="1"/>
      <c r="E62" s="1"/>
    </row>
    <row r="63">
      <c r="A63" s="1" t="s">
        <v>62</v>
      </c>
      <c r="B63" s="2"/>
      <c r="C63" s="4" t="str">
        <f>HYPERLINK("http://4sq.com/2nNSyZJ","IHOP ")</f>
        <v>IHOP </v>
      </c>
      <c r="D63" s="1"/>
      <c r="E63" s="1"/>
    </row>
    <row r="64">
      <c r="A64" s="1" t="s">
        <v>63</v>
      </c>
      <c r="B64" s="2"/>
      <c r="C64" s="4" t="str">
        <f>HYPERLINK("http://4sq.com/1ETWCI9","EmQuartier (เอ็มควอเทียร์) ")</f>
        <v>EmQuartier (เอ็มควอเทียร์) </v>
      </c>
      <c r="D64" s="1"/>
      <c r="E64" s="1"/>
    </row>
    <row r="65">
      <c r="A65" s="1" t="s">
        <v>64</v>
      </c>
      <c r="B65" s="2"/>
      <c r="C65" s="4" t="str">
        <f>HYPERLINK("http://4sq.com/8FoGI4","Grand Hyatt Erawan Bangkok ")</f>
        <v>Grand Hyatt Erawan Bangkok </v>
      </c>
      <c r="D65" s="1"/>
      <c r="E65" s="1"/>
    </row>
    <row r="66">
      <c r="A66" s="1" t="s">
        <v>65</v>
      </c>
      <c r="B66" s="2"/>
      <c r="C66" s="4" t="str">
        <f>HYPERLINK("http://4sq.com/MifImD","The Coffee Club (เดอะคอฟฟี่คลับ) ")</f>
        <v>The Coffee Club (เดอะคอฟฟี่คลับ) </v>
      </c>
      <c r="D66" s="1"/>
      <c r="E66" s="1"/>
    </row>
    <row r="67">
      <c r="A67" s="1" t="s">
        <v>66</v>
      </c>
      <c r="B67" s="2"/>
      <c r="C67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67" s="1"/>
      <c r="E67" s="1"/>
    </row>
    <row r="68">
      <c r="A68" s="1" t="s">
        <v>67</v>
      </c>
      <c r="B68" s="2"/>
      <c r="C68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68" s="1"/>
      <c r="E68" s="1"/>
    </row>
    <row r="69">
      <c r="A69" s="1" t="s">
        <v>68</v>
      </c>
      <c r="B69" s="2"/>
      <c r="C69" s="4" t="str">
        <f>HYPERLINK("http://4sq.com/sEnrif","Cheunjai Coffee, Food &amp; Drinks (กาแฟชื่นใจ) ")</f>
        <v>Cheunjai Coffee, Food &amp; Drinks (กาแฟชื่นใจ) </v>
      </c>
      <c r="D69" s="1"/>
      <c r="E69" s="1"/>
    </row>
    <row r="70">
      <c r="A70" s="1" t="s">
        <v>69</v>
      </c>
      <c r="B70" s="2"/>
      <c r="C70" s="4" t="str">
        <f>HYPERLINK("http://4sq.com/1uTcCs4","Local Cafe (คาเฟ่บ้านนอก) ")</f>
        <v>Local Cafe (คาเฟ่บ้านนอก) </v>
      </c>
      <c r="D70" s="1"/>
      <c r="E70" s="1"/>
    </row>
    <row r="71">
      <c r="A71" s="1" t="s">
        <v>70</v>
      </c>
      <c r="B71" s="2"/>
      <c r="C71" s="4" t="str">
        <f>HYPERLINK("http://4sq.com/nbQ3ST","Blue Café by Coffee Blue (บลูคาเฟ่) ")</f>
        <v>Blue Café by Coffee Blue (บลูคาเฟ่) </v>
      </c>
      <c r="D71" s="1"/>
      <c r="E71" s="1"/>
    </row>
    <row r="72">
      <c r="A72" s="1" t="s">
        <v>71</v>
      </c>
      <c r="B72" s="2"/>
      <c r="C72" s="4" t="str">
        <f>HYPERLINK("http://4sq.com/12weN37","คาเฟ่ ดินดิน Cafe DinDin ")</f>
        <v>คาเฟ่ ดินดิน Cafe DinDin </v>
      </c>
      <c r="D72" s="1"/>
      <c r="E72" s="1"/>
    </row>
    <row r="73">
      <c r="A73" s="1" t="s">
        <v>72</v>
      </c>
      <c r="B73" s="2"/>
      <c r="C73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73" s="1"/>
      <c r="E73" s="1"/>
    </row>
    <row r="74">
      <c r="A74" s="1" t="s">
        <v>73</v>
      </c>
      <c r="B74" s="2"/>
      <c r="C74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74" s="1"/>
      <c r="E74" s="1"/>
    </row>
    <row r="75">
      <c r="A75" s="1" t="s">
        <v>74</v>
      </c>
      <c r="B75" s="2"/>
      <c r="C75" s="4" t="str">
        <f>HYPERLINK("http://4sq.com/gxrioV","Wat Chai Chimplee (วัดชัยฉิมพลี) ")</f>
        <v>Wat Chai Chimplee (วัดชัยฉิมพลี) </v>
      </c>
      <c r="D75" s="1"/>
      <c r="E75" s="1"/>
    </row>
    <row r="76">
      <c r="A76" s="1" t="s">
        <v>75</v>
      </c>
      <c r="B76" s="2"/>
      <c r="C76" s="4" t="str">
        <f>HYPERLINK("http://4sq.com/1MhDLe0","Starbucks (สตาร์บัคส์) ")</f>
        <v>Starbucks (สตาร์บัคส์) </v>
      </c>
      <c r="D76" s="1"/>
      <c r="E76" s="1"/>
    </row>
    <row r="77">
      <c r="A77" s="1" t="s">
        <v>76</v>
      </c>
      <c r="B77" s="2"/>
      <c r="C77" s="4" t="str">
        <f>HYPERLINK("http://4sq.com/ilBoui","พุทธมณฑลสาย1 ซอยอยู่เย็น ")</f>
        <v>พุทธมณฑลสาย1 ซอยอยู่เย็น </v>
      </c>
      <c r="D77" s="1"/>
      <c r="E77" s="1"/>
    </row>
    <row r="78">
      <c r="A78" s="1" t="s">
        <v>77</v>
      </c>
      <c r="B78" s="2"/>
      <c r="C78" s="4" t="str">
        <f>HYPERLINK("http://4sq.com/14irLoU","The Crystal SB Ratchapruek (เดอะ คริสตัล เอสบี ราชพฤกษ์) ")</f>
        <v>The Crystal SB Ratchapruek (เดอะ คริสตัล เอสบี ราชพฤกษ์) </v>
      </c>
      <c r="D78" s="1"/>
      <c r="E78" s="1"/>
    </row>
    <row r="79">
      <c r="A79" s="1" t="s">
        <v>78</v>
      </c>
      <c r="B79" s="2"/>
      <c r="C79" s="4" t="str">
        <f>HYPERLINK("http://4sq.com/1y8qgsq","on the table (ออน เดอะ เทเบิล) ")</f>
        <v>on the table (ออน เดอะ เทเบิล) </v>
      </c>
      <c r="D79" s="1"/>
      <c r="E79" s="1"/>
    </row>
    <row r="80">
      <c r="A80" s="1" t="s">
        <v>79</v>
      </c>
      <c r="B80" s="2"/>
      <c r="C80" s="4" t="str">
        <f>HYPERLINK("http://4sq.com/ivSEGq","14 resort ")</f>
        <v>14 resort </v>
      </c>
      <c r="D80" s="1"/>
      <c r="E80" s="1"/>
    </row>
    <row r="81">
      <c r="A81" s="1" t="s">
        <v>80</v>
      </c>
      <c r="B81" s="2"/>
      <c r="C81" s="4" t="str">
        <f>HYPERLINK("http://4sq.com/gxrioV","Wat Chai Chimplee (วัดชัยฉิมพลี) ")</f>
        <v>Wat Chai Chimplee (วัดชัยฉิมพลี) </v>
      </c>
      <c r="D81" s="1"/>
      <c r="E81" s="1"/>
    </row>
    <row r="82">
      <c r="A82" s="1" t="s">
        <v>81</v>
      </c>
      <c r="B82" s="2"/>
      <c r="C82" s="4" t="str">
        <f>HYPERLINK("http://4sq.com/2iPKeHJ","Morning Me ")</f>
        <v>Morning Me </v>
      </c>
      <c r="D82" s="1"/>
      <c r="E82" s="1"/>
    </row>
    <row r="83">
      <c r="A83" s="1" t="s">
        <v>82</v>
      </c>
      <c r="B83" s="2"/>
      <c r="C83" s="4" t="str">
        <f>HYPERLINK("http://4sq.com/elBlNT","ท่าเรือจรินทร์ ")</f>
        <v>ท่าเรือจรินทร์ </v>
      </c>
      <c r="D83" s="1"/>
      <c r="E83" s="1"/>
    </row>
    <row r="84">
      <c r="A84" s="1" t="s">
        <v>83</v>
      </c>
      <c r="B84" s="2"/>
      <c r="C84" s="4" t="str">
        <f>HYPERLINK("http://4sq.com/dg1on8","Koh Sichang (เกาะสีชัง) ")</f>
        <v>Koh Sichang (เกาะสีชัง) </v>
      </c>
      <c r="D84" s="1"/>
      <c r="E84" s="1"/>
    </row>
    <row r="85">
      <c r="A85" s="1" t="s">
        <v>84</v>
      </c>
      <c r="B85" s="2"/>
      <c r="C85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85" s="1"/>
      <c r="E85" s="1"/>
    </row>
    <row r="86">
      <c r="A86" s="1" t="s">
        <v>85</v>
      </c>
      <c r="B86" s="2"/>
      <c r="C86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86" s="1"/>
      <c r="E86" s="1"/>
    </row>
    <row r="87">
      <c r="A87" s="1" t="s">
        <v>86</v>
      </c>
      <c r="B87" s="2"/>
      <c r="C87" s="4" t="str">
        <f>HYPERLINK("http://4sq.com/o3ZEdO","See Paak Restaurant ")</f>
        <v>See Paak Restaurant </v>
      </c>
      <c r="D87" s="1"/>
      <c r="E87" s="1"/>
    </row>
    <row r="88">
      <c r="A88" s="1" t="s">
        <v>87</v>
      </c>
      <c r="B88" s="2"/>
      <c r="C88" s="4" t="str">
        <f>HYPERLINK("http://4sq.com/1D3TV7V","CAiNiTO ")</f>
        <v>CAiNiTO </v>
      </c>
      <c r="D88" s="1"/>
      <c r="E88" s="1"/>
    </row>
    <row r="89">
      <c r="A89" s="1" t="s">
        <v>88</v>
      </c>
      <c r="B89" s="2"/>
      <c r="C89" s="4" t="str">
        <f>HYPERLINK("http://4sq.com/1uTcCs4","Local Cafe (คาเฟ่บ้านนอก) ")</f>
        <v>Local Cafe (คาเฟ่บ้านนอก) </v>
      </c>
      <c r="D89" s="1"/>
      <c r="E89" s="1"/>
    </row>
    <row r="90">
      <c r="A90" s="1" t="s">
        <v>89</v>
      </c>
      <c r="B90" s="2"/>
      <c r="C90" s="4" t="str">
        <f>HYPERLINK("http://4sq.com/1K2l4NI","Teak Table (ทีค เทเบิล) ")</f>
        <v>Teak Table (ทีค เทเบิล) </v>
      </c>
      <c r="D90" s="1"/>
      <c r="E90" s="1"/>
    </row>
    <row r="91">
      <c r="A91" s="1" t="s">
        <v>90</v>
      </c>
      <c r="B91" s="2"/>
      <c r="C91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91" s="1"/>
      <c r="E91" s="1"/>
    </row>
    <row r="92">
      <c r="A92" s="1" t="s">
        <v>91</v>
      </c>
      <c r="B92" s="2"/>
      <c r="C92" s="4" t="str">
        <f>HYPERLINK("http://4sq.com/o3ZEdO","See Paak Restaurant ")</f>
        <v>See Paak Restaurant </v>
      </c>
      <c r="D92" s="1"/>
      <c r="E92" s="1"/>
    </row>
    <row r="93">
      <c r="A93" s="1" t="s">
        <v>92</v>
      </c>
      <c r="B93" s="2"/>
      <c r="C93" s="4" t="str">
        <f>HYPERLINK("http://4sq.com/fQXta4","Maerim Market (ตลาดแม่ริม) ")</f>
        <v>Maerim Market (ตลาดแม่ริม) </v>
      </c>
      <c r="D93" s="1"/>
      <c r="E93" s="1"/>
    </row>
    <row r="94">
      <c r="A94" s="1" t="s">
        <v>93</v>
      </c>
      <c r="B94" s="2"/>
      <c r="C94" s="4" t="str">
        <f>HYPERLINK("http://4sq.com/18dSsNn","Oh Ka Ju Organic Salad &amp; Coffee (โอ้กะจู๋) ")</f>
        <v>Oh Ka Ju Organic Salad &amp; Coffee (โอ้กะจู๋) </v>
      </c>
      <c r="D94" s="1"/>
      <c r="E94" s="1"/>
    </row>
    <row r="95">
      <c r="A95" s="1" t="s">
        <v>94</v>
      </c>
      <c r="B95" s="2"/>
      <c r="C95" s="4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D95" s="1"/>
      <c r="E95" s="1"/>
    </row>
    <row r="96">
      <c r="A96" s="1" t="s">
        <v>95</v>
      </c>
      <c r="B96" s="2"/>
      <c r="C96" s="4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  <c r="D96" s="1"/>
      <c r="E96" s="1"/>
    </row>
    <row r="97">
      <c r="A97" s="1" t="s">
        <v>96</v>
      </c>
      <c r="B97" s="2"/>
      <c r="C97" s="4" t="str">
        <f>HYPERLINK("http://4sq.com/b5BzeX","Le Méridien Chiang Mai ")</f>
        <v>Le Méridien Chiang Mai </v>
      </c>
      <c r="D97" s="1"/>
      <c r="E97" s="1"/>
    </row>
    <row r="98">
      <c r="A98" s="1" t="s">
        <v>97</v>
      </c>
      <c r="B98" s="2"/>
      <c r="C98" s="4" t="str">
        <f>HYPERLINK("http://4sq.com/2CzoF6p","Purple Rain ")</f>
        <v>Purple Rain </v>
      </c>
      <c r="D98" s="1"/>
      <c r="E98" s="1"/>
    </row>
    <row r="99">
      <c r="A99" s="1" t="s">
        <v>98</v>
      </c>
      <c r="B99" s="2"/>
      <c r="C99" s="4" t="str">
        <f>HYPERLINK("http://4sq.com/eyWoZ2","Wild Boar Bar ")</f>
        <v>Wild Boar Bar </v>
      </c>
      <c r="D99" s="1"/>
      <c r="E99" s="1"/>
    </row>
    <row r="100">
      <c r="A100" s="1" t="s">
        <v>99</v>
      </c>
      <c r="B100" s="2"/>
      <c r="C100" s="4" t="str">
        <f>HYPERLINK("http://4sq.com/1COeHbX","The Salad Concept ")</f>
        <v>The Salad Concept </v>
      </c>
      <c r="D100" s="1"/>
      <c r="E100" s="1"/>
    </row>
    <row r="101">
      <c r="A101" s="1" t="s">
        <v>100</v>
      </c>
      <c r="B101" s="2"/>
      <c r="C101" s="4" t="str">
        <f>HYPERLINK("http://4sq.com/cfsIcy","Deck1 (เดค วัน) ")</f>
        <v>Deck1 (เดค วัน) </v>
      </c>
      <c r="D101" s="1"/>
      <c r="E101" s="1"/>
    </row>
    <row r="102">
      <c r="A102" s="1" t="s">
        <v>101</v>
      </c>
      <c r="B102" s="2"/>
      <c r="C102" s="4" t="str">
        <f>HYPERLINK("http://4sq.com/1oGPJsX","บ้านงามแสงเดือน @แม่ริม ")</f>
        <v>บ้านงามแสงเดือน @แม่ริม </v>
      </c>
      <c r="D102" s="1"/>
      <c r="E102" s="1"/>
    </row>
    <row r="103">
      <c r="A103" s="1" t="s">
        <v>102</v>
      </c>
      <c r="B103" s="2"/>
      <c r="C103" s="4" t="str">
        <f>HYPERLINK("http://4sq.com/o3ZEdO","See Paak Restaurant ")</f>
        <v>See Paak Restaurant </v>
      </c>
      <c r="D103" s="1"/>
      <c r="E103" s="1"/>
    </row>
    <row r="104">
      <c r="A104" s="1" t="s">
        <v>103</v>
      </c>
      <c r="B104" s="2"/>
      <c r="C104" s="4" t="str">
        <f>HYPERLINK("http://4sq.com/cIVBTv","Tita Gallery ")</f>
        <v>Tita Gallery </v>
      </c>
      <c r="D104" s="1"/>
      <c r="E104" s="1"/>
    </row>
    <row r="105">
      <c r="A105" s="1" t="s">
        <v>104</v>
      </c>
      <c r="B105" s="2"/>
      <c r="C105" s="4" t="str">
        <f>HYPERLINK("http://4sq.com/1hVXHYn","and ann coffee ")</f>
        <v>and ann coffee </v>
      </c>
      <c r="D105" s="1"/>
      <c r="E105" s="1"/>
    </row>
    <row r="106">
      <c r="A106" s="1" t="s">
        <v>105</v>
      </c>
      <c r="B106" s="2"/>
      <c r="C106" s="4" t="str">
        <f>HYPERLINK("http://4sq.com/1qmeXs8","The First Residents &amp; Cafe' ")</f>
        <v>The First Residents &amp; Cafe' </v>
      </c>
      <c r="D106" s="1"/>
      <c r="E106" s="1"/>
    </row>
    <row r="107">
      <c r="A107" s="1" t="s">
        <v>106</v>
      </c>
      <c r="B107" s="2"/>
      <c r="C107" s="4" t="str">
        <f>HYPERLINK("http://4sq.com/9hH8Er","Kamtiang Market (ตลาดคำเที่ยง) ")</f>
        <v>Kamtiang Market (ตลาดคำเที่ยง) </v>
      </c>
      <c r="D107" s="1"/>
      <c r="E107" s="1"/>
    </row>
    <row r="108">
      <c r="A108" s="1" t="s">
        <v>107</v>
      </c>
      <c r="B108" s="2"/>
      <c r="C108" s="4" t="str">
        <f>HYPERLINK("http://4sq.com/96C3Ox","Mae Sa Waterfall (น้ำตกแม่สา) ")</f>
        <v>Mae Sa Waterfall (น้ำตกแม่สา) </v>
      </c>
      <c r="D108" s="1"/>
      <c r="E108" s="1"/>
    </row>
    <row r="109">
      <c r="A109" s="1" t="s">
        <v>108</v>
      </c>
      <c r="B109" s="2"/>
      <c r="C109" s="4" t="str">
        <f>HYPERLINK("http://4sq.com/1uTcCs4","Local Cafe (คาเฟ่บ้านนอก) ")</f>
        <v>Local Cafe (คาเฟ่บ้านนอก) </v>
      </c>
      <c r="D109" s="1"/>
      <c r="E109" s="1"/>
    </row>
    <row r="110">
      <c r="A110" s="1" t="s">
        <v>109</v>
      </c>
      <c r="B110" s="2"/>
      <c r="C110" s="4" t="str">
        <f>HYPERLINK("http://4sq.com/2jop4RN","Lamour​ Cafe​ ")</f>
        <v>Lamour​ Cafe​ </v>
      </c>
      <c r="D110" s="1"/>
      <c r="E110" s="1"/>
    </row>
    <row r="111">
      <c r="A111" s="1" t="s">
        <v>110</v>
      </c>
      <c r="B111" s="2"/>
      <c r="C111" s="4" t="str">
        <f>HYPERLINK("http://4sq.com/2yNytMG","อนุสาวรีย์สมเด็จพระนเรศวร ทุ่งยั้งทัพ ")</f>
        <v>อนุสาวรีย์สมเด็จพระนเรศวร ทุ่งยั้งทัพ </v>
      </c>
      <c r="D111" s="1"/>
      <c r="E111" s="1"/>
    </row>
    <row r="112">
      <c r="A112" s="1" t="s">
        <v>111</v>
      </c>
      <c r="B112" s="2"/>
      <c r="C112" s="4" t="str">
        <f>HYPERLINK("http://4sq.com/I28LVE","Café de Oasis (คาเฟ่ เดอ โอเอซิส) ")</f>
        <v>Café de Oasis (คาเฟ่ เดอ โอเอซิส) </v>
      </c>
      <c r="D112" s="1"/>
      <c r="E112" s="1"/>
    </row>
    <row r="113">
      <c r="A113" s="1" t="s">
        <v>112</v>
      </c>
      <c r="B113" s="2"/>
      <c r="C113" s="4" t="str">
        <f>HYPERLINK("http://4sq.com/1MGHxNq","ระเบียง ณ แม่ริม ")</f>
        <v>ระเบียง ณ แม่ริม </v>
      </c>
      <c r="D113" s="1"/>
      <c r="E113" s="1"/>
    </row>
    <row r="114">
      <c r="A114" s="1" t="s">
        <v>113</v>
      </c>
      <c r="B114" s="2"/>
      <c r="C114" s="4" t="str">
        <f>HYPERLINK("http://4sq.com/2k6nHGk","Cafe de JJ ")</f>
        <v>Cafe de JJ </v>
      </c>
      <c r="D114" s="1"/>
      <c r="E114" s="1"/>
    </row>
    <row r="115">
      <c r="A115" s="1" t="s">
        <v>114</v>
      </c>
      <c r="B115" s="2"/>
      <c r="C115" s="4" t="str">
        <f>HYPERLINK("http://4sq.com/1fbuSWi","Ka-Fe-Vi-No ")</f>
        <v>Ka-Fe-Vi-No </v>
      </c>
      <c r="D115" s="1"/>
      <c r="E115" s="1"/>
    </row>
    <row r="116">
      <c r="A116" s="1" t="s">
        <v>115</v>
      </c>
      <c r="B116" s="2"/>
      <c r="C116" s="4" t="str">
        <f>HYPERLINK("http://4sq.com/1OPSxLj","Cube No.7 ")</f>
        <v>Cube No.7 </v>
      </c>
      <c r="D116" s="1"/>
      <c r="E116" s="1"/>
    </row>
    <row r="117">
      <c r="A117" s="1" t="s">
        <v>116</v>
      </c>
      <c r="B117" s="2"/>
      <c r="C117" s="4" t="str">
        <f>HYPERLINK("http://4sq.com/2zeHJZK","PTT Maerim ")</f>
        <v>PTT Maerim </v>
      </c>
      <c r="D117" s="1"/>
      <c r="E117" s="1"/>
    </row>
    <row r="118">
      <c r="A118" s="1" t="s">
        <v>117</v>
      </c>
      <c r="B118" s="2"/>
      <c r="C118" s="4" t="str">
        <f>HYPERLINK("http://4sq.com/hlzEe4","Café Kantary (คาเฟ่ แคนทารี่) ")</f>
        <v>Café Kantary (คาเฟ่ แคนทารี่) </v>
      </c>
      <c r="D118" s="1"/>
      <c r="E118" s="1"/>
    </row>
    <row r="119">
      <c r="A119" s="1" t="s">
        <v>118</v>
      </c>
      <c r="B119" s="2"/>
      <c r="C119" s="4" t="str">
        <f>HYPERLINK("http://4sq.com/o3ZEdO","See Paak Restaurant ")</f>
        <v>See Paak Restaurant </v>
      </c>
      <c r="D119" s="1"/>
      <c r="E119" s="1"/>
    </row>
    <row r="120">
      <c r="A120" s="1" t="s">
        <v>119</v>
      </c>
      <c r="B120" s="2"/>
      <c r="C120" s="4" t="str">
        <f>HYPERLINK("http://4sq.com/15vcS6A","Panyaden School Meeting Room ")</f>
        <v>Panyaden School Meeting Room </v>
      </c>
      <c r="D120" s="1"/>
      <c r="E120" s="1"/>
    </row>
    <row r="121">
      <c r="A121" s="1" t="s">
        <v>120</v>
      </c>
      <c r="B121" s="2"/>
      <c r="C121" s="4" t="str">
        <f>HYPERLINK("http://4sq.com/vR2jCG","Baan-Suan-Ka-Fé (บ้านสวนกาแฟ) ")</f>
        <v>Baan-Suan-Ka-Fé (บ้านสวนกาแฟ) </v>
      </c>
      <c r="D121" s="1"/>
      <c r="E121" s="1"/>
    </row>
    <row r="122">
      <c r="A122" s="1" t="s">
        <v>121</v>
      </c>
      <c r="B122" s="2"/>
      <c r="C122" s="4" t="str">
        <f>HYPERLINK("http://4sq.com/1LwwIEn","Let It Be ")</f>
        <v>Let It Be </v>
      </c>
      <c r="D122" s="1"/>
      <c r="E122" s="1"/>
    </row>
    <row r="123">
      <c r="A123" s="1" t="s">
        <v>122</v>
      </c>
      <c r="B123" s="2"/>
      <c r="C123" s="4" t="str">
        <f>HYPERLINK("http://4sq.com/dwbrHe","The Salad Concept ")</f>
        <v>The Salad Concept </v>
      </c>
      <c r="D123" s="1"/>
      <c r="E123" s="1"/>
    </row>
    <row r="124">
      <c r="A124" s="1" t="s">
        <v>123</v>
      </c>
      <c r="B124" s="2"/>
      <c r="C124" s="4" t="str">
        <f>HYPERLINK("http://4sq.com/1uTcCs4","Local Cafe (คาเฟ่บ้านนอก) ")</f>
        <v>Local Cafe (คาเฟ่บ้านนอก) </v>
      </c>
      <c r="D124" s="1"/>
      <c r="E124" s="1"/>
    </row>
    <row r="125">
      <c r="A125" s="1" t="s">
        <v>124</v>
      </c>
      <c r="B125" s="2"/>
      <c r="C125" s="4" t="str">
        <f>HYPERLINK("http://4sq.com/aUycgs","Baan Rai Yarm Yen (บ้านไร่ยามเย็น) ")</f>
        <v>Baan Rai Yarm Yen (บ้านไร่ยามเย็น) </v>
      </c>
      <c r="D125" s="1"/>
      <c r="E125" s="1"/>
    </row>
    <row r="126">
      <c r="A126" s="1" t="s">
        <v>125</v>
      </c>
      <c r="B126" s="2"/>
      <c r="C126" s="4" t="str">
        <f>HYPERLINK("http://4sq.com/b5BzeX","Le Méridien Chiang Mai ")</f>
        <v>Le Méridien Chiang Mai </v>
      </c>
      <c r="D126" s="1"/>
      <c r="E126" s="1"/>
    </row>
    <row r="127">
      <c r="A127" s="1" t="s">
        <v>126</v>
      </c>
      <c r="B127" s="2"/>
      <c r="C127" s="4" t="str">
        <f>HYPERLINK("http://4sq.com/1WDg4UA","Thapae East (ท่าแพ อีสต์) ")</f>
        <v>Thapae East (ท่าแพ อีสต์) </v>
      </c>
      <c r="D127" s="1"/>
      <c r="E127" s="1"/>
    </row>
    <row r="128">
      <c r="A128" s="1" t="s">
        <v>127</v>
      </c>
      <c r="B128" s="2"/>
      <c r="C128" s="4" t="str">
        <f>HYPERLINK("http://4sq.com/ewh1Pv","Pop Car Rent 1985 ")</f>
        <v>Pop Car Rent 1985 </v>
      </c>
      <c r="D128" s="1"/>
      <c r="E128" s="1"/>
    </row>
    <row r="129">
      <c r="A129" s="1" t="s">
        <v>128</v>
      </c>
      <c r="B129" s="2"/>
      <c r="C129" s="4" t="str">
        <f>HYPERLINK("http://4sq.com/abPeFc","Ginger &amp; Kafé ")</f>
        <v>Ginger &amp; Kafé </v>
      </c>
      <c r="D129" s="1"/>
      <c r="E129" s="1"/>
    </row>
    <row r="130">
      <c r="A130" s="1" t="s">
        <v>129</v>
      </c>
      <c r="B130" s="2"/>
      <c r="C130" s="4" t="str">
        <f>HYPERLINK("http://4sq.com/shWecj","Road View Coffee ")</f>
        <v>Road View Coffee </v>
      </c>
      <c r="D130" s="1"/>
      <c r="E130" s="1"/>
    </row>
    <row r="131">
      <c r="A131" s="1" t="s">
        <v>130</v>
      </c>
      <c r="B131" s="2"/>
      <c r="C131" s="4" t="str">
        <f>HYPERLINK("http://4sq.com/c7ahVZ","Pai Nai Fun (ปายในฝัน) ")</f>
        <v>Pai Nai Fun (ปายในฝัน) </v>
      </c>
      <c r="D131" s="1"/>
      <c r="E131" s="1"/>
    </row>
    <row r="132">
      <c r="A132" s="1" t="s">
        <v>131</v>
      </c>
      <c r="B132" s="2"/>
      <c r="C132" s="4" t="str">
        <f>HYPERLINK("http://4sq.com/XphqRU","Cafecito (คาเฟซิโต้) ")</f>
        <v>Cafecito (คาเฟซิโต้) </v>
      </c>
      <c r="D132" s="1"/>
      <c r="E132" s="1"/>
    </row>
    <row r="133">
      <c r="A133" s="1" t="s">
        <v>132</v>
      </c>
      <c r="B133" s="2"/>
      <c r="C133" s="4" t="str">
        <f>HYPERLINK("http://4sq.com/du7RqO","Buffalo Bar ")</f>
        <v>Buffalo Bar </v>
      </c>
      <c r="D133" s="1"/>
      <c r="E133" s="1"/>
    </row>
    <row r="134">
      <c r="A134" s="1" t="s">
        <v>133</v>
      </c>
      <c r="B134" s="2"/>
      <c r="C134" s="4" t="str">
        <f>HYPERLINK("http://4sq.com/a38yNX","Yellow Sun ")</f>
        <v>Yellow Sun </v>
      </c>
      <c r="D134" s="1"/>
      <c r="E134" s="1"/>
    </row>
    <row r="135">
      <c r="A135" s="1" t="s">
        <v>134</v>
      </c>
      <c r="B135" s="2"/>
      <c r="C135" s="4" t="str">
        <f>HYPERLINK("http://4sq.com/XphqRU","Cafecito (คาเฟซิโต้) ")</f>
        <v>Cafecito (คาเฟซิโต้) </v>
      </c>
      <c r="D135" s="1"/>
      <c r="E135" s="1"/>
    </row>
    <row r="136">
      <c r="A136" s="1" t="s">
        <v>135</v>
      </c>
      <c r="B136" s="2"/>
      <c r="C136" s="4" t="str">
        <f>HYPERLINK("http://4sq.com/2mG25Bl","a taste of joy ")</f>
        <v>a taste of joy </v>
      </c>
      <c r="D136" s="1"/>
      <c r="E136" s="1"/>
    </row>
    <row r="137">
      <c r="A137" s="1" t="s">
        <v>136</v>
      </c>
      <c r="B137" s="2"/>
      <c r="C137" s="4" t="str">
        <f>HYPERLINK("http://4sq.com/fE9CsB","Breeze of Pai Guesthouse ")</f>
        <v>Breeze of Pai Guesthouse </v>
      </c>
      <c r="D137" s="1"/>
      <c r="E137" s="1"/>
    </row>
    <row r="138">
      <c r="A138" s="1" t="s">
        <v>137</v>
      </c>
      <c r="B138" s="2"/>
      <c r="C138" s="4" t="str">
        <f>HYPERLINK("http://4sq.com/1IMMFP9","Family house @ Pai ")</f>
        <v>Family house @ Pai </v>
      </c>
      <c r="D138" s="1"/>
      <c r="E138" s="1"/>
    </row>
    <row r="139">
      <c r="A139" s="1" t="s">
        <v>138</v>
      </c>
      <c r="B139" s="2"/>
      <c r="C139" s="4" t="str">
        <f>HYPERLINK("http://4sq.com/1rdehGs","Top5cafe food&amp;drink ")</f>
        <v>Top5cafe food&amp;drink </v>
      </c>
      <c r="D139" s="1"/>
      <c r="E139" s="1"/>
    </row>
    <row r="140">
      <c r="A140" s="1" t="s">
        <v>139</v>
      </c>
      <c r="B140" s="2"/>
      <c r="C140" s="4" t="str">
        <f>HYPERLINK("http://4sq.com/14wSu3B","เมืองน้อย ")</f>
        <v>เมืองน้อย </v>
      </c>
      <c r="D140" s="1"/>
      <c r="E140" s="1"/>
    </row>
    <row r="141">
      <c r="A141" s="1" t="s">
        <v>140</v>
      </c>
      <c r="B141" s="2"/>
      <c r="C141" s="4" t="str">
        <f>HYPERLINK("http://4sq.com/1dTgWSD","CMVG Misty Sunrise ")</f>
        <v>CMVG Misty Sunrise </v>
      </c>
      <c r="D141" s="1"/>
      <c r="E141" s="1"/>
    </row>
    <row r="142">
      <c r="A142" s="1" t="s">
        <v>141</v>
      </c>
      <c r="B142" s="2"/>
      <c r="C142" s="4" t="str">
        <f>HYPERLINK("http://4sq.com/Ydy4Vy","ร้านพี่คำป่าง พี่หน่อ (ถ้ำลอด ปางมะผ้า) ")</f>
        <v>ร้านพี่คำป่าง พี่หน่อ (ถ้ำลอด ปางมะผ้า) </v>
      </c>
      <c r="D142" s="1"/>
      <c r="E142" s="1"/>
    </row>
    <row r="143">
      <c r="A143" s="1" t="s">
        <v>142</v>
      </c>
      <c r="B143" s="2"/>
      <c r="C143" s="4" t="str">
        <f>HYPERLINK("http://4sq.com/93vSbH","Pang Ma Pha Cave Lod (ถ้ำลอดปางมะผ้า) ")</f>
        <v>Pang Ma Pha Cave Lod (ถ้ำลอดปางมะผ้า) </v>
      </c>
      <c r="D143" s="1"/>
      <c r="E143" s="1"/>
    </row>
    <row r="144">
      <c r="A144" s="1" t="s">
        <v>143</v>
      </c>
      <c r="B144" s="2"/>
      <c r="C144" s="4" t="str">
        <f>HYPERLINK("http://4sq.com/aWduYM","PTT (ปตท.) ")</f>
        <v>PTT (ปตท.) </v>
      </c>
      <c r="D144" s="1"/>
      <c r="E144" s="1"/>
    </row>
    <row r="145">
      <c r="A145" s="1" t="s">
        <v>144</v>
      </c>
      <c r="B145" s="2"/>
      <c r="C145" s="4" t="str">
        <f>HYPERLINK("http://4sq.com/15xOUS4","Cafe De Pai ")</f>
        <v>Cafe De Pai </v>
      </c>
      <c r="D145" s="1"/>
      <c r="E145" s="1"/>
    </row>
    <row r="146">
      <c r="A146" s="1" t="s">
        <v>145</v>
      </c>
      <c r="B146" s="2"/>
      <c r="C146" s="4" t="str">
        <f>HYPERLINK("http://4sq.com/9GHVBl","Khaotha Coffee (เข้าท่ากาแฟ) ")</f>
        <v>Khaotha Coffee (เข้าท่ากาแฟ) </v>
      </c>
      <c r="D146" s="1"/>
      <c r="E146" s="1"/>
    </row>
    <row r="147">
      <c r="A147" s="1" t="s">
        <v>146</v>
      </c>
      <c r="B147" s="2"/>
      <c r="C147" s="4" t="str">
        <f>HYPERLINK("http://4sq.com/12JZOTi","Street Pizza Wood Fired Oven ")</f>
        <v>Street Pizza Wood Fired Oven </v>
      </c>
      <c r="D147" s="1"/>
      <c r="E147" s="1"/>
    </row>
    <row r="148">
      <c r="A148" s="1" t="s">
        <v>147</v>
      </c>
      <c r="B148" s="2"/>
      <c r="C148" s="4" t="str">
        <f>HYPERLINK("http://4sq.com/dc0ZyP","Chiangmai Ram Hospital (โรงพยาบาลเชียงใหม่ ราม) ")</f>
        <v>Chiangmai Ram Hospital (โรงพยาบาลเชียงใหม่ ราม) </v>
      </c>
      <c r="D148" s="1"/>
      <c r="E148" s="1"/>
    </row>
    <row r="149">
      <c r="A149" s="1" t="s">
        <v>148</v>
      </c>
      <c r="B149" s="2"/>
      <c r="C149" s="4" t="str">
        <f>HYPERLINK("http://4sq.com/2mPvdHF","CMR Complex ")</f>
        <v>CMR Complex </v>
      </c>
      <c r="D149" s="1"/>
      <c r="E149" s="1"/>
    </row>
    <row r="150">
      <c r="A150" s="1" t="s">
        <v>149</v>
      </c>
      <c r="B150" s="2"/>
      <c r="C150" s="4" t="str">
        <f>HYPERLINK("http://4sq.com/1fbuSWi","Ka-Fe-Vi-No ")</f>
        <v>Ka-Fe-Vi-No </v>
      </c>
      <c r="D150" s="1"/>
      <c r="E150" s="1"/>
    </row>
    <row r="151">
      <c r="A151" s="1" t="s">
        <v>150</v>
      </c>
      <c r="B151" s="2"/>
      <c r="C151" s="4" t="str">
        <f>HYPERLINK("http://4sq.com/1LwwIEn","Let It Be ")</f>
        <v>Let It Be </v>
      </c>
      <c r="D151" s="1"/>
      <c r="E151" s="1"/>
    </row>
    <row r="152">
      <c r="A152" s="1" t="s">
        <v>151</v>
      </c>
      <c r="B152" s="2"/>
      <c r="C152" s="4" t="str">
        <f>HYPERLINK("http://4sq.com/1uTcCs4","Local Cafe (คาเฟ่บ้านนอก) ")</f>
        <v>Local Cafe (คาเฟ่บ้านนอก) </v>
      </c>
      <c r="D152" s="1"/>
      <c r="E152" s="1"/>
    </row>
    <row r="153">
      <c r="A153" s="1" t="s">
        <v>152</v>
      </c>
      <c r="B153" s="2"/>
      <c r="C153" s="4" t="str">
        <f>HYPERLINK("http://4sq.com/1rCQT2C","Tiger Ted Café (ไทเกอร์ เท็ด คาเฟ่) ")</f>
        <v>Tiger Ted Café (ไทเกอร์ เท็ด คาเฟ่) </v>
      </c>
      <c r="D153" s="1"/>
      <c r="E153" s="1"/>
    </row>
    <row r="154">
      <c r="A154" s="1" t="s">
        <v>153</v>
      </c>
      <c r="B154" s="2"/>
      <c r="C154" s="4" t="str">
        <f>HYPERLINK("http://4sq.com/1glAL7r","The Duke's ")</f>
        <v>The Duke's </v>
      </c>
      <c r="D154" s="1"/>
      <c r="E154" s="1"/>
    </row>
    <row r="155">
      <c r="A155" s="1" t="s">
        <v>154</v>
      </c>
      <c r="B155" s="2"/>
      <c r="C155" s="4" t="str">
        <f>HYPERLINK("http://4sq.com/1MfAShl","ห้องประชุมจิตติมา ")</f>
        <v>ห้องประชุมจิตติมา </v>
      </c>
      <c r="D155" s="1"/>
      <c r="E155" s="1"/>
    </row>
    <row r="156">
      <c r="A156" s="1" t="s">
        <v>155</v>
      </c>
      <c r="B156" s="1" t="s">
        <v>156</v>
      </c>
      <c r="C156" s="4" t="str">
        <f>HYPERLINK("http://4sq.com/2CgJsj3","NARIT AstroPark ")</f>
        <v>NARIT AstroPark </v>
      </c>
      <c r="D156" s="1"/>
      <c r="E156" s="1"/>
    </row>
    <row r="157">
      <c r="A157" s="1" t="s">
        <v>157</v>
      </c>
      <c r="B157" s="1"/>
      <c r="C157" s="4" t="str">
        <f>HYPERLINK("http://foursquare.com/v/55f54d5d498e033e39afc453","Black Canyon (แบล็คแคนยอน) ")</f>
        <v>Black Canyon (แบล็คแคนยอน) </v>
      </c>
      <c r="D157" s="1"/>
      <c r="E157" s="1"/>
    </row>
    <row r="158">
      <c r="A158" s="1" t="s">
        <v>158</v>
      </c>
      <c r="B158" s="1"/>
      <c r="C158" s="4" t="str">
        <f>HYPERLINK("http://4sq.com/jHc7Qb","ศูนย์สินค้าเกษตรภาคเหนือ เชียงใหม่ ")</f>
        <v>ศูนย์สินค้าเกษตรภาคเหนือ เชียงใหม่ </v>
      </c>
      <c r="D158" s="1"/>
      <c r="E158" s="1"/>
    </row>
    <row r="159">
      <c r="A159" s="1" t="s">
        <v>159</v>
      </c>
      <c r="B159" s="1"/>
      <c r="C159" s="4" t="str">
        <f>HYPERLINK("http://4sq.com/i1s857","สำนักงานจัดหางาน คุ้มครองคนหางานและการทำงานของคนต่างด้าว Chiang Mai Employment Office (Foreign Labor Section) ")</f>
        <v>สำนักงานจัดหางาน คุ้มครองคนหางานและการทำงานของคนต่างด้าว Chiang Mai Employment Office (Foreign Labor Section) </v>
      </c>
      <c r="D159" s="1"/>
      <c r="E159" s="1"/>
    </row>
    <row r="160">
      <c r="A160" s="1" t="s">
        <v>160</v>
      </c>
      <c r="B160" s="1"/>
      <c r="C160" s="4" t="str">
        <f>HYPERLINK("http://4sq.com/1uTcCs4","Local Cafe (คาเฟ่บ้านนอก) ")</f>
        <v>Local Cafe (คาเฟ่บ้านนอก) </v>
      </c>
      <c r="D160" s="1"/>
      <c r="E160" s="1"/>
    </row>
    <row r="161">
      <c r="A161" s="1" t="s">
        <v>161</v>
      </c>
      <c r="B161" s="1"/>
      <c r="C161" s="4" t="str">
        <f>HYPERLINK("http://4sq.com/2zJP5B9","ครัวคำหวาน ")</f>
        <v>ครัวคำหวาน </v>
      </c>
      <c r="D161" s="1"/>
      <c r="E161" s="1"/>
    </row>
    <row r="162">
      <c r="A162" s="1" t="s">
        <v>162</v>
      </c>
      <c r="B162" s="1"/>
      <c r="C162" s="4" t="str">
        <f>HYPERLINK("http://4sq.com/iWulG2","fortune dental clinic ")</f>
        <v>fortune dental clinic </v>
      </c>
      <c r="D162" s="1"/>
      <c r="E162" s="1"/>
    </row>
    <row r="163">
      <c r="A163" s="1" t="s">
        <v>163</v>
      </c>
      <c r="B163" s="1"/>
      <c r="C163" s="4" t="str">
        <f>HYPERLINK("http://4sq.com/2jop4RN","Lamour​ Cafe​ ")</f>
        <v>Lamour​ Cafe​ </v>
      </c>
      <c r="D163" s="1"/>
      <c r="E163" s="1"/>
    </row>
    <row r="164">
      <c r="A164" s="1" t="s">
        <v>164</v>
      </c>
      <c r="B164" s="1"/>
      <c r="C164" s="4" t="str">
        <f>HYPERLINK("http://4sq.com/1MkbF74","Black Canyon (แบล็คแคนยอน) ")</f>
        <v>Black Canyon (แบล็คแคนยอน) </v>
      </c>
      <c r="D164" s="1"/>
      <c r="E164" s="1"/>
    </row>
    <row r="165">
      <c r="A165" s="1" t="s">
        <v>165</v>
      </c>
      <c r="B165" s="1"/>
      <c r="C165" s="4" t="str">
        <f>HYPERLINK("http://4sq.com/1hVXHYn","and ann coffee ")</f>
        <v>and ann coffee </v>
      </c>
      <c r="D165" s="1"/>
      <c r="E165" s="1"/>
    </row>
    <row r="166">
      <c r="A166" s="1" t="s">
        <v>166</v>
      </c>
      <c r="B166" s="1"/>
      <c r="C166" s="4" t="str">
        <f>HYPERLINK("http://4sq.com/1LwwIEn","Let It Be ")</f>
        <v>Let It Be </v>
      </c>
      <c r="D166" s="1"/>
      <c r="E166" s="1"/>
    </row>
    <row r="167">
      <c r="A167" s="1" t="s">
        <v>167</v>
      </c>
      <c r="B167" s="1"/>
      <c r="C167" s="4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D167" s="1"/>
      <c r="E167" s="1"/>
    </row>
    <row r="168">
      <c r="A168" s="1" t="s">
        <v>168</v>
      </c>
      <c r="B168" s="1"/>
      <c r="C168" s="4" t="str">
        <f>HYPERLINK("http://4sq.com/1MkbF74","Black Canyon (แบล็คแคนยอน) ")</f>
        <v>Black Canyon (แบล็คแคนยอน) </v>
      </c>
      <c r="D168" s="1"/>
      <c r="E168" s="1"/>
    </row>
    <row r="169">
      <c r="A169" s="1" t="s">
        <v>169</v>
      </c>
      <c r="B169" s="1"/>
      <c r="C169" s="4" t="str">
        <f>HYPERLINK("http://4sq.com/1dHOYY4","Pizzeria Giotto ")</f>
        <v>Pizzeria Giotto </v>
      </c>
      <c r="D169" s="1"/>
      <c r="E169" s="1"/>
    </row>
    <row r="170">
      <c r="A170" s="1" t="s">
        <v>170</v>
      </c>
      <c r="B170" s="1"/>
      <c r="C170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170" s="1"/>
      <c r="E170" s="1"/>
    </row>
    <row r="171">
      <c r="A171" s="1" t="s">
        <v>171</v>
      </c>
      <c r="B171" s="1"/>
      <c r="C171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171" s="1"/>
      <c r="E171" s="1"/>
    </row>
    <row r="172">
      <c r="A172" s="1" t="s">
        <v>172</v>
      </c>
      <c r="B172" s="1"/>
      <c r="C172" s="4" t="str">
        <f>HYPERLINK("http://4sq.com/2bkxLqW","Mercure Bangkok Makkasan ")</f>
        <v>Mercure Bangkok Makkasan </v>
      </c>
      <c r="D172" s="1"/>
      <c r="E172" s="1"/>
    </row>
    <row r="173">
      <c r="A173" s="1" t="s">
        <v>173</v>
      </c>
      <c r="B173" s="1"/>
      <c r="C173" s="4" t="str">
        <f>HYPERLINK("http://4sq.com/avD1vr","Baiyoke Sky Hotel ")</f>
        <v>Baiyoke Sky Hotel </v>
      </c>
      <c r="D173" s="1"/>
      <c r="E173" s="1"/>
    </row>
    <row r="174">
      <c r="A174" s="1" t="s">
        <v>174</v>
      </c>
      <c r="B174" s="1"/>
      <c r="C174" s="4" t="str">
        <f>HYPERLINK("http://4sq.com/1YFofUS","Fruit Buffet ")</f>
        <v>Fruit Buffet </v>
      </c>
      <c r="D174" s="1"/>
      <c r="E174" s="1"/>
    </row>
    <row r="175">
      <c r="A175" s="1" t="s">
        <v>175</v>
      </c>
      <c r="B175" s="1"/>
      <c r="C175" s="4" t="str">
        <f>HYPERLINK("http://4sq.com/7s8FlU","TK park (อุทยานการเรียนรู้) ")</f>
        <v>TK park (อุทยานการเรียนรู้) </v>
      </c>
      <c r="D175" s="1"/>
      <c r="E175" s="1"/>
    </row>
    <row r="176">
      <c r="A176" s="1" t="s">
        <v>176</v>
      </c>
      <c r="B176" s="1"/>
      <c r="C176" s="4" t="str">
        <f>HYPERLINK("http://4sq.com/9Na5LW","Bangkok Bus Terminal (Eastern) (สถานีขนส่งผู้โดยสารกรุงเทพ (เอกมัย)) ")</f>
        <v>Bangkok Bus Terminal (Eastern) (สถานีขนส่งผู้โดยสารกรุงเทพ (เอกมัย)) </v>
      </c>
      <c r="D176" s="1"/>
      <c r="E176" s="1"/>
    </row>
    <row r="177">
      <c r="A177" s="1" t="s">
        <v>177</v>
      </c>
      <c r="B177" s="1"/>
      <c r="C177" s="4" t="str">
        <f>HYPERLINK("http://4sq.com/bNuR0g","Laemtong Bangsaen (แหลมทองบางแสน) ")</f>
        <v>Laemtong Bangsaen (แหลมทองบางแสน) </v>
      </c>
      <c r="D177" s="1"/>
      <c r="E177" s="1"/>
    </row>
    <row r="178">
      <c r="A178" s="1" t="s">
        <v>178</v>
      </c>
      <c r="B178" s="1"/>
      <c r="C178" s="4" t="str">
        <f>HYPERLINK("http://4sq.com/cS4JDA","Khao Sam Muk (เขาสามมุข) ")</f>
        <v>Khao Sam Muk (เขาสามมุข) </v>
      </c>
      <c r="D178" s="1"/>
      <c r="E178" s="1"/>
    </row>
    <row r="179">
      <c r="A179" s="1" t="s">
        <v>179</v>
      </c>
      <c r="B179" s="1"/>
      <c r="C179" s="4" t="str">
        <f>HYPERLINK("http://4sq.com/1rnZfSI","Hippo cafe &amp; restaurant ")</f>
        <v>Hippo cafe &amp; restaurant </v>
      </c>
      <c r="D179" s="1"/>
      <c r="E179" s="1"/>
    </row>
    <row r="180">
      <c r="A180" s="1" t="s">
        <v>180</v>
      </c>
      <c r="B180" s="1"/>
      <c r="C180" s="4" t="str">
        <f>HYPERLINK("http://4sq.com/2vfPVah","Benito ")</f>
        <v>Benito </v>
      </c>
      <c r="D180" s="1"/>
      <c r="E180" s="1"/>
    </row>
    <row r="181">
      <c r="A181" s="1" t="s">
        <v>181</v>
      </c>
      <c r="B181" s="1"/>
      <c r="C181" s="4" t="str">
        <f>HYPERLINK("http://4sq.com/1Dq7W1B","Cafe Coco ")</f>
        <v>Cafe Coco </v>
      </c>
      <c r="D181" s="1"/>
      <c r="E181" s="1"/>
    </row>
    <row r="182">
      <c r="A182" s="1" t="s">
        <v>182</v>
      </c>
      <c r="B182" s="1"/>
      <c r="C182" s="4" t="str">
        <f>HYPERLINK("http://4sq.com/miNcZw","Mountainview village ")</f>
        <v>Mountainview village </v>
      </c>
      <c r="D182" s="1"/>
      <c r="E182" s="1"/>
    </row>
    <row r="183">
      <c r="A183" s="1" t="s">
        <v>183</v>
      </c>
      <c r="B183" s="1"/>
      <c r="C183" s="4" t="str">
        <f>HYPERLINK("http://4sq.com/1oKnupc","The Phyll (เดอะฟิลล์) ")</f>
        <v>The Phyll (เดอะฟิลล์) </v>
      </c>
      <c r="D183" s="1"/>
      <c r="E183" s="1"/>
    </row>
    <row r="184">
      <c r="A184" s="1" t="s">
        <v>184</v>
      </c>
      <c r="B184" s="1"/>
      <c r="C184" s="4" t="str">
        <f>HYPERLINK("http://4sq.com/5aVtdK","BTS On Nut (E9) (BTS อ่อนนุช) ")</f>
        <v>BTS On Nut (E9) (BTS อ่อนนุช) </v>
      </c>
      <c r="D184" s="1"/>
      <c r="E184" s="1"/>
    </row>
    <row r="185">
      <c r="A185" s="1" t="s">
        <v>185</v>
      </c>
      <c r="B185" s="1"/>
      <c r="C185" s="4" t="str">
        <f>HYPERLINK("http://4sq.com/8Vx7JM","Centara Grand at CentralWorld ")</f>
        <v>Centara Grand at CentralWorld </v>
      </c>
      <c r="D185" s="1"/>
      <c r="E185" s="1"/>
    </row>
    <row r="186">
      <c r="A186" s="1" t="s">
        <v>186</v>
      </c>
      <c r="B186" s="1"/>
      <c r="C186" s="4" t="str">
        <f>HYPERLINK("http://4sq.com/59YV7W","CentralWorld (เซ็นทรัลเวิลด์) ")</f>
        <v>CentralWorld (เซ็นทรัลเวิลด์) </v>
      </c>
      <c r="D186" s="1"/>
      <c r="E186" s="1"/>
    </row>
    <row r="187">
      <c r="A187" s="1" t="s">
        <v>187</v>
      </c>
      <c r="B187" s="1"/>
      <c r="C187" s="4" t="str">
        <f>HYPERLINK("http://4sq.com/1reyf4P","coffee world (คอฟฟี่เวิร์ล) ")</f>
        <v>coffee world (คอฟฟี่เวิร์ล) </v>
      </c>
      <c r="D187" s="1"/>
      <c r="E187" s="1"/>
    </row>
    <row r="188">
      <c r="A188" s="1" t="s">
        <v>188</v>
      </c>
      <c r="B188" s="1"/>
      <c r="C188" s="4" t="str">
        <f>HYPERLINK("http://4sq.com/2imjIWn","OOTOYA (โอโตยะ) ")</f>
        <v>OOTOYA (โอโตยะ) </v>
      </c>
      <c r="D188" s="1"/>
      <c r="E188" s="1"/>
    </row>
    <row r="189">
      <c r="A189" s="1" t="s">
        <v>189</v>
      </c>
      <c r="B189" s="1"/>
      <c r="C189" s="4" t="str">
        <f>HYPERLINK("http://4sq.com/pyxzjL","El Diablo's Burritos ")</f>
        <v>El Diablo's Burritos </v>
      </c>
      <c r="D189" s="1"/>
      <c r="E189" s="1"/>
    </row>
    <row r="190">
      <c r="A190" s="1" t="s">
        <v>190</v>
      </c>
      <c r="B190" s="1"/>
      <c r="C190" s="4" t="str">
        <f>HYPERLINK("http://4sq.com/1SgkrBb","TOM N TOMS (ทัม แอนด์ ทัมส์) ")</f>
        <v>TOM N TOMS (ทัม แอนด์ ทัมส์) </v>
      </c>
      <c r="D190" s="1"/>
      <c r="E190" s="1"/>
    </row>
    <row r="191">
      <c r="A191" s="1" t="s">
        <v>191</v>
      </c>
      <c r="B191" s="1"/>
      <c r="C191" s="4" t="str">
        <f>HYPERLINK("http://4sq.com/cU7tIJ","Terminal21 (เทอร์มินอล ทเวนตี้วัน) ")</f>
        <v>Terminal21 (เทอร์มินอล ทเวนตี้วัน) </v>
      </c>
      <c r="D191" s="1"/>
      <c r="E191" s="1"/>
    </row>
    <row r="192">
      <c r="A192" s="1" t="s">
        <v>192</v>
      </c>
      <c r="B192" s="1"/>
      <c r="C192" s="4" t="str">
        <f>HYPERLINK("http://4sq.com/qTDHw2","Starbucks (สตาร์บัคส์) ")</f>
        <v>Starbucks (สตาร์บัคส์) </v>
      </c>
      <c r="D192" s="1"/>
      <c r="E192" s="1"/>
    </row>
    <row r="193">
      <c r="A193" s="1" t="s">
        <v>193</v>
      </c>
      <c r="B193" s="1"/>
      <c r="C193" s="4" t="str">
        <f>HYPERLINK("http://4sq.com/2inorFr","Hotel Amaze Bangkok ")</f>
        <v>Hotel Amaze Bangkok </v>
      </c>
      <c r="D193" s="1"/>
      <c r="E193" s="1"/>
    </row>
    <row r="194">
      <c r="A194" s="1" t="s">
        <v>194</v>
      </c>
      <c r="B194" s="1"/>
      <c r="C194" s="4" t="str">
        <f>HYPERLINK("http://4sq.com/2pTX8Ld","ibis Styles Bangkok Sukhumvit Phra Khanong ")</f>
        <v>ibis Styles Bangkok Sukhumvit Phra Khanong </v>
      </c>
      <c r="D194" s="1"/>
      <c r="E194" s="1"/>
    </row>
    <row r="195">
      <c r="A195" s="1" t="s">
        <v>195</v>
      </c>
      <c r="B195" s="1"/>
      <c r="C195" s="4" t="str">
        <f>HYPERLINK("http://4sq.com/5gnRsF","MBK Center (เอ็ม บี เค เซ็นเตอร์) ")</f>
        <v>MBK Center (เอ็ม บี เค เซ็นเตอร์) </v>
      </c>
      <c r="D195" s="1"/>
      <c r="E195" s="1"/>
    </row>
    <row r="196">
      <c r="A196" s="1" t="s">
        <v>196</v>
      </c>
      <c r="B196" s="1"/>
      <c r="C196" s="4" t="str">
        <f>HYPERLINK("http://4sq.com/54yMlj","Suntowers ")</f>
        <v>Suntowers </v>
      </c>
      <c r="D196" s="1"/>
      <c r="E196" s="1"/>
    </row>
    <row r="197">
      <c r="A197" s="1" t="s">
        <v>197</v>
      </c>
      <c r="B197" s="1"/>
      <c r="C197" s="4" t="str">
        <f>HYPERLINK("http://4sq.com/nTluGY","Terminal 2 (อาคาร 2) ")</f>
        <v>Terminal 2 (อาคาร 2) </v>
      </c>
      <c r="D197" s="1"/>
      <c r="E197" s="1"/>
    </row>
    <row r="198">
      <c r="A198" s="1" t="s">
        <v>198</v>
      </c>
      <c r="B198" s="1"/>
      <c r="C198" s="4" t="str">
        <f>HYPERLINK("http://4sq.com/1LwwIEn","Let It Be ")</f>
        <v>Let It Be </v>
      </c>
      <c r="D198" s="1"/>
      <c r="E198" s="1"/>
    </row>
    <row r="199">
      <c r="A199" s="1" t="s">
        <v>199</v>
      </c>
      <c r="B199" s="1"/>
      <c r="C199" s="4" t="str">
        <f>HYPERLINK("http://4sq.com/2zeHJZK","PTT Maerim ")</f>
        <v>PTT Maerim </v>
      </c>
      <c r="D199" s="1"/>
      <c r="E199" s="1"/>
    </row>
    <row r="200">
      <c r="A200" s="1" t="s">
        <v>200</v>
      </c>
      <c r="B200" s="1"/>
      <c r="C200" s="4" t="str">
        <f>HYPERLINK("http://4sq.com/1CSACjK","หยัด บาร์เบอร์ ")</f>
        <v>หยัด บาร์เบอร์ </v>
      </c>
      <c r="D200" s="1"/>
      <c r="E200" s="1"/>
    </row>
    <row r="201">
      <c r="A201" s="1" t="s">
        <v>201</v>
      </c>
      <c r="B201" s="1"/>
      <c r="C201" s="4" t="str">
        <f>HYPERLINK("http://4sq.com/2n5LsTI","One Nimman (วันนิมมาน) ")</f>
        <v>One Nimman (วันนิมมาน) </v>
      </c>
      <c r="D201" s="1"/>
      <c r="E201" s="1"/>
    </row>
    <row r="202">
      <c r="A202" s="1" t="s">
        <v>202</v>
      </c>
      <c r="B202" s="1"/>
      <c r="C202" s="4" t="str">
        <f>HYPERLINK("http://4sq.com/dc0ZyP","Chiangmai Ram Hospital (โรงพยาบาลเชียงใหม่ ราม) ")</f>
        <v>Chiangmai Ram Hospital (โรงพยาบาลเชียงใหม่ ราม) </v>
      </c>
      <c r="D202" s="1"/>
      <c r="E202" s="1"/>
    </row>
    <row r="203">
      <c r="A203" s="1" t="s">
        <v>203</v>
      </c>
      <c r="B203" s="1"/>
      <c r="C203" s="4" t="str">
        <f>HYPERLINK("http://4sq.com/2nYZcMa","TUBE TREK WATER PARK CHIANGMAI ")</f>
        <v>TUBE TREK WATER PARK CHIANGMAI </v>
      </c>
      <c r="D203" s="1"/>
      <c r="E203" s="1"/>
    </row>
    <row r="204">
      <c r="A204" s="1" t="s">
        <v>204</v>
      </c>
      <c r="B204" s="1"/>
      <c r="C204" s="4" t="str">
        <f>HYPERLINK("http://4sq.com/1BMvmPX","Gusto Site (กัสโต้ ไซต์) ")</f>
        <v>Gusto Site (กัสโต้ ไซต์) </v>
      </c>
      <c r="D204" s="1"/>
      <c r="E204" s="1"/>
    </row>
    <row r="205">
      <c r="A205" s="1" t="s">
        <v>205</v>
      </c>
      <c r="B205" s="1"/>
      <c r="C205" s="4" t="str">
        <f>HYPERLINK("http://4sq.com/o3ZEdO","See Paak Restaurant ")</f>
        <v>See Paak Restaurant </v>
      </c>
      <c r="D205" s="1"/>
      <c r="E205" s="1"/>
    </row>
    <row r="206">
      <c r="A206" s="1" t="s">
        <v>206</v>
      </c>
      <c r="B206" s="1"/>
      <c r="C206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206" s="1"/>
      <c r="E206" s="1"/>
    </row>
    <row r="207">
      <c r="A207" s="1" t="s">
        <v>207</v>
      </c>
      <c r="B207" s="1"/>
      <c r="C207" s="4" t="str">
        <f>HYPERLINK("http://4sq.com/nTluGY","Terminal 2 (อาคาร 2) ")</f>
        <v>Terminal 2 (อาคาร 2) </v>
      </c>
      <c r="D207" s="1"/>
      <c r="E207" s="1"/>
    </row>
    <row r="208">
      <c r="A208" s="1" t="s">
        <v>208</v>
      </c>
      <c r="B208" s="1"/>
      <c r="C208" s="4" t="str">
        <f>HYPERLINK("http://4sq.com/87MjqZ","Union Mall (ยูเนี่ยน มอลล์) ")</f>
        <v>Union Mall (ยูเนี่ยน มอลล์) </v>
      </c>
      <c r="D208" s="1"/>
      <c r="E208" s="1"/>
    </row>
    <row r="209">
      <c r="A209" s="1" t="s">
        <v>209</v>
      </c>
      <c r="B209" s="1"/>
      <c r="C209" s="4" t="str">
        <f>HYPERLINK("http://4sq.com/1c6mSXq","White Balance Bakery ")</f>
        <v>White Balance Bakery </v>
      </c>
      <c r="D209" s="1"/>
      <c r="E209" s="1"/>
    </row>
    <row r="210">
      <c r="A210" s="1" t="s">
        <v>210</v>
      </c>
      <c r="B210" s="1"/>
      <c r="C210" s="4" t="str">
        <f>HYPERLINK("http://4sq.com/Mf3paA","ร้านกินสบาย ")</f>
        <v>ร้านกินสบาย </v>
      </c>
      <c r="D210" s="1"/>
      <c r="E210" s="1"/>
    </row>
    <row r="211">
      <c r="A211" s="1" t="s">
        <v>211</v>
      </c>
      <c r="B211" s="1"/>
      <c r="C211" s="4" t="str">
        <f>HYPERLINK("http://4sq.com/Tis8JR","Domestic Departures ")</f>
        <v>Domestic Departures </v>
      </c>
      <c r="D211" s="1"/>
      <c r="E211" s="1"/>
    </row>
    <row r="212">
      <c r="A212" s="1" t="s">
        <v>212</v>
      </c>
      <c r="B212" s="1"/>
      <c r="C212" s="4" t="str">
        <f>HYPERLINK("http://4sq.com/gjpIFT","Ranong Airport (UNN) (ท่าอากาศยานระนอง) ")</f>
        <v>Ranong Airport (UNN) (ท่าอากาศยานระนอง) </v>
      </c>
      <c r="D212" s="1"/>
      <c r="E212" s="1"/>
    </row>
    <row r="213">
      <c r="A213" s="1" t="s">
        <v>213</v>
      </c>
      <c r="B213" s="1"/>
      <c r="C213" s="4" t="str">
        <f>HYPERLINK("http://4sq.com/1ubUQzI","NAVA ANDAMAN ")</f>
        <v>NAVA ANDAMAN </v>
      </c>
      <c r="D213" s="1"/>
      <c r="E213" s="1"/>
    </row>
    <row r="214">
      <c r="A214" s="1" t="s">
        <v>214</v>
      </c>
      <c r="B214" s="1"/>
      <c r="C214" s="4" t="str">
        <f>HYPERLINK("http://4sq.com/djGumF","Koh Payam Pier (ท่าเรือเกาะพยาม) ")</f>
        <v>Koh Payam Pier (ท่าเรือเกาะพยาม) </v>
      </c>
      <c r="D214" s="1"/>
      <c r="E214" s="1"/>
    </row>
    <row r="215">
      <c r="A215" s="1" t="s">
        <v>215</v>
      </c>
      <c r="B215" s="1"/>
      <c r="C215" s="4" t="str">
        <f t="shared" ref="C215:C217" si="2">HYPERLINK("http://4sq.com/IRcFd5","Lazy Hut ")</f>
        <v>Lazy Hut </v>
      </c>
      <c r="D215" s="1"/>
      <c r="E215" s="1"/>
    </row>
    <row r="216">
      <c r="A216" s="1" t="s">
        <v>216</v>
      </c>
      <c r="B216" s="1"/>
      <c r="C216" s="4" t="str">
        <f t="shared" si="2"/>
        <v>Lazy Hut </v>
      </c>
      <c r="D216" s="1"/>
      <c r="E216" s="1"/>
    </row>
    <row r="217">
      <c r="A217" s="1" t="s">
        <v>217</v>
      </c>
      <c r="B217" s="1"/>
      <c r="C217" s="4" t="str">
        <f t="shared" si="2"/>
        <v>Lazy Hut </v>
      </c>
      <c r="D217" s="1"/>
      <c r="E217" s="1"/>
    </row>
    <row r="218">
      <c r="A218" s="1" t="s">
        <v>218</v>
      </c>
      <c r="B218" s="1"/>
      <c r="C218" s="4" t="str">
        <f>HYPERLINK("http://4sq.com/1cuy2Po","Green Beach Hut ")</f>
        <v>Green Beach Hut </v>
      </c>
      <c r="D218" s="1"/>
      <c r="E218" s="1"/>
    </row>
    <row r="219">
      <c r="A219" s="1" t="s">
        <v>219</v>
      </c>
      <c r="B219" s="1"/>
      <c r="C219" s="4" t="str">
        <f>HYPERLINK("https://4sq.com/2Hn2OCJ","Flower Power Village ")</f>
        <v>Flower Power Village </v>
      </c>
      <c r="D219" s="1"/>
      <c r="E219" s="1"/>
    </row>
    <row r="220">
      <c r="A220" s="1" t="s">
        <v>220</v>
      </c>
      <c r="B220" s="1"/>
      <c r="C220" s="4" t="str">
        <f>HYPERLINK("http://4sq.com/eJcqYe","Kwang Peeb Bay Resort ")</f>
        <v>Kwang Peeb Bay Resort </v>
      </c>
      <c r="D220" s="1"/>
      <c r="E220" s="1"/>
    </row>
    <row r="221">
      <c r="A221" s="1" t="s">
        <v>221</v>
      </c>
      <c r="B221" s="1"/>
      <c r="C221" s="4" t="str">
        <f>HYPERLINK("http://4sq.com/1aZ9l4K","Buffalo Bay ")</f>
        <v>Buffalo Bay </v>
      </c>
      <c r="D221" s="1"/>
      <c r="E221" s="1"/>
    </row>
    <row r="222">
      <c r="A222" s="1" t="s">
        <v>222</v>
      </c>
      <c r="B222" s="1"/>
      <c r="C222" s="4" t="str">
        <f t="shared" ref="C222:C223" si="3">HYPERLINK("http://4sq.com/1cuy2Po","Green Beach Hut ")</f>
        <v>Green Beach Hut </v>
      </c>
      <c r="D222" s="1"/>
      <c r="E222" s="1"/>
    </row>
    <row r="223">
      <c r="A223" s="1" t="s">
        <v>223</v>
      </c>
      <c r="B223" s="1"/>
      <c r="C223" s="4" t="str">
        <f t="shared" si="3"/>
        <v>Green Beach Hut </v>
      </c>
      <c r="D223" s="1"/>
      <c r="E223" s="1"/>
    </row>
    <row r="224">
      <c r="A224" s="1" t="s">
        <v>224</v>
      </c>
      <c r="B224" s="1"/>
      <c r="C224" s="4" t="str">
        <f>HYPERLINK("http://4sq.com/IRcFd5","Lazy Hut ")</f>
        <v>Lazy Hut </v>
      </c>
      <c r="D224" s="1"/>
      <c r="E224" s="1"/>
    </row>
    <row r="225">
      <c r="A225" s="1" t="s">
        <v>225</v>
      </c>
      <c r="B225" s="1"/>
      <c r="C225" s="4" t="str">
        <f>HYPERLINK("https://4sq.com/2Hn2OCJ","Flower Power Village ")</f>
        <v>Flower Power Village </v>
      </c>
      <c r="D225" s="1"/>
      <c r="E225" s="1"/>
    </row>
    <row r="226">
      <c r="A226" s="1" t="s">
        <v>226</v>
      </c>
      <c r="B226" s="1"/>
      <c r="C226" s="4" t="str">
        <f>HYPERLINK("http://4sq.com/WzNodp","Hippy Bar ")</f>
        <v>Hippy Bar </v>
      </c>
      <c r="D226" s="1"/>
      <c r="E226" s="1"/>
    </row>
    <row r="227">
      <c r="A227" s="1" t="s">
        <v>227</v>
      </c>
      <c r="B227" s="1"/>
      <c r="C227" s="4" t="str">
        <f>HYPERLINK("https://4sq.com/2qzKC1C","Koh Phayam Cafe ")</f>
        <v>Koh Phayam Cafe </v>
      </c>
      <c r="D227" s="1"/>
      <c r="E227" s="1"/>
    </row>
    <row r="228">
      <c r="A228" s="1" t="s">
        <v>228</v>
      </c>
      <c r="B228" s="1"/>
      <c r="C228" s="4" t="str">
        <f>HYPERLINK("https://4sq.com/2qBikDO","Sathanee Restaurant ")</f>
        <v>Sathanee Restaurant </v>
      </c>
      <c r="D228" s="1"/>
      <c r="E228" s="1"/>
    </row>
    <row r="229">
      <c r="A229" s="1" t="s">
        <v>229</v>
      </c>
      <c r="B229" s="1"/>
      <c r="C229" s="4" t="str">
        <f>HYPERLINK("http://4sq.com/gb5RpZ","Kho Payam Resort ")</f>
        <v>Kho Payam Resort </v>
      </c>
      <c r="D229" s="1"/>
      <c r="E229" s="1"/>
    </row>
    <row r="230">
      <c r="A230" s="1" t="s">
        <v>230</v>
      </c>
      <c r="B230" s="1"/>
      <c r="C230" s="4" t="str">
        <f>HYPERLINK("https://4sq.com/2Hp2fuD","Lamai Super Market ")</f>
        <v>Lamai Super Market </v>
      </c>
      <c r="D230" s="1"/>
      <c r="E230" s="1"/>
    </row>
    <row r="231">
      <c r="A231" s="1" t="s">
        <v>231</v>
      </c>
      <c r="B231" s="1"/>
      <c r="C231" s="4" t="str">
        <f t="shared" ref="C231:C232" si="4">HYPERLINK("http://4sq.com/IRcFd5","Lazy Hut ")</f>
        <v>Lazy Hut </v>
      </c>
      <c r="D231" s="1"/>
      <c r="E231" s="1"/>
    </row>
    <row r="232">
      <c r="A232" s="1" t="s">
        <v>232</v>
      </c>
      <c r="B232" s="1"/>
      <c r="C232" s="4" t="str">
        <f t="shared" si="4"/>
        <v>Lazy Hut </v>
      </c>
      <c r="D232" s="1"/>
      <c r="E232" s="1"/>
    </row>
    <row r="233">
      <c r="A233" s="1" t="s">
        <v>233</v>
      </c>
      <c r="B233" s="1"/>
      <c r="C233" s="4" t="str">
        <f>HYPERLINK("http://4sq.com/dxwB2T","ท่าเรือเกาะพยาม ")</f>
        <v>ท่าเรือเกาะพยาม </v>
      </c>
      <c r="D233" s="1"/>
      <c r="E233" s="1"/>
    </row>
    <row r="234">
      <c r="A234" s="1" t="s">
        <v>234</v>
      </c>
      <c r="B234" s="1"/>
      <c r="C234" s="4" t="str">
        <f>HYPERLINK("http://4sq.com/10eQspr","Ranong River Side Resort (ระนองริเวอร์ไซด์รีสอร์ท) ")</f>
        <v>Ranong River Side Resort (ระนองริเวอร์ไซด์รีสอร์ท) </v>
      </c>
      <c r="D234" s="1"/>
      <c r="E234" s="1"/>
    </row>
    <row r="235">
      <c r="A235" s="1" t="s">
        <v>235</v>
      </c>
      <c r="B235" s="1"/>
      <c r="C235" s="4" t="str">
        <f>HYPERLINK("http://4sq.com/1oYKSkd","Departure Hall ")</f>
        <v>Departure Hall </v>
      </c>
      <c r="D235" s="1"/>
      <c r="E235" s="1"/>
    </row>
    <row r="236">
      <c r="A236" s="1" t="s">
        <v>236</v>
      </c>
      <c r="B236" s="1"/>
      <c r="C236" s="4" t="str">
        <f>HYPERLINK("http://4sq.com/gjpIFT","Ranong Airport (UNN) (ท่าอากาศยานระนอง) ")</f>
        <v>Ranong Airport (UNN) (ท่าอากาศยานระนอง) </v>
      </c>
      <c r="D236" s="1"/>
      <c r="E236" s="1"/>
    </row>
    <row r="237">
      <c r="A237" s="1" t="s">
        <v>237</v>
      </c>
      <c r="B237" s="1"/>
      <c r="C237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237" s="1"/>
      <c r="E237" s="1"/>
    </row>
    <row r="238">
      <c r="A238" s="1" t="s">
        <v>238</v>
      </c>
      <c r="B238" s="1"/>
      <c r="C238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238" s="1"/>
      <c r="E238" s="1"/>
    </row>
    <row r="239">
      <c r="A239" s="1" t="s">
        <v>239</v>
      </c>
      <c r="B239" s="1"/>
      <c r="C239" s="4" t="str">
        <f>HYPERLINK("http://4sq.com/1LwwIEn","Let It Be ")</f>
        <v>Let It Be </v>
      </c>
      <c r="D239" s="1"/>
      <c r="E239" s="1"/>
    </row>
    <row r="240">
      <c r="A240" s="1" t="s">
        <v>240</v>
      </c>
      <c r="B240" s="1"/>
      <c r="C240" s="4" t="str">
        <f>HYPERLINK("http://4sq.com/1uTcCs4","Local Cafe (คาเฟ่บ้านนอก) ")</f>
        <v>Local Cafe (คาเฟ่บ้านนอก) </v>
      </c>
      <c r="D240" s="1"/>
      <c r="E240" s="1"/>
    </row>
    <row r="241">
      <c r="A241" s="1" t="s">
        <v>241</v>
      </c>
      <c r="B241" s="1"/>
      <c r="C241" s="4" t="str">
        <f>HYPERLINK("http://4sq.com/2BQaCNx","Ginger Farm Kitchen ")</f>
        <v>Ginger Farm Kitchen </v>
      </c>
      <c r="D241" s="1"/>
      <c r="E241" s="1"/>
    </row>
    <row r="242">
      <c r="A242" s="1" t="s">
        <v>242</v>
      </c>
      <c r="B242" s="1"/>
      <c r="C242" s="4" t="str">
        <f>HYPERLINK("http://4sq.com/aCCyTW","The Pub ")</f>
        <v>The Pub </v>
      </c>
      <c r="D242" s="1"/>
      <c r="E242" s="1"/>
    </row>
    <row r="243">
      <c r="A243" s="1" t="s">
        <v>243</v>
      </c>
      <c r="B243" s="1"/>
      <c r="C243" s="4" t="str">
        <f>HYPERLINK("http://4sq.com/2Fw9ujx","BABY COME HOME ")</f>
        <v>BABY COME HOME </v>
      </c>
      <c r="D243" s="1"/>
      <c r="E243" s="1"/>
    </row>
    <row r="244">
      <c r="A244" s="1" t="s">
        <v>244</v>
      </c>
      <c r="B244" s="1"/>
      <c r="C244" s="4" t="str">
        <f>HYPERLINK("http://4sq.com/1CIP0Z9","ศาลาไอติม ป่าม่วง แม่ริม เชียงใหม่ ")</f>
        <v>ศาลาไอติม ป่าม่วง แม่ริม เชียงใหม่ </v>
      </c>
      <c r="D244" s="1"/>
      <c r="E244" s="1"/>
    </row>
    <row r="245">
      <c r="A245" s="1" t="s">
        <v>245</v>
      </c>
      <c r="B245" s="1"/>
      <c r="C245" s="4" t="str">
        <f>HYPERLINK("http://4sq.com/144krkW","สำนักสงฆ์ปฎิบัติธรรมสันกู่ ")</f>
        <v>สำนักสงฆ์ปฎิบัติธรรมสันกู่ </v>
      </c>
      <c r="D245" s="1"/>
      <c r="E245" s="1"/>
    </row>
    <row r="246">
      <c r="A246" s="1" t="s">
        <v>246</v>
      </c>
      <c r="B246" s="1"/>
      <c r="C246" s="4" t="str">
        <f>HYPERLINK("https://4sq.com/2FLZZIV","Honey Hill ")</f>
        <v>Honey Hill </v>
      </c>
      <c r="D246" s="1"/>
      <c r="E246" s="1"/>
    </row>
    <row r="247">
      <c r="A247" s="1" t="s">
        <v>247</v>
      </c>
      <c r="B247" s="1"/>
      <c r="C247" s="4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D247" s="1"/>
      <c r="E247" s="1"/>
    </row>
    <row r="248">
      <c r="A248" s="1" t="s">
        <v>248</v>
      </c>
      <c r="B248" s="1"/>
      <c r="C248" s="4" t="str">
        <f>HYPERLINK("http://4sq.com/2Ek04EM","SUBWAY (ซับเวย์) ")</f>
        <v>SUBWAY (ซับเวย์) </v>
      </c>
      <c r="D248" s="1"/>
      <c r="E248" s="1"/>
    </row>
    <row r="249">
      <c r="A249" s="1" t="s">
        <v>249</v>
      </c>
      <c r="B249" s="1"/>
      <c r="C249" s="4" t="str">
        <f>HYPERLINK("http://4sq.com/1K2l4NI","Teak Table (ทีค เทเบิล) ")</f>
        <v>Teak Table (ทีค เทเบิล) </v>
      </c>
      <c r="D249" s="1"/>
      <c r="E249" s="1"/>
    </row>
    <row r="250">
      <c r="A250" s="1" t="s">
        <v>250</v>
      </c>
      <c r="B250" s="1"/>
      <c r="C250" s="4" t="str">
        <f>HYPERLINK("http://4sq.com/11nzEX7","เฮือนลูกหลาน ")</f>
        <v>เฮือนลูกหลาน </v>
      </c>
      <c r="D250" s="1"/>
      <c r="E250" s="1"/>
    </row>
    <row r="251">
      <c r="A251" s="1" t="s">
        <v>251</v>
      </c>
      <c r="B251" s="1"/>
      <c r="C251" s="4" t="str">
        <f>HYPERLINK("http://4sq.com/o3ZEdO","See Paak Restaurant ")</f>
        <v>See Paak Restaurant </v>
      </c>
      <c r="D251" s="1"/>
      <c r="E251" s="1"/>
    </row>
    <row r="252">
      <c r="A252" s="1" t="s">
        <v>252</v>
      </c>
      <c r="B252" s="1"/>
      <c r="C252" s="4" t="str">
        <f>HYPERLINK("http://4sq.com/1cbUJew","Rimtharn Nanglen (ริมธาร นั่งเล่น) ")</f>
        <v>Rimtharn Nanglen (ริมธาร นั่งเล่น) </v>
      </c>
      <c r="D252" s="1"/>
      <c r="E252" s="1"/>
    </row>
    <row r="253">
      <c r="A253" s="1" t="s">
        <v>253</v>
      </c>
      <c r="B253" s="1"/>
      <c r="C253" s="4" t="str">
        <f>HYPERLINK("http://4sq.com/2k6nHGk","Cafe de JJ ")</f>
        <v>Cafe de JJ </v>
      </c>
      <c r="D253" s="1"/>
      <c r="E253" s="1"/>
    </row>
    <row r="254">
      <c r="A254" s="1" t="s">
        <v>254</v>
      </c>
      <c r="B254" s="1"/>
      <c r="C254" s="4" t="str">
        <f>HYPERLINK("http://4sq.com/hAiTVa","The Pappa Pizza &amp; Steak Resturant ")</f>
        <v>The Pappa Pizza &amp; Steak Resturant </v>
      </c>
      <c r="D254" s="1"/>
      <c r="E254" s="1"/>
    </row>
    <row r="255">
      <c r="A255" s="1" t="s">
        <v>255</v>
      </c>
      <c r="B255" s="1"/>
      <c r="C255" s="4" t="str">
        <f>HYPERLINK("http://4sq.com/2ziax0g","โรงแรมมินทร์ธารา •Mintara Hotel Nan• ")</f>
        <v>โรงแรมมินทร์ธารา •Mintara Hotel Nan• </v>
      </c>
      <c r="D255" s="1"/>
      <c r="E255" s="1"/>
    </row>
    <row r="256">
      <c r="A256" s="1" t="s">
        <v>256</v>
      </c>
      <c r="B256" s="1"/>
      <c r="C256" s="4" t="str">
        <f>HYPERLINK("http://4sq.com/1GSEYYx","Ban-Tai-Lue Café (กาแฟบ้านไทลื้อ) ")</f>
        <v>Ban-Tai-Lue Café (กาแฟบ้านไทลื้อ) </v>
      </c>
      <c r="D256" s="1"/>
      <c r="E256" s="1"/>
    </row>
    <row r="257">
      <c r="A257" s="1" t="s">
        <v>257</v>
      </c>
      <c r="B257" s="1"/>
      <c r="C257" s="4" t="str">
        <f>HYPERLINK("https://4sq.com/2rFpAzd","เดอะวิว @ กิ่วม่วง ")</f>
        <v>เดอะวิว @ กิ่วม่วง </v>
      </c>
      <c r="D257" s="1"/>
      <c r="E257" s="1"/>
    </row>
    <row r="258">
      <c r="A258" s="1" t="s">
        <v>258</v>
      </c>
      <c r="B258" s="1"/>
      <c r="C258" s="4" t="str">
        <f>HYPERLINK("http://4sq.com/HMQMvp","Sri Mueang Park (สวนสาธารณะศรีเมือง) ")</f>
        <v>Sri Mueang Park (สวนสาธารณะศรีเมือง) </v>
      </c>
      <c r="D258" s="1"/>
      <c r="E258" s="1"/>
    </row>
    <row r="259">
      <c r="A259" s="1" t="s">
        <v>259</v>
      </c>
      <c r="B259" s="1"/>
      <c r="C259" s="4" t="str">
        <f>HYPERLINK("http://4sq.com/1ej1M4L","Doi Pha Klong National Park (อุทยานแห่งชาติดอยผากลอง) ")</f>
        <v>Doi Pha Klong National Park (อุทยานแห่งชาติดอยผากลอง) </v>
      </c>
      <c r="D259" s="1"/>
      <c r="E259" s="1"/>
    </row>
    <row r="260">
      <c r="A260" s="1" t="s">
        <v>260</v>
      </c>
      <c r="B260" s="1"/>
      <c r="C260" s="4" t="str">
        <f>HYPERLINK("http://4sq.com/tEIAEZ","PTT (ปตท.) ")</f>
        <v>PTT (ปตท.) </v>
      </c>
      <c r="D260" s="1"/>
      <c r="E260" s="1"/>
    </row>
    <row r="261">
      <c r="A261" s="1" t="s">
        <v>261</v>
      </c>
      <c r="B261" s="1"/>
      <c r="C261" s="4" t="str">
        <f>HYPERLINK("http://4sq.com/b8c0lQ","Chiang Mai City Hall (ศาลากลางจังหวัดเชียงใหม่) ")</f>
        <v>Chiang Mai City Hall (ศาลากลางจังหวัดเชียงใหม่) </v>
      </c>
      <c r="D261" s="1"/>
      <c r="E261" s="1"/>
    </row>
    <row r="262">
      <c r="A262" s="1" t="s">
        <v>262</v>
      </c>
      <c r="B262" s="1"/>
      <c r="C262" s="4" t="str">
        <f>HYPERLINK("http://4sq.com/I28LVE","Café de Oasis (คาเฟ่ เดอ โอเอซิส) ")</f>
        <v>Café de Oasis (คาเฟ่ เดอ โอเอซิส) </v>
      </c>
      <c r="D262" s="1"/>
      <c r="E262" s="1"/>
    </row>
    <row r="263">
      <c r="A263" s="1" t="s">
        <v>263</v>
      </c>
      <c r="B263" s="1"/>
      <c r="C263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263" s="1"/>
      <c r="E263" s="1"/>
    </row>
    <row r="264">
      <c r="A264" s="1" t="s">
        <v>264</v>
      </c>
      <c r="B264" s="1"/>
      <c r="C264" s="4" t="str">
        <f>HYPERLINK("http://4sq.com/IFfbTx","Bus stop South Pattaya ")</f>
        <v>Bus stop South Pattaya </v>
      </c>
      <c r="D264" s="1"/>
      <c r="E264" s="1"/>
    </row>
    <row r="265">
      <c r="A265" s="1" t="s">
        <v>265</v>
      </c>
      <c r="B265" s="1"/>
      <c r="C265" s="4" t="str">
        <f>HYPERLINK("http://4sq.com/1d5y3Bv","The Sky Gallery ")</f>
        <v>The Sky Gallery </v>
      </c>
      <c r="D265" s="1"/>
      <c r="E265" s="1"/>
    </row>
    <row r="266">
      <c r="A266" s="1" t="s">
        <v>266</v>
      </c>
      <c r="B266" s="1"/>
      <c r="C266" s="4" t="str">
        <f>HYPERLINK("http://4sq.com/9ZEtfO","Nual Beach (หาดนวล) ")</f>
        <v>Nual Beach (หาดนวล) </v>
      </c>
      <c r="D266" s="1"/>
      <c r="E266" s="1"/>
    </row>
    <row r="267">
      <c r="A267" s="1" t="s">
        <v>267</v>
      </c>
      <c r="B267" s="1"/>
      <c r="C267" s="4" t="str">
        <f>HYPERLINK("http://4sq.com/dq1W6W","Rich Man Poor Man Guesthouse ")</f>
        <v>Rich Man Poor Man Guesthouse </v>
      </c>
      <c r="D267" s="1"/>
      <c r="E267" s="1"/>
    </row>
    <row r="268">
      <c r="A268" s="1" t="s">
        <v>268</v>
      </c>
      <c r="B268" s="1"/>
      <c r="C268" s="4" t="str">
        <f>HYPERLINK("http://4sq.com/nTluGY","Terminal 2 (อาคาร 2) ")</f>
        <v>Terminal 2 (อาคาร 2) </v>
      </c>
      <c r="D268" s="1"/>
      <c r="E268" s="1"/>
    </row>
    <row r="269">
      <c r="A269" s="1" t="s">
        <v>269</v>
      </c>
      <c r="B269" s="1"/>
      <c r="C269" s="4" t="str">
        <f>HYPERLINK("http://4sq.com/2k6nHGk","Cafe de JJ ")</f>
        <v>Cafe de JJ </v>
      </c>
      <c r="D269" s="1"/>
      <c r="E269" s="1"/>
    </row>
    <row r="270">
      <c r="A270" s="1" t="s">
        <v>270</v>
      </c>
      <c r="B270" s="1"/>
      <c r="C270" s="4" t="str">
        <f>HYPERLINK("http://4sq.com/2bIJz8b","Lamona View Swimming Pool ")</f>
        <v>Lamona View Swimming Pool </v>
      </c>
      <c r="D270" s="1"/>
      <c r="E270" s="1"/>
    </row>
    <row r="271">
      <c r="A271" s="1" t="s">
        <v>271</v>
      </c>
      <c r="B271" s="1"/>
      <c r="C271" s="4" t="str">
        <f>HYPERLINK("http://4sq.com/1LwwIEn","Let It Be ")</f>
        <v>Let It Be </v>
      </c>
      <c r="D271" s="1"/>
      <c r="E271" s="1"/>
    </row>
    <row r="272">
      <c r="A272" s="1" t="s">
        <v>272</v>
      </c>
      <c r="B272" s="1"/>
      <c r="C272" s="4" t="str">
        <f>HYPERLINK("http://4sq.com/1uTcCs4","Local Cafe (คาเฟ่บ้านนอก) ")</f>
        <v>Local Cafe (คาเฟ่บ้านนอก) </v>
      </c>
      <c r="D272" s="1"/>
      <c r="E272" s="1"/>
    </row>
    <row r="273">
      <c r="A273" s="1" t="s">
        <v>273</v>
      </c>
      <c r="B273" s="1"/>
      <c r="C273" s="4" t="str">
        <f>HYPERLINK("http://4sq.com/2mG25Bl","a taste of joy ")</f>
        <v>a taste of joy </v>
      </c>
      <c r="D273" s="1"/>
      <c r="E273" s="1"/>
    </row>
    <row r="274">
      <c r="A274" s="1" t="s">
        <v>274</v>
      </c>
      <c r="B274" s="1"/>
      <c r="C274" s="4" t="str">
        <f>HYPERLINK("http://4sq.com/1ZXCW33","Om Garden Cafe ")</f>
        <v>Om Garden Cafe </v>
      </c>
      <c r="D274" s="1"/>
      <c r="E274" s="1"/>
    </row>
    <row r="275">
      <c r="A275" s="1" t="s">
        <v>275</v>
      </c>
      <c r="B275" s="1"/>
      <c r="C275" s="4" t="str">
        <f>HYPERLINK("http://4sq.com/9GHVBl","Khaotha Coffee (เข้าท่ากาแฟ) ")</f>
        <v>Khaotha Coffee (เข้าท่ากาแฟ) </v>
      </c>
      <c r="D275" s="1"/>
      <c r="E275" s="1"/>
    </row>
    <row r="276">
      <c r="A276" s="1" t="s">
        <v>276</v>
      </c>
      <c r="B276" s="1"/>
      <c r="C276" s="4" t="str">
        <f>HYPERLINK("http://4sq.com/10SdwaI","Reverie Siam ")</f>
        <v>Reverie Siam </v>
      </c>
      <c r="D276" s="1"/>
      <c r="E276" s="1"/>
    </row>
    <row r="277">
      <c r="A277" s="1" t="s">
        <v>277</v>
      </c>
      <c r="B277" s="1"/>
      <c r="C277" s="4" t="str">
        <f>HYPERLINK("http://4sq.com/aWduYM","PTT (ปตท.) ")</f>
        <v>PTT (ปตท.) </v>
      </c>
      <c r="D277" s="1"/>
      <c r="E277" s="1"/>
    </row>
    <row r="278">
      <c r="A278" s="1" t="s">
        <v>278</v>
      </c>
      <c r="B278" s="1"/>
      <c r="C278" s="4" t="str">
        <f>HYPERLINK("http://4sq.com/mNtm2L","32 Coffee Hill &amp; Resort ")</f>
        <v>32 Coffee Hill &amp; Resort </v>
      </c>
      <c r="D278" s="1"/>
      <c r="E278" s="1"/>
    </row>
    <row r="279">
      <c r="A279" s="1" t="s">
        <v>279</v>
      </c>
      <c r="B279" s="1"/>
      <c r="C279" s="4" t="str">
        <f>HYPERLINK("http://4sq.com/2k6nHGk","Cafe de JJ ")</f>
        <v>Cafe de JJ </v>
      </c>
      <c r="D279" s="1"/>
      <c r="E279" s="1"/>
    </row>
    <row r="280">
      <c r="A280" s="1" t="s">
        <v>280</v>
      </c>
      <c r="B280" s="1"/>
      <c r="C280" s="4" t="str">
        <f>HYPERLINK("http://4sq.com/urtvV5","Promenada Resort Mall (พรอมเมนาดา รีสอร์ท มอลล์) ")</f>
        <v>Promenada Resort Mall (พรอมเมนาดา รีสอร์ท มอลล์) </v>
      </c>
      <c r="D280" s="1"/>
      <c r="E280" s="1"/>
    </row>
    <row r="281">
      <c r="A281" s="1" t="s">
        <v>281</v>
      </c>
      <c r="B281" s="1"/>
      <c r="C281" s="4" t="str">
        <f>HYPERLINK("http://4sq.com/2k6nHGk","Cafe de JJ ")</f>
        <v>Cafe de JJ </v>
      </c>
      <c r="D281" s="1"/>
      <c r="E281" s="1"/>
    </row>
    <row r="282">
      <c r="A282" s="1" t="s">
        <v>282</v>
      </c>
      <c r="B282" s="1"/>
      <c r="C282" s="4" t="str">
        <f>HYPERLINK("http://4sq.com/fxwtgf","Jia Jia Sport Club ")</f>
        <v>Jia Jia Sport Club </v>
      </c>
      <c r="D282" s="1"/>
      <c r="E282" s="1"/>
    </row>
    <row r="283">
      <c r="A283" s="1" t="s">
        <v>282</v>
      </c>
      <c r="B283" s="1"/>
      <c r="C283" s="4" t="str">
        <f>HYPERLINK("http://4sq.com/a3WF57","Pizza Mania ")</f>
        <v>Pizza Mania </v>
      </c>
      <c r="D283" s="1"/>
      <c r="E283" s="1"/>
    </row>
    <row r="284">
      <c r="A284" s="1" t="s">
        <v>283</v>
      </c>
      <c r="B284" s="1"/>
      <c r="C284" s="4" t="str">
        <f>HYPERLINK("http://4sq.com/1MGHxNq","ระเบียง ณ แม่ริม ")</f>
        <v>ระเบียง ณ แม่ริม </v>
      </c>
      <c r="D284" s="1"/>
      <c r="E284" s="1"/>
    </row>
    <row r="285">
      <c r="A285" s="1" t="s">
        <v>284</v>
      </c>
      <c r="B285" s="1"/>
      <c r="C28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285" s="1"/>
      <c r="E285" s="1"/>
    </row>
    <row r="286">
      <c r="A286" s="1" t="s">
        <v>285</v>
      </c>
      <c r="B286" s="1"/>
      <c r="C286" s="4" t="str">
        <f>HYPERLINK("http://4sq.com/1R8pD8O","Incheon International Airport Passenger Terminal 2 (인천국제공항 제2여객터미널) ")</f>
        <v>Incheon International Airport Passenger Terminal 2 (인천국제공항 제2여객터미널) </v>
      </c>
      <c r="D286" s="1"/>
      <c r="E286" s="1"/>
    </row>
    <row r="287">
      <c r="A287" s="1" t="s">
        <v>286</v>
      </c>
      <c r="B287" s="1"/>
      <c r="C287" s="4" t="str">
        <f>HYPERLINK("http://4sq.com/kzVTUy","Kewaskum Public Library ")</f>
        <v>Kewaskum Public Library </v>
      </c>
      <c r="D287" s="1"/>
      <c r="E287" s="1"/>
    </row>
    <row r="288">
      <c r="A288" s="1" t="s">
        <v>287</v>
      </c>
      <c r="B288" s="1"/>
      <c r="C288" s="4" t="str">
        <f>HYPERLINK("http://4sq.com/rqHNRO","US Post Office ")</f>
        <v>US Post Office </v>
      </c>
      <c r="D288" s="1"/>
      <c r="E288" s="1"/>
    </row>
    <row r="289">
      <c r="A289" s="1" t="s">
        <v>288</v>
      </c>
      <c r="B289" s="1"/>
      <c r="C289" s="4" t="str">
        <f>HYPERLINK("http://4sq.com/11qszKR","Sunset Bay Resort ")</f>
        <v>Sunset Bay Resort </v>
      </c>
      <c r="D289" s="1"/>
      <c r="E289" s="1"/>
    </row>
    <row r="290">
      <c r="A290" s="1" t="s">
        <v>289</v>
      </c>
      <c r="B290" s="1"/>
      <c r="C290" s="4" t="str">
        <f>HYPERLINK("http://4sq.com/n5cZSy","Wildwood Wildlife Park ")</f>
        <v>Wildwood Wildlife Park </v>
      </c>
      <c r="D290" s="1"/>
      <c r="E290" s="1"/>
    </row>
    <row r="291">
      <c r="A291" s="1" t="s">
        <v>290</v>
      </c>
      <c r="B291" s="1"/>
      <c r="C291" s="4" t="str">
        <f>HYPERLINK("http://4sq.com/aXkjdI","Walmart Supercenter ")</f>
        <v>Walmart Supercenter </v>
      </c>
      <c r="D291" s="1"/>
      <c r="E291" s="1"/>
    </row>
    <row r="292">
      <c r="A292" s="1" t="s">
        <v>291</v>
      </c>
      <c r="B292" s="1"/>
      <c r="C292" s="4" t="str">
        <f>HYPERLINK("http://4sq.com/sHXkWp","Great Northern Coffee Traders ")</f>
        <v>Great Northern Coffee Traders </v>
      </c>
      <c r="D292" s="1"/>
      <c r="E292" s="1"/>
    </row>
    <row r="293">
      <c r="A293" s="1" t="s">
        <v>292</v>
      </c>
      <c r="B293" s="1"/>
      <c r="C293" s="4" t="str">
        <f>HYPERLINK("http://4sq.com/rs2Icw","Eagle River Wisconsin ")</f>
        <v>Eagle River Wisconsin </v>
      </c>
      <c r="D293" s="1"/>
      <c r="E293" s="1"/>
    </row>
    <row r="294">
      <c r="A294" s="1" t="s">
        <v>293</v>
      </c>
      <c r="B294" s="1"/>
      <c r="C294" s="4" t="str">
        <f>HYPERLINK("http://4sq.com/jVMdGS","The Cottage ")</f>
        <v>The Cottage </v>
      </c>
      <c r="D294" s="1"/>
      <c r="E294" s="1"/>
    </row>
    <row r="295">
      <c r="A295" s="1" t="s">
        <v>294</v>
      </c>
      <c r="B295" s="1"/>
      <c r="C295" s="4" t="str">
        <f>HYPERLINK("http://4sq.com/kzVTUy","Kewaskum Public Library ")</f>
        <v>Kewaskum Public Library </v>
      </c>
      <c r="D295" s="1"/>
      <c r="E295" s="1"/>
    </row>
    <row r="296">
      <c r="A296" s="1" t="s">
        <v>295</v>
      </c>
      <c r="B296" s="1"/>
      <c r="C296" s="4" t="str">
        <f>HYPERLINK("http://4sq.com/9CsjyQ","Coffee Corner ")</f>
        <v>Coffee Corner </v>
      </c>
      <c r="D296" s="1"/>
      <c r="E296" s="1"/>
    </row>
    <row r="297">
      <c r="A297" s="1" t="s">
        <v>296</v>
      </c>
      <c r="B297" s="1"/>
      <c r="C297" s="4" t="str">
        <f>HYPERLINK("http://4sq.com/i8cTks","Kohl's West Bend ")</f>
        <v>Kohl's West Bend </v>
      </c>
      <c r="D297" s="1"/>
      <c r="E297" s="1"/>
    </row>
    <row r="298">
      <c r="A298" s="1" t="s">
        <v>297</v>
      </c>
      <c r="B298" s="1"/>
      <c r="C298" s="4" t="str">
        <f>HYPERLINK("http://4sq.com/935EIv","Panera Bread ")</f>
        <v>Panera Bread </v>
      </c>
      <c r="D298" s="1"/>
      <c r="E298" s="1"/>
    </row>
    <row r="299">
      <c r="A299" s="1" t="s">
        <v>298</v>
      </c>
      <c r="B299" s="1"/>
      <c r="C299" s="4" t="str">
        <f>HYPERLINK("http://4sq.com/9INNeq","Walmart Supercenter ")</f>
        <v>Walmart Supercenter </v>
      </c>
      <c r="D299" s="1"/>
      <c r="E299" s="1"/>
    </row>
    <row r="300">
      <c r="A300" s="1" t="s">
        <v>299</v>
      </c>
      <c r="B300" s="1"/>
      <c r="C300" s="4" t="str">
        <f>HYPERLINK("http://4sq.com/1x182Z6","Humboldt Park Beer Garden ")</f>
        <v>Humboldt Park Beer Garden </v>
      </c>
      <c r="D300" s="1"/>
      <c r="E300" s="1"/>
    </row>
    <row r="301">
      <c r="A301" s="1" t="s">
        <v>300</v>
      </c>
      <c r="B301" s="1"/>
      <c r="C301" s="4" t="str">
        <f>HYPERLINK("http://4sq.com/99khoO","South Shore Park ")</f>
        <v>South Shore Park </v>
      </c>
      <c r="D301" s="1"/>
      <c r="E301" s="1"/>
    </row>
    <row r="302">
      <c r="A302" s="1" t="s">
        <v>301</v>
      </c>
      <c r="B302" s="1"/>
      <c r="C302" s="4" t="str">
        <f>HYPERLINK("http://4sq.com/935EIv","Panera Bread ")</f>
        <v>Panera Bread </v>
      </c>
      <c r="D302" s="1"/>
      <c r="E302" s="1"/>
    </row>
    <row r="303">
      <c r="A303" s="1" t="s">
        <v>302</v>
      </c>
      <c r="B303" s="1"/>
      <c r="C303" s="4" t="str">
        <f>HYPERLINK("http://4sq.com/bygYMq","Sobelman's Pub &amp; Grill ")</f>
        <v>Sobelman's Pub &amp; Grill </v>
      </c>
      <c r="D303" s="1"/>
      <c r="E303" s="1"/>
    </row>
    <row r="304">
      <c r="A304" s="1" t="s">
        <v>303</v>
      </c>
      <c r="B304" s="1"/>
      <c r="C304" s="4" t="str">
        <f>HYPERLINK("http://4sq.com/8xK7rR","Mitchell Park Horticultural Conservatory (The Domes) ")</f>
        <v>Mitchell Park Horticultural Conservatory (The Domes) </v>
      </c>
      <c r="D304" s="1"/>
      <c r="E304" s="1"/>
    </row>
    <row r="305">
      <c r="A305" s="1" t="s">
        <v>304</v>
      </c>
      <c r="B305" s="1"/>
      <c r="C305" s="4" t="str">
        <f>HYPERLINK("http://4sq.com/7k4nqU","Apple Bayshore ")</f>
        <v>Apple Bayshore </v>
      </c>
      <c r="D305" s="1"/>
      <c r="E305" s="1"/>
    </row>
    <row r="306">
      <c r="A306" s="1" t="s">
        <v>305</v>
      </c>
      <c r="B306" s="1"/>
      <c r="C306" s="4" t="str">
        <f>HYPERLINK("http://4sq.com/kzVTUy","Kewaskum Public Library ")</f>
        <v>Kewaskum Public Library </v>
      </c>
      <c r="D306" s="1"/>
      <c r="E306" s="1"/>
    </row>
    <row r="307">
      <c r="A307" s="1" t="s">
        <v>306</v>
      </c>
      <c r="B307" s="1"/>
      <c r="C307" s="4" t="str">
        <f>HYPERLINK("http://4sq.com/do2tJJ","Coach USA Airport Express ")</f>
        <v>Coach USA Airport Express </v>
      </c>
      <c r="D307" s="1"/>
      <c r="E307" s="1"/>
    </row>
    <row r="308">
      <c r="A308" s="1" t="s">
        <v>307</v>
      </c>
      <c r="B308" s="1"/>
      <c r="C308" s="4" t="str">
        <f>HYPERLINK("http://4sq.com/4ELNj2","Terminal 5 ")</f>
        <v>Terminal 5 </v>
      </c>
      <c r="D308" s="1"/>
      <c r="E308" s="1"/>
    </row>
    <row r="309">
      <c r="A309" s="1" t="s">
        <v>308</v>
      </c>
      <c r="B309" s="1"/>
      <c r="C309" s="4" t="str">
        <f>HYPERLINK("http://4sq.com/1hVXHYn","and ann coffee ")</f>
        <v>and ann coffee </v>
      </c>
      <c r="D309" s="1"/>
      <c r="E309" s="1"/>
    </row>
    <row r="310">
      <c r="A310" s="1" t="s">
        <v>309</v>
      </c>
      <c r="B310" s="1"/>
      <c r="C310" s="4" t="str">
        <f>HYPERLINK("http://4sq.com/1uTcCs4","Local Cafe (คาเฟ่บ้านนอก) ")</f>
        <v>Local Cafe (คาเฟ่บ้านนอก) </v>
      </c>
      <c r="D310" s="1"/>
      <c r="E310" s="1"/>
    </row>
    <row r="311">
      <c r="A311" s="1" t="s">
        <v>310</v>
      </c>
      <c r="B311" s="1"/>
      <c r="C311" s="4" t="str">
        <f>HYPERLINK("http://4sq.com/1MkbF74","Black Canyon (แบล็คแคนยอน) ")</f>
        <v>Black Canyon (แบล็คแคนยอน) </v>
      </c>
      <c r="D311" s="1"/>
      <c r="E311" s="1"/>
    </row>
    <row r="312">
      <c r="A312" s="1" t="s">
        <v>311</v>
      </c>
      <c r="B312" s="1"/>
      <c r="C312" s="4" t="str">
        <f>HYPERLINK("http://4sq.com/11TA3I7","ฮอห์ม Hohm Café ")</f>
        <v>ฮอห์ม Hohm Café </v>
      </c>
      <c r="D312" s="1"/>
      <c r="E312" s="1"/>
    </row>
    <row r="313">
      <c r="A313" s="1" t="s">
        <v>312</v>
      </c>
      <c r="B313" s="1"/>
      <c r="C313" s="4" t="str">
        <f>HYPERLINK("http://4sq.com/bqHTaI","Kad Rin Come Night Market (กาดรินคํา) ")</f>
        <v>Kad Rin Come Night Market (กาดรินคํา) </v>
      </c>
      <c r="D313" s="1"/>
      <c r="E313" s="1"/>
    </row>
    <row r="314">
      <c r="A314" s="1" t="s">
        <v>313</v>
      </c>
      <c r="B314" s="1"/>
      <c r="C314" s="4" t="str">
        <f>HYPERLINK("http://4sq.com/9JQTiW","Baan Suan (บ้านสวน) ")</f>
        <v>Baan Suan (บ้านสวน) </v>
      </c>
      <c r="D314" s="1"/>
      <c r="E314" s="1"/>
    </row>
    <row r="315">
      <c r="A315" s="1" t="s">
        <v>314</v>
      </c>
      <c r="B315" s="1"/>
      <c r="C315" s="4" t="str">
        <f>HYPERLINK("https://4sq.com/2FLZZIV","Honey Hill ")</f>
        <v>Honey Hill </v>
      </c>
      <c r="D315" s="1"/>
      <c r="E315" s="1"/>
    </row>
    <row r="316">
      <c r="A316" s="1" t="s">
        <v>315</v>
      </c>
      <c r="B316" s="1"/>
      <c r="C316" s="4" t="str">
        <f>HYPERLINK("http://4sq.com/1LwwIEn","Let It Be ")</f>
        <v>Let It Be </v>
      </c>
      <c r="D316" s="1"/>
      <c r="E316" s="1"/>
    </row>
    <row r="317">
      <c r="A317" s="1" t="s">
        <v>316</v>
      </c>
      <c r="B317" s="1"/>
      <c r="C317" s="4" t="str">
        <f>HYPERLINK("http://4sq.com/2k6nHGk","Cafe de JJ ")</f>
        <v>Cafe de JJ </v>
      </c>
      <c r="D317" s="1"/>
      <c r="E317" s="1"/>
    </row>
    <row r="318">
      <c r="A318" s="1" t="s">
        <v>317</v>
      </c>
      <c r="B318" s="1"/>
      <c r="C318" s="4" t="str">
        <f>HYPERLINK("http://4sq.com/cIVBTv","Tita Gallery ")</f>
        <v>Tita Gallery </v>
      </c>
      <c r="D318" s="1"/>
      <c r="E318" s="1"/>
    </row>
    <row r="319">
      <c r="A319" s="1" t="s">
        <v>318</v>
      </c>
      <c r="B319" s="1"/>
      <c r="C319" s="4" t="str">
        <f>HYPERLINK("http://4sq.com/2k6v5Df","Coffee In Wild ")</f>
        <v>Coffee In Wild </v>
      </c>
      <c r="D319" s="1"/>
      <c r="E319" s="1"/>
    </row>
    <row r="320">
      <c r="A320" s="1" t="s">
        <v>319</v>
      </c>
      <c r="B320" s="1"/>
      <c r="C320" s="4" t="str">
        <f>HYPERLINK("http://4sq.com/2k6nHGk","Cafe de JJ ")</f>
        <v>Cafe de JJ </v>
      </c>
      <c r="D320" s="1"/>
      <c r="E320" s="1"/>
    </row>
    <row r="321">
      <c r="A321" s="1" t="s">
        <v>320</v>
      </c>
      <c r="B321" s="1"/>
      <c r="C321" s="4" t="str">
        <f>HYPERLINK("http://4sq.com/1fbuSWi","Ka-Fe-Vi-No ")</f>
        <v>Ka-Fe-Vi-No </v>
      </c>
      <c r="D321" s="1"/>
      <c r="E321" s="1"/>
    </row>
    <row r="322">
      <c r="A322" s="1" t="s">
        <v>321</v>
      </c>
      <c r="B322" s="1"/>
      <c r="C322" s="4" t="str">
        <f>HYPERLINK("http://4sq.com/2zRMx7k","ส้มตำเดอนัว ")</f>
        <v>ส้มตำเดอนัว </v>
      </c>
      <c r="D322" s="1"/>
      <c r="E322" s="1"/>
    </row>
    <row r="323">
      <c r="A323" s="1" t="s">
        <v>322</v>
      </c>
      <c r="B323" s="1"/>
      <c r="C323" s="4" t="str">
        <f>HYPERLINK("http://4sq.com/1oGPJsX","บ้านงามแสงเดือน @แม่ริม ")</f>
        <v>บ้านงามแสงเดือน @แม่ริม </v>
      </c>
      <c r="D323" s="1"/>
      <c r="E323" s="1"/>
    </row>
    <row r="324">
      <c r="A324" s="1" t="s">
        <v>323</v>
      </c>
      <c r="B324" s="1"/>
      <c r="C324" s="4" t="str">
        <f>HYPERLINK("http://4sq.com/2k6nHGk","Cafe de JJ ")</f>
        <v>Cafe de JJ </v>
      </c>
      <c r="D324" s="1"/>
      <c r="E324" s="1"/>
    </row>
    <row r="325">
      <c r="A325" s="1" t="s">
        <v>324</v>
      </c>
      <c r="B325" s="1"/>
      <c r="C325" s="4" t="str">
        <f>HYPERLINK("http://4sq.com/mX3A2Y","Kua-Kai Nimman (คั่วไก่นิมมาน) ")</f>
        <v>Kua-Kai Nimman (คั่วไก่นิมมาน) </v>
      </c>
      <c r="D325" s="1"/>
      <c r="E325" s="1"/>
    </row>
    <row r="326">
      <c r="A326" s="1" t="s">
        <v>325</v>
      </c>
      <c r="B326" s="1"/>
      <c r="C326" s="4" t="str">
        <f>HYPERLINK("http://4sq.com/1FUyWco","Gourmet House (กูร์เมต์เฮ้าส์) ")</f>
        <v>Gourmet House (กูร์เมต์เฮ้าส์) </v>
      </c>
      <c r="D326" s="1"/>
      <c r="E326" s="1"/>
    </row>
    <row r="327">
      <c r="A327" s="1" t="s">
        <v>326</v>
      </c>
      <c r="B327" s="1"/>
      <c r="C327" s="4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D327" s="1"/>
      <c r="E327" s="1"/>
    </row>
    <row r="328">
      <c r="A328" s="1" t="s">
        <v>327</v>
      </c>
      <c r="B328" s="1"/>
      <c r="C328" s="4" t="str">
        <f>HYPERLINK("http://4sq.com/1uTcCs4","Local Cafe (คาเฟ่บ้านนอก) ")</f>
        <v>Local Cafe (คาเฟ่บ้านนอก) </v>
      </c>
      <c r="D328" s="1"/>
      <c r="E328" s="1"/>
    </row>
    <row r="329">
      <c r="A329" s="1" t="s">
        <v>328</v>
      </c>
      <c r="B329" s="1"/>
      <c r="C329" s="4" t="str">
        <f>HYPERLINK("http://4sq.com/9dAeh7","Boat (โบ๊ต) ")</f>
        <v>Boat (โบ๊ต) </v>
      </c>
      <c r="D329" s="1"/>
      <c r="E329" s="1"/>
    </row>
    <row r="330">
      <c r="A330" s="1" t="s">
        <v>329</v>
      </c>
      <c r="B330" s="1"/>
      <c r="C330" s="4" t="str">
        <f>HYPERLINK("http://4sq.com/1K2l4NI","Teak Table (ทีค เทเบิล) ")</f>
        <v>Teak Table (ทีค เทเบิล) </v>
      </c>
      <c r="D330" s="1"/>
      <c r="E330" s="1"/>
    </row>
    <row r="331">
      <c r="A331" s="1" t="s">
        <v>330</v>
      </c>
      <c r="B331" s="1"/>
      <c r="C331" s="4" t="str">
        <f>HYPERLINK("http://4sq.com/dwbrHe","The Salad Concept ")</f>
        <v>The Salad Concept </v>
      </c>
      <c r="D331" s="1"/>
      <c r="E331" s="1"/>
    </row>
    <row r="332">
      <c r="A332" s="1" t="s">
        <v>331</v>
      </c>
      <c r="B332" s="1"/>
      <c r="C332" s="4" t="str">
        <f>HYPERLINK("http://4sq.com/1JVqZqI","Tsubaki JP'Restaurant ")</f>
        <v>Tsubaki JP'Restaurant </v>
      </c>
      <c r="D332" s="1"/>
      <c r="E332" s="1"/>
    </row>
    <row r="333">
      <c r="A333" s="1" t="s">
        <v>332</v>
      </c>
      <c r="B333" s="1"/>
      <c r="C333" s="4" t="str">
        <f>HYPERLINK("http://4sq.com/1BMvmPX","Gusto Site (กัสโต้ ไซต์) ")</f>
        <v>Gusto Site (กัสโต้ ไซต์) </v>
      </c>
      <c r="D333" s="1"/>
      <c r="E333" s="1"/>
    </row>
    <row r="334">
      <c r="A334" s="1" t="s">
        <v>333</v>
      </c>
      <c r="B334" s="1"/>
      <c r="C334" s="4" t="str">
        <f>HYPERLINK("http://4sq.com/1LwwIEn","Let It Be ")</f>
        <v>Let It Be </v>
      </c>
      <c r="D334" s="1"/>
      <c r="E334" s="1"/>
    </row>
    <row r="335">
      <c r="A335" s="1" t="s">
        <v>333</v>
      </c>
      <c r="B335" s="1"/>
      <c r="C335" s="4" t="str">
        <f>HYPERLINK("http://4sq.com/2bIJz8b","Lamona View Swimming Pool ")</f>
        <v>Lamona View Swimming Pool </v>
      </c>
      <c r="D335" s="1"/>
      <c r="E335" s="1"/>
    </row>
    <row r="336">
      <c r="A336" s="1" t="s">
        <v>334</v>
      </c>
      <c r="B336" s="1"/>
      <c r="C336" s="4" t="str">
        <f>HYPERLINK("https://4sq.com/2EwNe4h","One Street Food Market ")</f>
        <v>One Street Food Market </v>
      </c>
      <c r="D336" s="1"/>
      <c r="E336" s="1"/>
    </row>
    <row r="337">
      <c r="A337" s="1" t="s">
        <v>335</v>
      </c>
      <c r="B337" s="1"/>
      <c r="C337" s="4" t="str">
        <f>HYPERLINK("http://4sq.com/1uTcCs4","Local Cafe (คาเฟ่บ้านนอก) ")</f>
        <v>Local Cafe (คาเฟ่บ้านนอก) </v>
      </c>
      <c r="D337" s="1"/>
      <c r="E337" s="1"/>
    </row>
    <row r="338">
      <c r="A338" s="1" t="s">
        <v>336</v>
      </c>
      <c r="B338" s="1"/>
      <c r="C338" s="4" t="str">
        <f>HYPERLINK("http://4sq.com/VuG5rl","Steak Of The Day ")</f>
        <v>Steak Of The Day </v>
      </c>
      <c r="D338" s="1"/>
      <c r="E338" s="1"/>
    </row>
    <row r="339">
      <c r="A339" s="1" t="s">
        <v>337</v>
      </c>
      <c r="B339" s="1"/>
      <c r="C339" s="4" t="str">
        <f>HYPERLINK("https://4sq.com/2xYnr3P","Hanging Garden Cafe ")</f>
        <v>Hanging Garden Cafe </v>
      </c>
      <c r="D339" s="1"/>
      <c r="E339" s="1"/>
    </row>
    <row r="340">
      <c r="A340" s="1" t="s">
        <v>338</v>
      </c>
      <c r="B340" s="1"/>
      <c r="C340" s="4" t="str">
        <f>HYPERLINK("http://4sq.com/dwbrHe","The Salad Concept ")</f>
        <v>The Salad Concept </v>
      </c>
      <c r="D340" s="1"/>
      <c r="E340" s="1"/>
    </row>
    <row r="341">
      <c r="A341" s="1" t="s">
        <v>339</v>
      </c>
      <c r="B341" s="1"/>
      <c r="C341" s="4" t="str">
        <f>HYPERLINK("http://4sq.com/1MkbF74","Black Canyon (แบล็คแคนยอน) ")</f>
        <v>Black Canyon (แบล็คแคนยอน) </v>
      </c>
      <c r="D341" s="1"/>
      <c r="E341" s="1"/>
    </row>
    <row r="342">
      <c r="A342" s="1" t="s">
        <v>340</v>
      </c>
      <c r="B342" s="1"/>
      <c r="C342" s="4" t="str">
        <f>HYPERLINK("http://4sq.com/9v5uys","Mon Cham (ม่อนแจ่ม) ")</f>
        <v>Mon Cham (ม่อนแจ่ม) </v>
      </c>
      <c r="D342" s="1"/>
      <c r="E342" s="1"/>
    </row>
    <row r="343">
      <c r="A343" s="1" t="s">
        <v>341</v>
      </c>
      <c r="B343" s="1"/>
      <c r="C343" s="4" t="str">
        <f>HYPERLINK("http://4sq.com/1MkbF74","Black Canyon (แบล็คแคนยอน) ")</f>
        <v>Black Canyon (แบล็คแคนยอน) </v>
      </c>
      <c r="D343" s="1"/>
      <c r="E343" s="1"/>
    </row>
    <row r="344">
      <c r="A344" s="1" t="s">
        <v>342</v>
      </c>
      <c r="B344" s="1"/>
      <c r="C344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344" s="1"/>
      <c r="E344" s="1"/>
    </row>
    <row r="345">
      <c r="A345" s="1" t="s">
        <v>343</v>
      </c>
      <c r="B345" s="1"/>
      <c r="C345" s="4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D345" s="1"/>
      <c r="E345" s="1"/>
    </row>
    <row r="346">
      <c r="A346" s="1" t="s">
        <v>344</v>
      </c>
      <c r="B346" s="1"/>
      <c r="C346" s="4" t="str">
        <f>HYPERLINK("http://4sq.com/cq6BRd","Kitcha Dental Clinic ")</f>
        <v>Kitcha Dental Clinic </v>
      </c>
      <c r="D346" s="1"/>
      <c r="E346" s="1"/>
    </row>
    <row r="347">
      <c r="A347" s="1" t="s">
        <v>345</v>
      </c>
      <c r="B347" s="1"/>
      <c r="C347" s="4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D347" s="1"/>
      <c r="E347" s="1"/>
    </row>
    <row r="348">
      <c r="A348" s="1" t="s">
        <v>346</v>
      </c>
      <c r="B348" s="1"/>
      <c r="C348" s="4" t="str">
        <f>HYPERLINK("http://4sq.com/cq6BRd","Kitcha Dental Clinic ")</f>
        <v>Kitcha Dental Clinic </v>
      </c>
      <c r="D348" s="1"/>
      <c r="E348" s="1"/>
    </row>
    <row r="349">
      <c r="A349" s="1" t="s">
        <v>347</v>
      </c>
      <c r="B349" s="1"/>
      <c r="C349" s="4" t="str">
        <f>HYPERLINK("http://4sq.com/2k2Xg3l","cat brothers cafe ")</f>
        <v>cat brothers cafe </v>
      </c>
      <c r="D349" s="1"/>
      <c r="E349" s="1"/>
    </row>
    <row r="350">
      <c r="A350" s="1" t="s">
        <v>348</v>
      </c>
      <c r="B350" s="1"/>
      <c r="C350" s="4" t="str">
        <f>HYPERLINK("http://4sq.com/1TCmRjN","Hong beach (โฮ่งบีช) ")</f>
        <v>Hong beach (โฮ่งบีช) </v>
      </c>
      <c r="D350" s="1"/>
      <c r="E350" s="1"/>
    </row>
    <row r="351">
      <c r="A351" s="1" t="s">
        <v>349</v>
      </c>
      <c r="B351" s="1"/>
      <c r="C351" s="4" t="str">
        <f>HYPERLINK("http://4sq.com/12weN37","คาเฟ่ ดินดิน Cafe DinDin ")</f>
        <v>คาเฟ่ ดินดิน Cafe DinDin </v>
      </c>
      <c r="D351" s="1"/>
      <c r="E351" s="1"/>
    </row>
    <row r="352">
      <c r="A352" s="1" t="s">
        <v>350</v>
      </c>
      <c r="B352" s="1"/>
      <c r="C352" s="4" t="str">
        <f>HYPERLINK("http://4sq.com/2BQaCNx","Ginger Farm Kitchen ")</f>
        <v>Ginger Farm Kitchen </v>
      </c>
      <c r="D352" s="1"/>
      <c r="E352" s="1"/>
    </row>
    <row r="353">
      <c r="A353" s="1" t="s">
        <v>351</v>
      </c>
      <c r="B353" s="1"/>
      <c r="C353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353" s="1"/>
      <c r="E353" s="1"/>
    </row>
    <row r="354">
      <c r="A354" s="1" t="s">
        <v>352</v>
      </c>
      <c r="B354" s="1"/>
      <c r="C354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354" s="1"/>
      <c r="E354" s="1"/>
    </row>
    <row r="355">
      <c r="A355" s="1" t="s">
        <v>353</v>
      </c>
      <c r="B355" s="1"/>
      <c r="C355" s="4" t="str">
        <f>HYPERLINK("http://4sq.com/yhkjIX","Holiday Inn Express ")</f>
        <v>Holiday Inn Express </v>
      </c>
      <c r="D355" s="1"/>
      <c r="E355" s="1"/>
    </row>
    <row r="356">
      <c r="A356" s="1" t="s">
        <v>354</v>
      </c>
      <c r="B356" s="1"/>
      <c r="C356" s="4" t="str">
        <f>HYPERLINK("http://4sq.com/6o0qpr","Greyhound Café (เกรฮาวด์ คาเฟ่) ")</f>
        <v>Greyhound Café (เกรฮาวด์ คาเฟ่) </v>
      </c>
      <c r="D356" s="1"/>
      <c r="E356" s="1"/>
    </row>
    <row r="357">
      <c r="A357" s="1" t="s">
        <v>355</v>
      </c>
      <c r="B357" s="1"/>
      <c r="C357" s="4" t="str">
        <f>HYPERLINK("http://4sq.com/7ypkeq","Loft (ลอฟท์) ")</f>
        <v>Loft (ลอฟท์) </v>
      </c>
      <c r="D357" s="1"/>
      <c r="E357" s="1"/>
    </row>
    <row r="358">
      <c r="A358" s="1" t="s">
        <v>356</v>
      </c>
      <c r="B358" s="1"/>
      <c r="C358" s="4" t="str">
        <f>HYPERLINK("http://4sq.com/4tnajq","The Peninsula Bangkok ")</f>
        <v>The Peninsula Bangkok </v>
      </c>
      <c r="D358" s="1"/>
      <c r="E358" s="1"/>
    </row>
    <row r="359">
      <c r="A359" s="1" t="s">
        <v>357</v>
      </c>
      <c r="B359" s="1"/>
      <c r="C359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359" s="1"/>
      <c r="E359" s="1"/>
    </row>
    <row r="360">
      <c r="A360" s="1" t="s">
        <v>358</v>
      </c>
      <c r="B360" s="1"/>
      <c r="C360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360" s="1"/>
      <c r="E360" s="1"/>
    </row>
    <row r="361">
      <c r="A361" s="1" t="s">
        <v>359</v>
      </c>
      <c r="B361" s="1"/>
      <c r="C361" s="4" t="str">
        <f>HYPERLINK("http://4sq.com/cq6BRd","Kitcha Dental Clinic ")</f>
        <v>Kitcha Dental Clinic </v>
      </c>
      <c r="D361" s="1"/>
      <c r="E361" s="1"/>
    </row>
    <row r="362">
      <c r="A362" s="1" t="s">
        <v>360</v>
      </c>
      <c r="B362" s="1"/>
      <c r="C362" s="4" t="str">
        <f>HYPERLINK("http://4sq.com/gzBkmg","Consulate of the United States of America (สถานกงสุลสหรัฐอเมริกา) ")</f>
        <v>Consulate of the United States of America (สถานกงสุลสหรัฐอเมริกา) </v>
      </c>
      <c r="D362" s="1"/>
      <c r="E362" s="1"/>
    </row>
    <row r="363">
      <c r="A363" s="1" t="s">
        <v>361</v>
      </c>
      <c r="B363" s="1"/>
      <c r="C363" s="4" t="str">
        <f>HYPERLINK("http://4sq.com/1jCCPEP","Fuji (ฟูจิ) ")</f>
        <v>Fuji (ฟูจิ) </v>
      </c>
      <c r="D363" s="1"/>
      <c r="E363" s="1"/>
    </row>
    <row r="364">
      <c r="A364" s="1" t="s">
        <v>362</v>
      </c>
      <c r="B364" s="1"/>
      <c r="C364" s="4" t="str">
        <f>HYPERLINK("http://4sq.com/b8c0lQ","Chiang Mai City Hall (ศาลากลางจังหวัดเชียงใหม่) ")</f>
        <v>Chiang Mai City Hall (ศาลากลางจังหวัดเชียงใหม่) </v>
      </c>
      <c r="D364" s="1"/>
      <c r="E364" s="1"/>
    </row>
    <row r="365">
      <c r="A365" s="1" t="s">
        <v>363</v>
      </c>
      <c r="B365" s="1"/>
      <c r="C365" s="4" t="str">
        <f>HYPERLINK("http://4sq.com/2zeHJZK","PTT Maerim ")</f>
        <v>PTT Maerim </v>
      </c>
      <c r="D365" s="1"/>
      <c r="E365" s="1"/>
    </row>
    <row r="366">
      <c r="A366" s="1" t="s">
        <v>364</v>
      </c>
      <c r="B366" s="1"/>
      <c r="C366" s="4" t="str">
        <f>HYPERLINK("http://4sq.com/WuhBvI","Pankled Sheep House ")</f>
        <v>Pankled Sheep House </v>
      </c>
      <c r="D366" s="1"/>
      <c r="E366" s="1"/>
    </row>
    <row r="367">
      <c r="A367" s="1" t="s">
        <v>365</v>
      </c>
      <c r="B367" s="1"/>
      <c r="C367" s="4" t="str">
        <f>HYPERLINK("http://4sq.com/aH3gi2","Nong Beer Restaurant (ร้านน้องเบียร์) ")</f>
        <v>Nong Beer Restaurant (ร้านน้องเบียร์) </v>
      </c>
      <c r="D367" s="1"/>
      <c r="E367" s="1"/>
    </row>
    <row r="368">
      <c r="A368" s="1" t="s">
        <v>366</v>
      </c>
      <c r="B368" s="1"/>
      <c r="C368" s="4" t="str">
        <f>HYPERLINK("http://4sq.com/11TnsRp","Jikko's Harem ")</f>
        <v>Jikko's Harem </v>
      </c>
      <c r="D368" s="1"/>
      <c r="E368" s="1"/>
    </row>
    <row r="369">
      <c r="A369" s="1" t="s">
        <v>367</v>
      </c>
      <c r="B369" s="1"/>
      <c r="C369" s="4" t="str">
        <f>HYPERLINK("http://4sq.com/93vSbH","Pang Ma Pha Cave Lod (ถ้ำลอดปางมะผ้า) ")</f>
        <v>Pang Ma Pha Cave Lod (ถ้ำลอดปางมะผ้า) </v>
      </c>
      <c r="D369" s="1"/>
      <c r="E369" s="1"/>
    </row>
    <row r="370">
      <c r="A370" s="1" t="s">
        <v>368</v>
      </c>
      <c r="B370" s="1"/>
      <c r="C370" s="4" t="str">
        <f>HYPERLINK("http://4sq.com/2ofi5fG","Phu Pha Chan Pha Restaurant (ร้านภูผาจันผา) ")</f>
        <v>Phu Pha Chan Pha Restaurant (ร้านภูผาจันผา) </v>
      </c>
      <c r="D370" s="1"/>
      <c r="E370" s="1"/>
    </row>
    <row r="371">
      <c r="A371" s="1" t="s">
        <v>369</v>
      </c>
      <c r="B371" s="1"/>
      <c r="C371" s="4" t="str">
        <f>HYPERLINK("http://4sq.com/9GHVBl","Khaotha Coffee (เข้าท่ากาแฟ) ")</f>
        <v>Khaotha Coffee (เข้าท่ากาแฟ) </v>
      </c>
      <c r="D371" s="1"/>
      <c r="E371" s="1"/>
    </row>
    <row r="372">
      <c r="A372" s="1" t="s">
        <v>370</v>
      </c>
      <c r="B372" s="1"/>
      <c r="C372" s="4" t="str">
        <f>HYPERLINK("http://4sq.com/2xVHcqz","Art Farm Studio ")</f>
        <v>Art Farm Studio </v>
      </c>
      <c r="D372" s="1"/>
      <c r="E372" s="1"/>
    </row>
    <row r="373">
      <c r="A373" s="1" t="s">
        <v>371</v>
      </c>
      <c r="B373" s="1"/>
      <c r="C373" s="4" t="str">
        <f>HYPERLINK("http://4sq.com/aWduYM","PTT (ปตท.) ")</f>
        <v>PTT (ปตท.) </v>
      </c>
      <c r="D373" s="1"/>
      <c r="E373" s="1"/>
    </row>
    <row r="374">
      <c r="A374" s="1" t="s">
        <v>372</v>
      </c>
      <c r="B374" s="1"/>
      <c r="C374" s="4" t="str">
        <f>HYPERLINK("http://4sq.com/2mbVd2I","Bamboo Bridge Over Rice Fields ")</f>
        <v>Bamboo Bridge Over Rice Fields </v>
      </c>
      <c r="D374" s="1"/>
      <c r="E374" s="1"/>
    </row>
    <row r="375">
      <c r="A375" s="1" t="s">
        <v>373</v>
      </c>
      <c r="B375" s="1"/>
      <c r="C375" s="4" t="str">
        <f>HYPERLINK("http://4sq.com/YnNCYm","พุทธอุทยานห้วยคายคีรีมฤคทายวัน ")</f>
        <v>พุทธอุทยานห้วยคายคีรีมฤคทายวัน </v>
      </c>
      <c r="D375" s="1"/>
      <c r="E375" s="1"/>
    </row>
    <row r="376">
      <c r="A376" s="1" t="s">
        <v>374</v>
      </c>
      <c r="B376" s="1"/>
      <c r="C376" s="4" t="str">
        <f>HYPERLINK("http://4sq.com/1K2l4NI","Teak Table (ทีค เทเบิล) ")</f>
        <v>Teak Table (ทีค เทเบิล) </v>
      </c>
      <c r="D376" s="1"/>
      <c r="E376" s="1"/>
    </row>
    <row r="377">
      <c r="A377" s="1" t="s">
        <v>375</v>
      </c>
      <c r="B377" s="1"/>
      <c r="C377" s="4" t="str">
        <f>HYPERLINK("http://4sq.com/17q3kXJ","CEMENT THAI HOMEMART (ตั้งหง่วงเซ้ง ไทยโฮมมาร์ท) ")</f>
        <v>CEMENT THAI HOMEMART (ตั้งหง่วงเซ้ง ไทยโฮมมาร์ท) </v>
      </c>
      <c r="D377" s="1"/>
      <c r="E377" s="1"/>
    </row>
    <row r="378">
      <c r="A378" s="1" t="s">
        <v>376</v>
      </c>
      <c r="B378" s="1"/>
      <c r="C378" s="4" t="str">
        <f>HYPERLINK("http://4sq.com/bz39Hl","สมุดลานนา ")</f>
        <v>สมุดลานนา </v>
      </c>
      <c r="D378" s="1"/>
      <c r="E378" s="1"/>
    </row>
    <row r="379">
      <c r="A379" s="1" t="s">
        <v>377</v>
      </c>
      <c r="B379" s="1"/>
      <c r="C379" s="4" t="str">
        <f>HYPERLINK("http://4sq.com/QLleMq","Three Little Pigs ")</f>
        <v>Three Little Pigs </v>
      </c>
      <c r="D379" s="1"/>
      <c r="E379" s="1"/>
    </row>
    <row r="380">
      <c r="A380" s="1" t="s">
        <v>378</v>
      </c>
      <c r="B380" s="1"/>
      <c r="C380" s="4" t="str">
        <f>HYPERLINK("https://4sq.com/2K7YoAn","ก๋วยเตี๋ยวคำหวาน@ptt แม่ริม ")</f>
        <v>ก๋วยเตี๋ยวคำหวาน@ptt แม่ริม </v>
      </c>
      <c r="D380" s="1"/>
      <c r="E380" s="1"/>
    </row>
    <row r="381">
      <c r="A381" s="1" t="s">
        <v>379</v>
      </c>
      <c r="B381" s="1"/>
      <c r="C381" s="4" t="str">
        <f>HYPERLINK("http://4sq.com/1sQE853","Chic 39 ")</f>
        <v>Chic 39 </v>
      </c>
      <c r="D381" s="1"/>
      <c r="E381" s="1"/>
    </row>
    <row r="382">
      <c r="A382" s="1" t="s">
        <v>380</v>
      </c>
      <c r="B382" s="1"/>
      <c r="C382" s="4" t="str">
        <f>HYPERLINK("http://4sq.com/wzVD2k","สำนักสงฆ์ร่มไทรคำ ")</f>
        <v>สำนักสงฆ์ร่มไทรคำ </v>
      </c>
      <c r="D382" s="1"/>
      <c r="E382" s="1"/>
    </row>
    <row r="383">
      <c r="A383" s="1" t="s">
        <v>381</v>
      </c>
      <c r="B383" s="1"/>
      <c r="C383" s="4" t="str">
        <f>HYPERLINK("http://4sq.com/1jUkasi","SUBWAY (ซับเวย์) ")</f>
        <v>SUBWAY (ซับเวย์) </v>
      </c>
      <c r="D383" s="1"/>
      <c r="E383" s="1"/>
    </row>
    <row r="384">
      <c r="A384" s="1" t="s">
        <v>382</v>
      </c>
      <c r="B384" s="1"/>
      <c r="C384" s="4" t="str">
        <f>HYPERLINK("http://4sq.com/1hVXHYn","and ann coffee ")</f>
        <v>and ann coffee </v>
      </c>
      <c r="D384" s="1"/>
      <c r="E384" s="1"/>
    </row>
    <row r="385">
      <c r="A385" s="1" t="s">
        <v>383</v>
      </c>
      <c r="B385" s="1"/>
      <c r="C38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385" s="1"/>
      <c r="E385" s="1"/>
    </row>
    <row r="386">
      <c r="A386" s="1" t="s">
        <v>384</v>
      </c>
      <c r="B386" s="1"/>
      <c r="C386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386" s="1"/>
      <c r="E386" s="1"/>
    </row>
    <row r="387">
      <c r="A387" s="1" t="s">
        <v>385</v>
      </c>
      <c r="B387" s="1"/>
      <c r="C387" s="4" t="str">
        <f>HYPERLINK("http://4sq.com/ePKBKH","Det 5 Restaurant &amp; Bar ")</f>
        <v>Det 5 Restaurant &amp; Bar </v>
      </c>
      <c r="D387" s="1"/>
      <c r="E387" s="1"/>
    </row>
    <row r="388">
      <c r="A388" s="1" t="s">
        <v>386</v>
      </c>
      <c r="B388" s="1"/>
      <c r="C388" s="4" t="str">
        <f>HYPERLINK("http://4sq.com/8BrY6E","InterContinental Bangkok ")</f>
        <v>InterContinental Bangkok </v>
      </c>
      <c r="D388" s="1"/>
      <c r="E388" s="1"/>
    </row>
    <row r="389">
      <c r="A389" s="1" t="s">
        <v>387</v>
      </c>
      <c r="B389" s="1"/>
      <c r="C389" s="4" t="str">
        <f>HYPERLINK("http://4sq.com/n5ShPO","Viva Monsoon ")</f>
        <v>Viva Monsoon </v>
      </c>
      <c r="D389" s="1"/>
      <c r="E389" s="1"/>
    </row>
    <row r="390">
      <c r="A390" s="1" t="s">
        <v>388</v>
      </c>
      <c r="B390" s="1"/>
      <c r="C390" s="4" t="str">
        <f>HYPERLINK("http://4sq.com/1HNetVU","The Beach Pub &amp; Restaurant ")</f>
        <v>The Beach Pub &amp; Restaurant </v>
      </c>
      <c r="D390" s="1"/>
      <c r="E390" s="1"/>
    </row>
    <row r="391">
      <c r="A391" s="1" t="s">
        <v>389</v>
      </c>
      <c r="B391" s="1"/>
      <c r="C391" s="4" t="str">
        <f>HYPERLINK("http://4sq.com/1Dq7W1B","Cafe Coco ")</f>
        <v>Cafe Coco </v>
      </c>
      <c r="D391" s="1"/>
      <c r="E391" s="1"/>
    </row>
    <row r="392">
      <c r="A392" s="1" t="s">
        <v>390</v>
      </c>
      <c r="B392" s="1"/>
      <c r="C392" s="4" t="str">
        <f>HYPERLINK("http://4sq.com/bNuR0g","Laemtong Bangsaen (แหลมทองบางแสน) ")</f>
        <v>Laemtong Bangsaen (แหลมทองบางแสน) </v>
      </c>
      <c r="D392" s="1"/>
      <c r="E392" s="1"/>
    </row>
    <row r="393">
      <c r="A393" s="1" t="s">
        <v>391</v>
      </c>
      <c r="B393" s="1"/>
      <c r="C393" s="4" t="str">
        <f>HYPERLINK("http://4sq.com/dqI3BV","BTS Udom Suk (E12) (BTS อุดมสุข) ")</f>
        <v>BTS Udom Suk (E12) (BTS อุดมสุข) </v>
      </c>
      <c r="D393" s="1"/>
      <c r="E393" s="1"/>
    </row>
    <row r="394">
      <c r="A394" s="1" t="s">
        <v>392</v>
      </c>
      <c r="B394" s="1"/>
      <c r="C394" s="4" t="str">
        <f>HYPERLINK("http://4sq.com/bApRjJ","FCCT-The Foreign Correspondents' Club of Thailand ")</f>
        <v>FCCT-The Foreign Correspondents' Club of Thailand </v>
      </c>
      <c r="D394" s="1"/>
      <c r="E394" s="1"/>
    </row>
    <row r="395">
      <c r="A395" s="1" t="s">
        <v>393</v>
      </c>
      <c r="B395" s="1"/>
      <c r="C395" s="4" t="str">
        <f>HYPERLINK("http://4sq.com/7KI4ge","BTS Phrom Phong (E5) (BTS พร้อมพงษ์) ")</f>
        <v>BTS Phrom Phong (E5) (BTS พร้อมพงษ์) </v>
      </c>
      <c r="D395" s="1"/>
      <c r="E395" s="1"/>
    </row>
    <row r="396">
      <c r="A396" s="1" t="s">
        <v>394</v>
      </c>
      <c r="B396" s="1"/>
      <c r="C396" s="4" t="str">
        <f>HYPERLINK("http://4sq.com/aN2sKp","Bei Otto ")</f>
        <v>Bei Otto </v>
      </c>
      <c r="D396" s="1"/>
      <c r="E396" s="1"/>
    </row>
    <row r="397">
      <c r="A397" s="1" t="s">
        <v>395</v>
      </c>
      <c r="B397" s="1"/>
      <c r="C397" s="4" t="str">
        <f>HYPERLINK("http://4sq.com/bBUjS0","The River (เดอะริเวอร์) ")</f>
        <v>The River (เดอะริเวอร์) </v>
      </c>
      <c r="D397" s="1"/>
      <c r="E397" s="1"/>
    </row>
    <row r="398">
      <c r="A398" s="1" t="s">
        <v>396</v>
      </c>
      <c r="B398" s="1"/>
      <c r="C398" s="4" t="str">
        <f>HYPERLINK("http://4sq.com/aszzKt","Sethiwan Tower (เศรษฐีวรรณทาวเวอร์) ")</f>
        <v>Sethiwan Tower (เศรษฐีวรรณทาวเวอร์) </v>
      </c>
      <c r="D398" s="1"/>
      <c r="E398" s="1"/>
    </row>
    <row r="399">
      <c r="A399" s="1" t="s">
        <v>397</v>
      </c>
      <c r="B399" s="1"/>
      <c r="C399" s="4" t="str">
        <f>HYPERLINK("http://4sq.com/10rz0XE","Domestic Departures ")</f>
        <v>Domestic Departures </v>
      </c>
      <c r="D399" s="1"/>
      <c r="E399" s="1"/>
    </row>
    <row r="400">
      <c r="A400" s="1" t="s">
        <v>398</v>
      </c>
      <c r="B400" s="1"/>
      <c r="C400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400" s="1"/>
      <c r="E400" s="1"/>
    </row>
    <row r="401">
      <c r="A401" s="1" t="s">
        <v>399</v>
      </c>
      <c r="B401" s="1"/>
      <c r="C401" s="4" t="str">
        <f>HYPERLINK("http://4sq.com/17yZfyA","Dhara Dhevi Cake Shop ")</f>
        <v>Dhara Dhevi Cake Shop </v>
      </c>
      <c r="D401" s="1"/>
      <c r="E401" s="1"/>
    </row>
    <row r="402">
      <c r="A402" s="1" t="s">
        <v>400</v>
      </c>
      <c r="B402" s="1"/>
      <c r="C402" s="4" t="str">
        <f>HYPERLINK("http://4sq.com/2n5LsTI","One Nimman (วันนิมมาน) ")</f>
        <v>One Nimman (วันนิมมาน) </v>
      </c>
      <c r="D402" s="1"/>
      <c r="E402" s="1"/>
    </row>
    <row r="403">
      <c r="A403" s="1" t="s">
        <v>401</v>
      </c>
      <c r="B403" s="1"/>
      <c r="C403" s="4" t="str">
        <f>HYPERLINK("http://4sq.com/dwbrHe","The Salad Concept ")</f>
        <v>The Salad Concept </v>
      </c>
      <c r="D403" s="1"/>
      <c r="E403" s="1"/>
    </row>
    <row r="404">
      <c r="A404" s="1" t="s">
        <v>402</v>
      </c>
      <c r="B404" s="1"/>
      <c r="C404" s="4" t="str">
        <f>HYPERLINK("https://4sq.com/2qzRpaE","Wami Music Box ")</f>
        <v>Wami Music Box </v>
      </c>
      <c r="D404" s="1"/>
      <c r="E404" s="1"/>
    </row>
    <row r="405">
      <c r="A405" s="1" t="s">
        <v>403</v>
      </c>
      <c r="B405" s="1"/>
      <c r="C405" s="4" t="str">
        <f>HYPERLINK("http://4sq.com/139xAVx","Food4thought ")</f>
        <v>Food4thought </v>
      </c>
      <c r="D405" s="1"/>
      <c r="E405" s="1"/>
    </row>
    <row r="406">
      <c r="A406" s="1" t="s">
        <v>404</v>
      </c>
      <c r="B406" s="1"/>
      <c r="C406" s="4" t="str">
        <f>HYPERLINK("http://4sq.com/1UAssUD","Mamma Mia ")</f>
        <v>Mamma Mia </v>
      </c>
      <c r="D406" s="1"/>
      <c r="E406" s="1"/>
    </row>
    <row r="407">
      <c r="A407" s="1" t="s">
        <v>405</v>
      </c>
      <c r="B407" s="1"/>
      <c r="C407" s="4" t="str">
        <f>HYPERLINK("http://4sq.com/eu45Ff","ครัวดวงสมพงษ์ ")</f>
        <v>ครัวดวงสมพงษ์ </v>
      </c>
      <c r="D407" s="1"/>
      <c r="E407" s="1"/>
    </row>
    <row r="408">
      <c r="A408" s="1" t="s">
        <v>406</v>
      </c>
      <c r="B408" s="1"/>
      <c r="C408" s="4" t="str">
        <f>HYPERLINK("http://4sq.com/1oOzchM","Rustic &amp; Blue ")</f>
        <v>Rustic &amp; Blue </v>
      </c>
      <c r="D408" s="1"/>
      <c r="E408" s="1"/>
    </row>
    <row r="409">
      <c r="A409" s="1" t="s">
        <v>407</v>
      </c>
      <c r="B409" s="1"/>
      <c r="C409" s="4" t="str">
        <f>HYPERLINK("https://4sq.com/2KH4bks","Onsen @ Moncham ")</f>
        <v>Onsen @ Moncham </v>
      </c>
      <c r="D409" s="1"/>
      <c r="E409" s="1"/>
    </row>
    <row r="410">
      <c r="A410" s="1" t="s">
        <v>408</v>
      </c>
      <c r="B410" s="1"/>
      <c r="C410" s="4" t="str">
        <f>HYPERLINK("http://4sq.com/1HUrpXh","ข้าวซอยรสลำ ")</f>
        <v>ข้าวซอยรสลำ </v>
      </c>
      <c r="D410" s="1"/>
      <c r="E410" s="1"/>
    </row>
    <row r="411">
      <c r="A411" s="1" t="s">
        <v>409</v>
      </c>
      <c r="B411" s="1"/>
      <c r="C411" s="4" t="str">
        <f>HYPERLINK("http://4sq.com/eu45Ff","ครัวดวงสมพงษ์ ")</f>
        <v>ครัวดวงสมพงษ์ </v>
      </c>
      <c r="D411" s="1"/>
      <c r="E411" s="1"/>
    </row>
    <row r="412">
      <c r="A412" s="1" t="s">
        <v>410</v>
      </c>
      <c r="B412" s="1"/>
      <c r="C412" s="4" t="str">
        <f>HYPERLINK("http://4sq.com/9adz8k","Susco ")</f>
        <v>Susco </v>
      </c>
      <c r="D412" s="1"/>
      <c r="E412" s="1"/>
    </row>
    <row r="413">
      <c r="A413" s="1" t="s">
        <v>411</v>
      </c>
      <c r="B413" s="1"/>
      <c r="C413" s="4" t="str">
        <f>HYPERLINK("http://4sq.com/hUO8aV","Girasole Ristorante Italiano ")</f>
        <v>Girasole Ristorante Italiano </v>
      </c>
      <c r="D413" s="1"/>
      <c r="E413" s="1"/>
    </row>
    <row r="414">
      <c r="A414" s="1" t="s">
        <v>412</v>
      </c>
      <c r="B414" s="1"/>
      <c r="C414" s="4" t="str">
        <f>HYPERLINK("http://4sq.com/18JNSo6","Cowboy Club House ")</f>
        <v>Cowboy Club House </v>
      </c>
      <c r="D414" s="1"/>
      <c r="E414" s="1"/>
    </row>
    <row r="415">
      <c r="A415" s="1" t="s">
        <v>412</v>
      </c>
      <c r="B415" s="1"/>
      <c r="C415" s="4" t="str">
        <f>HYPERLINK("http://4sq.com/2n7KiFm","F•A•R•M Cowboy ")</f>
        <v>F•A•R•M Cowboy </v>
      </c>
      <c r="D415" s="1"/>
      <c r="E415" s="1"/>
    </row>
    <row r="416">
      <c r="A416" s="1" t="s">
        <v>413</v>
      </c>
      <c r="B416" s="1"/>
      <c r="C416" s="4" t="str">
        <f>HYPERLINK("http://4sq.com/1LwwIEn","Let It Be ")</f>
        <v>Let It Be </v>
      </c>
      <c r="D416" s="1"/>
      <c r="E416" s="1"/>
    </row>
    <row r="417">
      <c r="A417" s="1" t="s">
        <v>414</v>
      </c>
      <c r="B417" s="1"/>
      <c r="C417" s="4" t="str">
        <f>HYPERLINK("http://4sq.com/2n5LsTI","One Nimman (วันนิมมาน) ")</f>
        <v>One Nimman (วันนิมมาน) </v>
      </c>
      <c r="D417" s="1"/>
      <c r="E417" s="1"/>
    </row>
    <row r="418">
      <c r="A418" s="1" t="s">
        <v>415</v>
      </c>
      <c r="B418" s="1"/>
      <c r="C418" s="4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D418" s="1"/>
      <c r="E418" s="1"/>
    </row>
    <row r="419">
      <c r="A419" s="1" t="s">
        <v>416</v>
      </c>
      <c r="B419" s="1"/>
      <c r="C419" s="4" t="str">
        <f>HYPERLINK("http://4sq.com/2BQaCNx","Ginger Farm Kitchen ")</f>
        <v>Ginger Farm Kitchen </v>
      </c>
      <c r="D419" s="1"/>
      <c r="E419" s="1"/>
    </row>
    <row r="420">
      <c r="A420" s="1" t="s">
        <v>417</v>
      </c>
      <c r="B420" s="1"/>
      <c r="C420" s="4" t="str">
        <f>HYPERLINK("http://4sq.com/1TCmRjN","Hong beach (โฮ่งบีช) ")</f>
        <v>Hong beach (โฮ่งบีช) </v>
      </c>
      <c r="D420" s="1"/>
      <c r="E420" s="1"/>
    </row>
    <row r="421">
      <c r="A421" s="1" t="s">
        <v>418</v>
      </c>
      <c r="B421" s="1"/>
      <c r="C421" s="4" t="str">
        <f>HYPERLINK("http://4sq.com/1lpaXII","Snowbuff Coffee (สโนว์บั๊ฟ คอฟฟี่) ")</f>
        <v>Snowbuff Coffee (สโนว์บั๊ฟ คอฟฟี่) </v>
      </c>
      <c r="D421" s="1"/>
      <c r="E421" s="1"/>
    </row>
    <row r="422">
      <c r="A422" s="1" t="s">
        <v>419</v>
      </c>
      <c r="B422" s="1"/>
      <c r="C422" s="4" t="str">
        <f>HYPERLINK("http://4sq.com/2lNr0pM","Bombay Hut ")</f>
        <v>Bombay Hut </v>
      </c>
      <c r="D422" s="1"/>
      <c r="E422" s="1"/>
    </row>
    <row r="423">
      <c r="A423" s="1" t="s">
        <v>420</v>
      </c>
      <c r="B423" s="1"/>
      <c r="C423" s="4" t="str">
        <f>HYPERLINK("http://4sq.com/hhYbCY","International Check In Counter ")</f>
        <v>International Check In Counter </v>
      </c>
      <c r="D423" s="1"/>
      <c r="E423" s="1"/>
    </row>
    <row r="424">
      <c r="A424" s="1" t="s">
        <v>421</v>
      </c>
      <c r="B424" s="1"/>
      <c r="C424" s="4" t="str">
        <f>HYPERLINK("http://4sq.com/1uTcCs4","Local Cafe (คาเฟ่บ้านนอก) ")</f>
        <v>Local Cafe (คาเฟ่บ้านนอก) </v>
      </c>
      <c r="D424" s="1"/>
      <c r="E424" s="1"/>
    </row>
    <row r="425">
      <c r="A425" s="1" t="s">
        <v>422</v>
      </c>
      <c r="B425" s="1"/>
      <c r="C42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425" s="1"/>
      <c r="E425" s="1"/>
    </row>
    <row r="426">
      <c r="A426" s="1" t="s">
        <v>423</v>
      </c>
      <c r="B426" s="1"/>
      <c r="C426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426" s="1"/>
      <c r="E426" s="1"/>
    </row>
    <row r="427">
      <c r="A427" s="1" t="s">
        <v>424</v>
      </c>
      <c r="B427" s="1"/>
      <c r="C427" s="4" t="str">
        <f>HYPERLINK("http://4sq.com/crBVSU","Incheon International Airport (ICN) (인천국제공항) ")</f>
        <v>Incheon International Airport (ICN) (인천국제공항) </v>
      </c>
      <c r="D427" s="1"/>
      <c r="E427" s="1"/>
    </row>
    <row r="428">
      <c r="A428" s="1" t="s">
        <v>425</v>
      </c>
      <c r="B428" s="1"/>
      <c r="C428" s="4" t="str">
        <f>HYPERLINK("http://4sq.com/TMoYjU","Center Mark Hotel (센터마크호텔) ")</f>
        <v>Center Mark Hotel (센터마크호텔) </v>
      </c>
      <c r="D428" s="1"/>
      <c r="E428" s="1"/>
    </row>
    <row r="429">
      <c r="A429" s="1" t="s">
        <v>426</v>
      </c>
      <c r="B429" s="1"/>
      <c r="C429" s="4" t="str">
        <f>HYPERLINK("http://4sq.com/bbPlwW","Jonggak Stn. (종각역) ")</f>
        <v>Jonggak Stn. (종각역) </v>
      </c>
      <c r="D429" s="1"/>
      <c r="E429" s="1"/>
    </row>
    <row r="430">
      <c r="A430" s="1" t="s">
        <v>427</v>
      </c>
      <c r="B430" s="1"/>
      <c r="C430" s="4" t="str">
        <f>HYPERLINK("http://4sq.com/dgw9pS","Seoul Station - KTX/Korail (서울역 KTX/코레일) ")</f>
        <v>Seoul Station - KTX/Korail (서울역 KTX/코레일) </v>
      </c>
      <c r="D430" s="1"/>
      <c r="E430" s="1"/>
    </row>
    <row r="431">
      <c r="A431" s="1" t="s">
        <v>428</v>
      </c>
      <c r="B431" s="1"/>
      <c r="C431" s="4" t="str">
        <f>HYPERLINK("http://4sq.com/bp10id","Gwacheon National Science Museum (국립과천과학관) ")</f>
        <v>Gwacheon National Science Museum (국립과천과학관) </v>
      </c>
      <c r="D431" s="1"/>
      <c r="E431" s="1"/>
    </row>
    <row r="432">
      <c r="A432" s="1" t="s">
        <v>429</v>
      </c>
      <c r="B432" s="1"/>
      <c r="C432" s="4" t="str">
        <f>HYPERLINK("http://4sq.com/XxzBuJ","Insectarium (국립과천과학관 곤충생태관) ")</f>
        <v>Insectarium (국립과천과학관 곤충생태관) </v>
      </c>
      <c r="D432" s="1"/>
      <c r="E432" s="1"/>
    </row>
    <row r="433">
      <c r="A433" s="1" t="s">
        <v>430</v>
      </c>
      <c r="B433" s="1"/>
      <c r="C433" s="4" t="str">
        <f>HYPERLINK("http://4sq.com/bg2QHM","고인돌 ")</f>
        <v>고인돌 </v>
      </c>
      <c r="D433" s="1"/>
      <c r="E433" s="1"/>
    </row>
    <row r="434">
      <c r="A434" s="1" t="s">
        <v>431</v>
      </c>
      <c r="B434" s="1"/>
      <c r="C434" s="4" t="str">
        <f>HYPERLINK("http://4sq.com/TMoYjU","Center Mark Hotel (센터마크호텔) ")</f>
        <v>Center Mark Hotel (센터마크호텔) </v>
      </c>
      <c r="D434" s="1"/>
      <c r="E434" s="1"/>
    </row>
    <row r="435">
      <c r="A435" s="1" t="s">
        <v>432</v>
      </c>
      <c r="B435" s="1"/>
      <c r="C435" s="4" t="str">
        <f>HYPERLINK("http://4sq.com/8KVQPu","LOTTE Department Store (롯데백화점) ")</f>
        <v>LOTTE Department Store (롯데백화점) </v>
      </c>
      <c r="D435" s="1"/>
      <c r="E435" s="1"/>
    </row>
    <row r="436">
      <c r="A436" s="1" t="s">
        <v>433</v>
      </c>
      <c r="B436" s="1"/>
      <c r="C436" s="4" t="str">
        <f>HYPERLINK("http://4sq.com/favOPg","The Adventures of Sinbad (신밧드의 모험) ")</f>
        <v>The Adventures of Sinbad (신밧드의 모험) </v>
      </c>
      <c r="D436" s="1"/>
      <c r="E436" s="1"/>
    </row>
    <row r="437">
      <c r="A437" s="1" t="s">
        <v>434</v>
      </c>
      <c r="B437" s="1"/>
      <c r="C437" s="4" t="str">
        <f>HYPERLINK("http://4sq.com/gEtwAq","Lotte World Hot Air Balloon Ride (롯데월드 풍선비행) ")</f>
        <v>Lotte World Hot Air Balloon Ride (롯데월드 풍선비행) </v>
      </c>
      <c r="D437" s="1"/>
      <c r="E437" s="1"/>
    </row>
    <row r="438">
      <c r="A438" s="1" t="s">
        <v>435</v>
      </c>
      <c r="B438" s="1"/>
      <c r="C438" s="4" t="str">
        <f>HYPERLINK("http://4sq.com/2d4J8Uq","화포식당 ")</f>
        <v>화포식당 </v>
      </c>
      <c r="D438" s="1"/>
      <c r="E438" s="1"/>
    </row>
    <row r="439">
      <c r="A439" s="1" t="s">
        <v>436</v>
      </c>
      <c r="B439" s="1"/>
      <c r="C439" s="4" t="str">
        <f>HYPERLINK("http://4sq.com/6Fvzx9","Munmak Service Area - Gangneung-bound (문막휴게소 강릉방향) ")</f>
        <v>Munmak Service Area - Gangneung-bound (문막휴게소 강릉방향) </v>
      </c>
      <c r="D439" s="1"/>
      <c r="E439" s="1"/>
    </row>
    <row r="440">
      <c r="A440" s="1" t="s">
        <v>437</v>
      </c>
      <c r="B440" s="1"/>
      <c r="C440" s="4" t="str">
        <f>HYPERLINK("http://4sq.com/KbwiF1","White Cabin ")</f>
        <v>White Cabin </v>
      </c>
      <c r="D440" s="1"/>
      <c r="E440" s="1"/>
    </row>
    <row r="441">
      <c r="A441" s="1" t="s">
        <v>438</v>
      </c>
      <c r="B441" s="1"/>
      <c r="C441" s="4" t="str">
        <f>HYPERLINK("https://4sq.com/2UOIOiN","광명식당 ")</f>
        <v>광명식당 </v>
      </c>
      <c r="D441" s="1"/>
      <c r="E441" s="1"/>
    </row>
    <row r="442">
      <c r="A442" s="1" t="s">
        <v>439</v>
      </c>
      <c r="B442" s="1"/>
      <c r="C442" s="4" t="str">
        <f>HYPERLINK("http://4sq.com/55BZoU","Phoenix Pyeongchang (휘닉스 평창) ")</f>
        <v>Phoenix Pyeongchang (휘닉스 평창) </v>
      </c>
      <c r="D442" s="1"/>
      <c r="E442" s="1"/>
    </row>
    <row r="443">
      <c r="A443" s="1" t="s">
        <v>440</v>
      </c>
      <c r="B443" s="1"/>
      <c r="C443" s="4" t="str">
        <f>HYPERLINK("http://4sq.com/1Ey5vKp","bella pino ")</f>
        <v>bella pino </v>
      </c>
      <c r="D443" s="1"/>
      <c r="E443" s="1"/>
    </row>
    <row r="444">
      <c r="A444" s="1" t="s">
        <v>441</v>
      </c>
      <c r="B444" s="1"/>
      <c r="C444" s="4" t="str">
        <f>HYPERLINK("http://4sq.com/1aCKtyK","Pheonix Park Ski Area ")</f>
        <v>Pheonix Park Ski Area </v>
      </c>
      <c r="D444" s="1"/>
      <c r="E444" s="1"/>
    </row>
    <row r="445">
      <c r="A445" s="1" t="s">
        <v>442</v>
      </c>
      <c r="B445" s="1"/>
      <c r="C445" s="4" t="str">
        <f>HYPERLINK("http://4sq.com/egbCcq","휘닉스파크 곤돌라 ")</f>
        <v>휘닉스파크 곤돌라 </v>
      </c>
      <c r="D445" s="1"/>
      <c r="E445" s="1"/>
    </row>
    <row r="446">
      <c r="A446" s="1" t="s">
        <v>443</v>
      </c>
      <c r="B446" s="1"/>
      <c r="C446" s="4" t="str">
        <f>HYPERLINK("http://4sq.com/2go5yBm","Phoenix Pyeongchang Snow Park (휘닉스 평창 스노우파크) ")</f>
        <v>Phoenix Pyeongchang Snow Park (휘닉스 평창 스노우파크) </v>
      </c>
      <c r="D446" s="1"/>
      <c r="E446" s="1"/>
    </row>
    <row r="447">
      <c r="A447" s="1" t="s">
        <v>444</v>
      </c>
      <c r="B447" s="1"/>
      <c r="C447" s="4" t="str">
        <f>HYPERLINK("http://4sq.com/2xjnNQ2","BBQ 치킨 ")</f>
        <v>BBQ 치킨 </v>
      </c>
      <c r="D447" s="1"/>
      <c r="E447" s="1"/>
    </row>
    <row r="448">
      <c r="A448" s="1" t="s">
        <v>445</v>
      </c>
      <c r="B448" s="1"/>
      <c r="C448" s="4" t="str">
        <f>HYPERLINK("http://4sq.com/2go5yBm","Phoenix Pyeongchang Snow Park (휘닉스 평창 스노우파크) ")</f>
        <v>Phoenix Pyeongchang Snow Park (휘닉스 평창 스노우파크) </v>
      </c>
      <c r="D448" s="1"/>
      <c r="E448" s="1"/>
    </row>
    <row r="449">
      <c r="A449" s="1" t="s">
        <v>446</v>
      </c>
      <c r="B449" s="1"/>
      <c r="C449" s="4" t="str">
        <f>HYPERLINK("http://4sq.com/1aCKtyK","Pheonix Park Ski Area ")</f>
        <v>Pheonix Park Ski Area </v>
      </c>
      <c r="D449" s="1"/>
      <c r="E449" s="1"/>
    </row>
    <row r="450">
      <c r="A450" s="1" t="s">
        <v>447</v>
      </c>
      <c r="B450" s="1"/>
      <c r="C450" s="4" t="str">
        <f>HYPERLINK("http://4sq.com/2xjnNQ2","BBQ 치킨 ")</f>
        <v>BBQ 치킨 </v>
      </c>
      <c r="D450" s="1"/>
      <c r="E450" s="1"/>
    </row>
    <row r="451">
      <c r="A451" s="1" t="s">
        <v>448</v>
      </c>
      <c r="B451" s="1"/>
      <c r="C451" s="4" t="str">
        <f>HYPERLINK("http://4sq.com/1aCKtyK","Pheonix Park Ski Area ")</f>
        <v>Pheonix Park Ski Area </v>
      </c>
      <c r="D451" s="1"/>
      <c r="E451" s="1"/>
    </row>
    <row r="452">
      <c r="A452" s="1" t="s">
        <v>449</v>
      </c>
      <c r="B452" s="1"/>
      <c r="C452" s="4" t="str">
        <f>HYPERLINK("http://4sq.com/eFRDbR","휘닉스파크 The Hotel ")</f>
        <v>휘닉스파크 The Hotel </v>
      </c>
      <c r="D452" s="1"/>
      <c r="E452" s="1"/>
    </row>
    <row r="453">
      <c r="A453" s="1" t="s">
        <v>450</v>
      </c>
      <c r="B453" s="1"/>
      <c r="C453" s="4" t="str">
        <f>HYPERLINK("http://4sq.com/nh6Ks4","덕평자연휴게소 푸드코트 ")</f>
        <v>덕평자연휴게소 푸드코트 </v>
      </c>
      <c r="D453" s="1"/>
      <c r="E453" s="1"/>
    </row>
    <row r="454">
      <c r="A454" s="1" t="s">
        <v>451</v>
      </c>
      <c r="B454" s="1"/>
      <c r="C454" s="4" t="str">
        <f>HYPERLINK("http://4sq.com/RjTK0c","Aventree Hotel Jongno (호텔아벤트리종로) ")</f>
        <v>Aventree Hotel Jongno (호텔아벤트리종로) </v>
      </c>
      <c r="D454" s="1"/>
      <c r="E454" s="1"/>
    </row>
    <row r="455">
      <c r="A455" s="1" t="s">
        <v>452</v>
      </c>
      <c r="B455" s="1"/>
      <c r="C455" s="4" t="str">
        <f>HYPERLINK("http://4sq.com/2fzNYNJ","Jongno-gu (종로구) ")</f>
        <v>Jongno-gu (종로구) </v>
      </c>
      <c r="D455" s="1"/>
      <c r="E455" s="1"/>
    </row>
    <row r="456">
      <c r="A456" s="1" t="s">
        <v>453</v>
      </c>
      <c r="B456" s="1"/>
      <c r="C456" s="4" t="str">
        <f>HYPERLINK("http://4sq.com/RjTK0c","Aventree Hotel Jongno (호텔아벤트리종로) ")</f>
        <v>Aventree Hotel Jongno (호텔아벤트리종로) </v>
      </c>
      <c r="D456" s="1"/>
      <c r="E456" s="1"/>
    </row>
    <row r="457">
      <c r="A457" s="1" t="s">
        <v>454</v>
      </c>
      <c r="B457" s="1"/>
      <c r="C457" s="4" t="str">
        <f>HYPERLINK("http://4sq.com/crBVSU","Incheon International Airport (ICN) (인천국제공항) ")</f>
        <v>Incheon International Airport (ICN) (인천국제공항) </v>
      </c>
      <c r="D457" s="1"/>
      <c r="E457" s="1"/>
    </row>
    <row r="458">
      <c r="A458" s="1" t="s">
        <v>455</v>
      </c>
      <c r="B458" s="1"/>
      <c r="C458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458" s="1"/>
      <c r="E458" s="1"/>
    </row>
    <row r="459">
      <c r="A459" s="1" t="s">
        <v>456</v>
      </c>
      <c r="B459" s="1"/>
      <c r="C459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459" s="1"/>
      <c r="E459" s="1"/>
    </row>
    <row r="460">
      <c r="A460" s="1" t="s">
        <v>457</v>
      </c>
      <c r="B460" s="1"/>
      <c r="C460" s="4" t="str">
        <f>HYPERLINK("http://4sq.com/1uTcCs4","Local Cafe (คาเฟ่บ้านนอก) ")</f>
        <v>Local Cafe (คาเฟ่บ้านนอก) </v>
      </c>
      <c r="D460" s="1"/>
      <c r="E460" s="1"/>
    </row>
    <row r="461">
      <c r="A461" s="1" t="s">
        <v>458</v>
      </c>
      <c r="B461" s="1"/>
      <c r="C461" s="4" t="str">
        <f>HYPERLINK("http://4sq.com/nbkCEm","ร้านตุ้มตามสั่ง ")</f>
        <v>ร้านตุ้มตามสั่ง </v>
      </c>
      <c r="D461" s="1"/>
      <c r="E461" s="1"/>
    </row>
    <row r="462">
      <c r="A462" s="1" t="s">
        <v>459</v>
      </c>
      <c r="B462" s="1"/>
      <c r="C462" s="4" t="str">
        <f>HYPERLINK("http://4sq.com/nVMkQQ","Royal Park Rajapruek (อุทยานหลวงราชพฤกษ์) ")</f>
        <v>Royal Park Rajapruek (อุทยานหลวงราชพฤกษ์) </v>
      </c>
      <c r="D462" s="1"/>
      <c r="E462" s="1"/>
    </row>
    <row r="463">
      <c r="A463" s="1" t="s">
        <v>460</v>
      </c>
      <c r="B463" s="1"/>
      <c r="C463" s="4" t="str">
        <f>HYPERLINK("http://4sq.com/23EAhNx","Wrap Master ")</f>
        <v>Wrap Master </v>
      </c>
      <c r="D463" s="1"/>
      <c r="E463" s="1"/>
    </row>
    <row r="464">
      <c r="A464" s="1" t="s">
        <v>461</v>
      </c>
      <c r="B464" s="1"/>
      <c r="C464" s="4" t="str">
        <f>HYPERLINK("http://4sq.com/1uTcCs4","Local Cafe (คาเฟ่บ้านนอก) ")</f>
        <v>Local Cafe (คาเฟ่บ้านนอก) </v>
      </c>
      <c r="D464" s="1"/>
      <c r="E464" s="1"/>
    </row>
    <row r="465">
      <c r="A465" s="1" t="s">
        <v>462</v>
      </c>
      <c r="B465" s="1"/>
      <c r="C465" s="4" t="str">
        <f>HYPERLINK("http://4sq.com/9Y0ahC","มายเวียดนาม (หนองคายแหนมเนือง) My Vietnamese ")</f>
        <v>มายเวียดนาม (หนองคายแหนมเนือง) My Vietnamese </v>
      </c>
      <c r="D465" s="1"/>
      <c r="E465" s="1"/>
    </row>
    <row r="466">
      <c r="A466" s="1" t="s">
        <v>463</v>
      </c>
      <c r="B466" s="1"/>
      <c r="C466" s="4" t="str">
        <f>HYPERLINK("http://4sq.com/2n5LsTI","One Nimman (วันนิมมาน) ")</f>
        <v>One Nimman (วันนิมมาน) </v>
      </c>
      <c r="D466" s="1"/>
      <c r="E466" s="1"/>
    </row>
    <row r="467">
      <c r="A467" s="1" t="s">
        <v>464</v>
      </c>
      <c r="B467" s="1"/>
      <c r="C467" s="4" t="str">
        <f>HYPERLINK("http://4sq.com/o3ZEdO","See Paak Restaurant ")</f>
        <v>See Paak Restaurant </v>
      </c>
      <c r="D467" s="1"/>
      <c r="E467" s="1"/>
    </row>
    <row r="468">
      <c r="A468" s="1" t="s">
        <v>465</v>
      </c>
      <c r="B468" s="1"/>
      <c r="C468" s="4" t="str">
        <f>HYPERLINK("http://4sq.com/1dHOYY4","Pizzeria Giotto ")</f>
        <v>Pizzeria Giotto </v>
      </c>
      <c r="D468" s="1"/>
      <c r="E468" s="1"/>
    </row>
    <row r="469">
      <c r="A469" s="1" t="s">
        <v>466</v>
      </c>
      <c r="B469" s="1"/>
      <c r="C469" s="4" t="str">
        <f>HYPERLINK("http://4sq.com/1NlaEZc","Cut 'em all ")</f>
        <v>Cut 'em all </v>
      </c>
      <c r="D469" s="1"/>
      <c r="E469" s="1"/>
    </row>
    <row r="470">
      <c r="A470" s="1" t="s">
        <v>467</v>
      </c>
      <c r="B470" s="1"/>
      <c r="C470" s="4" t="str">
        <f>HYPERLINK("http://4sq.com/9pLJnm","Makro (แม็คโคร) ")</f>
        <v>Makro (แม็คโคร) </v>
      </c>
      <c r="D470" s="1"/>
      <c r="E470" s="1"/>
    </row>
    <row r="471">
      <c r="A471" s="1" t="s">
        <v>468</v>
      </c>
      <c r="B471" s="1"/>
      <c r="C471" s="4" t="str">
        <f>HYPERLINK("http://4sq.com/1UAssUD","Mamma Mia ")</f>
        <v>Mamma Mia </v>
      </c>
      <c r="D471" s="1"/>
      <c r="E471" s="1"/>
    </row>
    <row r="472">
      <c r="A472" s="1" t="s">
        <v>469</v>
      </c>
      <c r="B472" s="1"/>
      <c r="C472" s="4" t="str">
        <f>HYPERLINK("http://4sq.com/VROGQA","Wawee Coffee (กาแฟวาวี) ")</f>
        <v>Wawee Coffee (กาแฟวาวี) </v>
      </c>
      <c r="D472" s="1"/>
      <c r="E472" s="1"/>
    </row>
    <row r="473">
      <c r="A473" s="1" t="s">
        <v>470</v>
      </c>
      <c r="B473" s="1"/>
      <c r="C473" s="4" t="str">
        <f>HYPERLINK("http://4sq.com/o3ZEdO","See Paak Restaurant ")</f>
        <v>See Paak Restaurant </v>
      </c>
      <c r="D473" s="1"/>
      <c r="E473" s="1"/>
    </row>
    <row r="474">
      <c r="A474" s="1" t="s">
        <v>471</v>
      </c>
      <c r="B474" s="1"/>
      <c r="C474" s="4" t="str">
        <f>HYPERLINK("http://4sq.com/2pRoxh9","Punspace ")</f>
        <v>Punspace </v>
      </c>
      <c r="D474" s="1"/>
      <c r="E474" s="1"/>
    </row>
    <row r="475">
      <c r="A475" s="1" t="s">
        <v>472</v>
      </c>
      <c r="B475" s="1"/>
      <c r="C475" s="4" t="str">
        <f>HYPERLINK("http://4sq.com/QLleMq","Three Little Pigs ")</f>
        <v>Three Little Pigs </v>
      </c>
      <c r="D475" s="1"/>
      <c r="E475" s="1"/>
    </row>
    <row r="476">
      <c r="A476" s="1" t="s">
        <v>473</v>
      </c>
      <c r="B476" s="1"/>
      <c r="C476" s="4" t="str">
        <f>HYPERLINK("http://4sq.com/1iN093h","ก๋วยเตี๋ยวบ้านคุ้ม・ขนมจีน・ข้าวซอย ")</f>
        <v>ก๋วยเตี๋ยวบ้านคุ้ม・ขนมจีน・ข้าวซอย </v>
      </c>
      <c r="D476" s="1"/>
      <c r="E476" s="1"/>
    </row>
    <row r="477">
      <c r="A477" s="1" t="s">
        <v>474</v>
      </c>
      <c r="B477" s="1"/>
      <c r="C477" s="4" t="str">
        <f>HYPERLINK("http://4sq.com/1K2l4NI","Teak Table (ทีค เทเบิล) ")</f>
        <v>Teak Table (ทีค เทเบิล) </v>
      </c>
      <c r="D477" s="1"/>
      <c r="E477" s="1"/>
    </row>
    <row r="478">
      <c r="A478" s="1" t="s">
        <v>475</v>
      </c>
      <c r="B478" s="1"/>
      <c r="C478" s="4" t="str">
        <f>HYPERLINK("http://4sq.com/1e6LrSS","KASIKORNBANK (ธนาคารกสิกรไทย) ")</f>
        <v>KASIKORNBANK (ธนาคารกสิกรไทย) </v>
      </c>
      <c r="D478" s="1"/>
      <c r="E478" s="1"/>
    </row>
    <row r="479">
      <c r="A479" s="1" t="s">
        <v>476</v>
      </c>
      <c r="B479" s="1"/>
      <c r="C479" s="4" t="str">
        <f>HYPERLINK("http://4sq.com/1UAssUD","Mamma Mia ")</f>
        <v>Mamma Mia </v>
      </c>
      <c r="D479" s="1"/>
      <c r="E479" s="1"/>
    </row>
    <row r="480">
      <c r="A480" s="1" t="s">
        <v>477</v>
      </c>
      <c r="B480" s="1"/>
      <c r="C480" s="4" t="str">
        <f>HYPERLINK("http://4sq.com/biGK3c","กาดหน้ามอ (Kad Na Mor) (กาดหน้ามอ) ")</f>
        <v>กาดหน้ามอ (Kad Na Mor) (กาดหน้ามอ) </v>
      </c>
      <c r="D480" s="1"/>
      <c r="E480" s="1"/>
    </row>
    <row r="481">
      <c r="A481" s="1" t="s">
        <v>478</v>
      </c>
      <c r="B481" s="1"/>
      <c r="C481" s="4" t="str">
        <f>HYPERLINK("https://4sq.com/2xYnr3P","Hanging Garden Cafe ")</f>
        <v>Hanging Garden Cafe </v>
      </c>
      <c r="D481" s="1"/>
      <c r="E481" s="1"/>
    </row>
    <row r="482">
      <c r="A482" s="1" t="s">
        <v>479</v>
      </c>
      <c r="B482" s="1"/>
      <c r="C482" s="4" t="str">
        <f>HYPERLINK("http://4sq.com/i6Qcfc","Payap Music Academy (สถาบันดนตรี วิทยาลัยดุริยศิลป์) ")</f>
        <v>Payap Music Academy (สถาบันดนตรี วิทยาลัยดุริยศิลป์) </v>
      </c>
      <c r="D482" s="1"/>
      <c r="E482" s="1"/>
    </row>
    <row r="483">
      <c r="A483" s="1" t="s">
        <v>480</v>
      </c>
      <c r="B483" s="1"/>
      <c r="C483" s="4" t="str">
        <f>HYPERLINK("http://4sq.com/9K7ydH","Bake &amp; Bite (เบ๊คแอนด์ไบท์) ")</f>
        <v>Bake &amp; Bite (เบ๊คแอนด์ไบท์) </v>
      </c>
      <c r="D483" s="1"/>
      <c r="E483" s="1"/>
    </row>
    <row r="484">
      <c r="A484" s="1" t="s">
        <v>481</v>
      </c>
      <c r="B484" s="1"/>
      <c r="C484" s="4" t="str">
        <f>HYPERLINK("http://4sq.com/a3WF57","Pizza Mania ")</f>
        <v>Pizza Mania </v>
      </c>
      <c r="D484" s="1"/>
      <c r="E484" s="1"/>
    </row>
    <row r="485">
      <c r="A485" s="1" t="s">
        <v>482</v>
      </c>
      <c r="B485" s="1"/>
      <c r="C48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485" s="1"/>
      <c r="E485" s="1"/>
    </row>
    <row r="486">
      <c r="A486" s="1" t="s">
        <v>483</v>
      </c>
      <c r="B486" s="1"/>
      <c r="C486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486" s="1"/>
      <c r="E486" s="1"/>
    </row>
    <row r="487">
      <c r="A487" s="1" t="s">
        <v>484</v>
      </c>
      <c r="B487" s="1"/>
      <c r="C487" s="4" t="str">
        <f>HYPERLINK("http://4sq.com/c2PbAQ","Chatrium Hotel Riverside Bangkok ")</f>
        <v>Chatrium Hotel Riverside Bangkok </v>
      </c>
      <c r="D487" s="1"/>
      <c r="E487" s="1"/>
    </row>
    <row r="488">
      <c r="A488" s="1" t="s">
        <v>485</v>
      </c>
      <c r="B488" s="1"/>
      <c r="C488" s="4" t="str">
        <f>HYPERLINK("https://4sq.com/2FZsxUP","ICON CINECONIC (ไอคอน ซีเนคอนิค) ")</f>
        <v>ICON CINECONIC (ไอคอน ซีเนคอนิค) </v>
      </c>
      <c r="D488" s="1"/>
      <c r="E488" s="1"/>
    </row>
    <row r="489">
      <c r="A489" s="1" t="s">
        <v>486</v>
      </c>
      <c r="B489" s="1"/>
      <c r="C489" s="4" t="str">
        <f>HYPERLINK("http://4sq.com/crLghq","Rama Gardens Hotel Bangkok (โรงแรมรามาการ์เด้นส์) ")</f>
        <v>Rama Gardens Hotel Bangkok (โรงแรมรามาการ์เด้นส์) </v>
      </c>
      <c r="D489" s="1"/>
      <c r="E489" s="1"/>
    </row>
    <row r="490">
      <c r="A490" s="1" t="s">
        <v>487</v>
      </c>
      <c r="B490" s="1"/>
      <c r="C490" s="4" t="str">
        <f>HYPERLINK("http://4sq.com/iLuTkv","Supapong Condominium ")</f>
        <v>Supapong Condominium </v>
      </c>
      <c r="D490" s="1"/>
      <c r="E490" s="1"/>
    </row>
    <row r="491">
      <c r="A491" s="1" t="s">
        <v>488</v>
      </c>
      <c r="B491" s="1"/>
      <c r="C491" s="4" t="str">
        <f>HYPERLINK("http://4sq.com/dwbrHe","The Salad Concept ")</f>
        <v>The Salad Concept </v>
      </c>
      <c r="D491" s="1"/>
      <c r="E491" s="1"/>
    </row>
    <row r="492">
      <c r="A492" s="1" t="s">
        <v>489</v>
      </c>
      <c r="B492" s="1"/>
      <c r="C492" s="4" t="str">
        <f>HYPERLINK("http://4sq.com/2n5LsTI","One Nimman (วันนิมมาน) ")</f>
        <v>One Nimman (วันนิมมาน) </v>
      </c>
      <c r="D492" s="1"/>
      <c r="E492" s="1"/>
    </row>
    <row r="493">
      <c r="A493" s="1" t="s">
        <v>490</v>
      </c>
      <c r="B493" s="1"/>
      <c r="C493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493" s="1"/>
      <c r="E493" s="1"/>
    </row>
    <row r="494">
      <c r="A494" s="1" t="s">
        <v>491</v>
      </c>
      <c r="B494" s="1"/>
      <c r="C494" s="4" t="str">
        <f>HYPERLINK("http://4sq.com/9Px8lr","Sky Lounge ")</f>
        <v>Sky Lounge </v>
      </c>
      <c r="D494" s="1"/>
      <c r="E494" s="1"/>
    </row>
    <row r="495">
      <c r="A495" s="1" t="s">
        <v>491</v>
      </c>
      <c r="B495" s="1"/>
      <c r="C495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495" s="1"/>
      <c r="E495" s="1"/>
    </row>
    <row r="496">
      <c r="A496" s="1" t="s">
        <v>492</v>
      </c>
      <c r="B496" s="1"/>
      <c r="C496" s="4" t="str">
        <f>HYPERLINK("http://4sq.com/qHBPAF","Concourse A (인천국제공항 탑승동 A) ")</f>
        <v>Concourse A (인천국제공항 탑승동 A) </v>
      </c>
      <c r="D496" s="1"/>
      <c r="E496" s="1"/>
    </row>
    <row r="497">
      <c r="A497" s="1" t="s">
        <v>493</v>
      </c>
      <c r="B497" s="1"/>
      <c r="C497" s="4" t="str">
        <f>HYPERLINK("http://4sq.com/hopy6N","Incheon International Airport Transportation Center (인천국제공항 교통센터) ")</f>
        <v>Incheon International Airport Transportation Center (인천국제공항 교통센터) </v>
      </c>
      <c r="D497" s="1"/>
      <c r="E497" s="1"/>
    </row>
    <row r="498">
      <c r="A498" s="1" t="s">
        <v>494</v>
      </c>
      <c r="B498" s="1"/>
      <c r="C498" s="4" t="str">
        <f>HYPERLINK("http://4sq.com/19C4ggY","Jung-gu (중구) ")</f>
        <v>Jung-gu (중구) </v>
      </c>
      <c r="D498" s="1"/>
      <c r="E498" s="1"/>
    </row>
    <row r="499">
      <c r="A499" s="1" t="s">
        <v>495</v>
      </c>
      <c r="B499" s="1"/>
      <c r="C499" s="4" t="str">
        <f>HYPERLINK("http://4sq.com/bB10Fb","Jangchung Gymnasium (장충체육관) ")</f>
        <v>Jangchung Gymnasium (장충체육관) </v>
      </c>
      <c r="D499" s="1"/>
      <c r="E499" s="1"/>
    </row>
    <row r="500">
      <c r="A500" s="1" t="s">
        <v>496</v>
      </c>
      <c r="B500" s="1"/>
      <c r="C500" s="4" t="str">
        <f>HYPERLINK("http://4sq.com/2hnr78n","Starbucks (스타벅스) ")</f>
        <v>Starbucks (스타벅스) </v>
      </c>
      <c r="D500" s="1"/>
      <c r="E500" s="1"/>
    </row>
    <row r="501">
      <c r="A501" s="1" t="s">
        <v>497</v>
      </c>
      <c r="B501" s="1"/>
      <c r="C501" s="4" t="str">
        <f>HYPERLINK("http://4sq.com/1aND942","Google Campus Seoul (구글캠퍼스 서울) ")</f>
        <v>Google Campus Seoul (구글캠퍼스 서울) </v>
      </c>
      <c r="D501" s="1"/>
      <c r="E501" s="1"/>
    </row>
    <row r="502">
      <c r="A502" s="1" t="s">
        <v>498</v>
      </c>
      <c r="B502" s="1"/>
      <c r="C502" s="4" t="str">
        <f>HYPERLINK("http://4sq.com/1nzEgqy","오토코 ")</f>
        <v>오토코 </v>
      </c>
      <c r="D502" s="1"/>
      <c r="E502" s="1"/>
    </row>
    <row r="503">
      <c r="A503" s="1" t="s">
        <v>499</v>
      </c>
      <c r="B503" s="1"/>
      <c r="C503" s="4" t="str">
        <f>HYPERLINK("http://4sq.com/2hnr78n","Starbucks (스타벅스) ")</f>
        <v>Starbucks (스타벅스) </v>
      </c>
      <c r="D503" s="1"/>
      <c r="E503" s="1"/>
    </row>
    <row r="504">
      <c r="A504" s="1" t="s">
        <v>500</v>
      </c>
      <c r="B504" s="1"/>
      <c r="C504" s="4" t="str">
        <f>HYPERLINK("https://4sq.com/2QbMV5S","Nonce ")</f>
        <v>Nonce </v>
      </c>
      <c r="D504" s="1"/>
      <c r="E504" s="1"/>
    </row>
    <row r="505">
      <c r="A505" s="1" t="s">
        <v>501</v>
      </c>
      <c r="B505" s="1"/>
      <c r="C505" s="4" t="str">
        <f>HYPERLINK("http://4sq.com/1BYF6Sx","D Bridge ")</f>
        <v>D Bridge </v>
      </c>
      <c r="D505" s="1"/>
      <c r="E505" s="1"/>
    </row>
    <row r="506">
      <c r="A506" s="1" t="s">
        <v>502</v>
      </c>
      <c r="B506" s="1"/>
      <c r="C506" s="4" t="str">
        <f>HYPERLINK("http://4sq.com/oQgTQ5","MISS AMERICANO (Miss Americano 미쓰아메리카노) ")</f>
        <v>MISS AMERICANO (Miss Americano 미쓰아메리카노) </v>
      </c>
      <c r="D506" s="1"/>
      <c r="E506" s="1"/>
    </row>
    <row r="507">
      <c r="A507" s="1" t="s">
        <v>503</v>
      </c>
      <c r="B507" s="1"/>
      <c r="C507" s="4" t="str">
        <f>HYPERLINK("http://4sq.com/o73Qva","Café De L'ambre (카페드람브르) ")</f>
        <v>Café De L'ambre (카페드람브르) </v>
      </c>
      <c r="D507" s="1"/>
      <c r="E507" s="1"/>
    </row>
    <row r="508">
      <c r="A508" s="1" t="s">
        <v>504</v>
      </c>
      <c r="B508" s="1"/>
      <c r="C508" s="4" t="str">
        <f>HYPERLINK("http://4sq.com/dgeB3C","Gwangjang Market (광장시장) ")</f>
        <v>Gwangjang Market (광장시장) </v>
      </c>
      <c r="D508" s="1"/>
      <c r="E508" s="1"/>
    </row>
    <row r="509">
      <c r="A509" s="1" t="s">
        <v>505</v>
      </c>
      <c r="B509" s="1"/>
      <c r="C509" s="4" t="str">
        <f>HYPERLINK("http://4sq.com/aHECfj","N Seoul Tower (N서울타워) ")</f>
        <v>N Seoul Tower (N서울타워) </v>
      </c>
      <c r="D509" s="1"/>
      <c r="E509" s="1"/>
    </row>
    <row r="510">
      <c r="A510" s="1" t="s">
        <v>506</v>
      </c>
      <c r="B510" s="1"/>
      <c r="C510" s="4" t="str">
        <f>HYPERLINK("http://4sq.com/bmXTqd","Sky Hub Lounge East ")</f>
        <v>Sky Hub Lounge East </v>
      </c>
      <c r="D510" s="1"/>
      <c r="E510" s="1"/>
    </row>
    <row r="511">
      <c r="A511" s="1" t="s">
        <v>507</v>
      </c>
      <c r="B511" s="1"/>
      <c r="C511" s="4" t="str">
        <f>HYPERLINK("http://4sq.com/aWPgbB","HomePro Plus (โฮมโปร พลัส) ")</f>
        <v>HomePro Plus (โฮมโปร พลัส) </v>
      </c>
      <c r="D511" s="1"/>
      <c r="E511" s="1"/>
    </row>
    <row r="512">
      <c r="A512" s="1" t="s">
        <v>508</v>
      </c>
      <c r="B512" s="1"/>
      <c r="C512" s="4" t="str">
        <f>HYPERLINK("http://4sq.com/dzGU3X","Aun's Duck Boiled Rice (ข้าวต้มเป็ดอ้วน) ")</f>
        <v>Aun's Duck Boiled Rice (ข้าวต้มเป็ดอ้วน) </v>
      </c>
      <c r="D512" s="1"/>
      <c r="E512" s="1"/>
    </row>
    <row r="513">
      <c r="A513" s="1" t="s">
        <v>509</v>
      </c>
      <c r="B513" s="1"/>
      <c r="C513" s="4" t="str">
        <f>HYPERLINK("http://4sq.com/1LCxZ5K","CentralFestival EastVille (เซ็นทรัลเฟสติวัล อีสต์วิลล์) ")</f>
        <v>CentralFestival EastVille (เซ็นทรัลเฟสติวัล อีสต์วิลล์) </v>
      </c>
      <c r="D513" s="1"/>
      <c r="E513" s="1"/>
    </row>
    <row r="514">
      <c r="A514" s="1" t="s">
        <v>510</v>
      </c>
      <c r="B514" s="1"/>
      <c r="C514" s="4" t="str">
        <f>HYPERLINK("http://4sq.com/cs9rEE","Banyan Tree ")</f>
        <v>Banyan Tree </v>
      </c>
      <c r="D514" s="1"/>
      <c r="E514" s="1"/>
    </row>
    <row r="515">
      <c r="A515" s="1" t="s">
        <v>511</v>
      </c>
      <c r="B515" s="1"/>
      <c r="C515" s="4" t="str">
        <f>HYPERLINK("http://4sq.com/blWP0l","Vertigo ")</f>
        <v>Vertigo </v>
      </c>
      <c r="D515" s="1"/>
      <c r="E515" s="1"/>
    </row>
    <row r="516">
      <c r="A516" s="1" t="s">
        <v>512</v>
      </c>
      <c r="B516" s="1"/>
      <c r="C516" s="4" t="str">
        <f>HYPERLINK("http://4sq.com/1QSOcGC","AIS Shop ")</f>
        <v>AIS Shop </v>
      </c>
      <c r="D516" s="1"/>
      <c r="E516" s="1"/>
    </row>
    <row r="517">
      <c r="A517" s="1" t="s">
        <v>513</v>
      </c>
      <c r="B517" s="1"/>
      <c r="C517" s="4" t="str">
        <f>HYPERLINK("http://4sq.com/dZGboA","MBK Tower (อาคาร เอ็ม บี เค ทาวเวอร์) ")</f>
        <v>MBK Tower (อาคาร เอ็ม บี เค ทาวเวอร์) </v>
      </c>
      <c r="D517" s="1"/>
      <c r="E517" s="1"/>
    </row>
    <row r="518">
      <c r="A518" s="1" t="s">
        <v>514</v>
      </c>
      <c r="B518" s="1"/>
      <c r="C518" s="4" t="str">
        <f>HYPERLINK("http://4sq.com/6faMgT","Siam Paragon (สยามพารากอน) ")</f>
        <v>Siam Paragon (สยามพารากอน) </v>
      </c>
      <c r="D518" s="1"/>
      <c r="E518" s="1"/>
    </row>
    <row r="519">
      <c r="A519" s="1" t="s">
        <v>515</v>
      </c>
      <c r="B519" s="1"/>
      <c r="C519" s="4" t="str">
        <f>HYPERLINK("http://4sq.com/29zUdit","The Fat Cow ")</f>
        <v>The Fat Cow </v>
      </c>
      <c r="D519" s="1"/>
      <c r="E519" s="1"/>
    </row>
    <row r="520">
      <c r="A520" s="1" t="s">
        <v>516</v>
      </c>
      <c r="B520" s="1"/>
      <c r="C520" s="4" t="str">
        <f>HYPERLINK("http://4sq.com/bC5zUt","Centara Grand at Central Plaza Ladprao Bangkok ")</f>
        <v>Centara Grand at Central Plaza Ladprao Bangkok </v>
      </c>
      <c r="D520" s="1"/>
      <c r="E520" s="1"/>
    </row>
    <row r="521">
      <c r="A521" s="1" t="s">
        <v>517</v>
      </c>
      <c r="B521" s="1"/>
      <c r="C521" s="4" t="str">
        <f>HYPERLINK("http://4sq.com/1MKXiW5","Mohu Mohu Cafe ")</f>
        <v>Mohu Mohu Cafe </v>
      </c>
      <c r="D521" s="1"/>
      <c r="E521" s="1"/>
    </row>
    <row r="522">
      <c r="A522" s="1" t="s">
        <v>518</v>
      </c>
      <c r="B522" s="1"/>
      <c r="C522" s="4" t="str">
        <f>HYPERLINK("http://4sq.com/1RIIEQb","Krua Pradiphat (ครัวประดิพัทธ์ 2) ")</f>
        <v>Krua Pradiphat (ครัวประดิพัทธ์ 2) </v>
      </c>
      <c r="D522" s="1"/>
      <c r="E522" s="1"/>
    </row>
    <row r="523">
      <c r="A523" s="1" t="s">
        <v>519</v>
      </c>
      <c r="B523" s="1"/>
      <c r="C523" s="4" t="str">
        <f>HYPERLINK("https://4sq.com/2K8KGB2","No Name ")</f>
        <v>No Name </v>
      </c>
      <c r="D523" s="1"/>
      <c r="E523" s="1"/>
    </row>
    <row r="524">
      <c r="A524" s="1" t="s">
        <v>520</v>
      </c>
      <c r="B524" s="1"/>
      <c r="C524" s="4" t="str">
        <f>HYPERLINK("http://4sq.com/13zS2wT","Omise Co., Ltd. ")</f>
        <v>Omise Co., Ltd. </v>
      </c>
      <c r="D524" s="1"/>
      <c r="E524" s="1"/>
    </row>
    <row r="525">
      <c r="A525" s="1" t="s">
        <v>521</v>
      </c>
      <c r="B525" s="1"/>
      <c r="C525" s="4" t="str">
        <f>HYPERLINK("http://4sq.com/7KI4ge","BTS Phrom Phong (E5) (BTS พร้อมพงษ์) ")</f>
        <v>BTS Phrom Phong (E5) (BTS พร้อมพงษ์) </v>
      </c>
      <c r="D525" s="1"/>
      <c r="E525" s="1"/>
    </row>
    <row r="526">
      <c r="A526" s="1" t="s">
        <v>522</v>
      </c>
      <c r="B526" s="1"/>
      <c r="C526" s="4" t="str">
        <f>HYPERLINK("http://4sq.com/2ciCGeP","Herrity's ")</f>
        <v>Herrity's </v>
      </c>
      <c r="D526" s="1"/>
      <c r="E526" s="1"/>
    </row>
    <row r="527">
      <c r="A527" s="1" t="s">
        <v>523</v>
      </c>
      <c r="B527" s="1"/>
      <c r="C527" s="4" t="str">
        <f>HYPERLINK("http://4sq.com/dzGU3X","Aun's Duck Boiled Rice (ข้าวต้มเป็ดอ้วน) ")</f>
        <v>Aun's Duck Boiled Rice (ข้าวต้มเป็ดอ้วน) </v>
      </c>
      <c r="D527" s="1"/>
      <c r="E527" s="1"/>
    </row>
    <row r="528">
      <c r="A528" s="1" t="s">
        <v>524</v>
      </c>
      <c r="B528" s="1"/>
      <c r="C528" s="4" t="str">
        <f>HYPERLINK("http://4sq.com/fojhDP","สถานสงเคราะห์คนไร้ที่พึ่งหญิง ")</f>
        <v>สถานสงเคราะห์คนไร้ที่พึ่งหญิง </v>
      </c>
      <c r="D528" s="1"/>
      <c r="E528" s="1"/>
    </row>
    <row r="529">
      <c r="A529" s="1" t="s">
        <v>525</v>
      </c>
      <c r="B529" s="1"/>
      <c r="C529" s="4" t="str">
        <f>HYPERLINK("http://4sq.com/cZBYEf","Nittaya Kai Yang (นิตยาไก่ย่าง) ")</f>
        <v>Nittaya Kai Yang (นิตยาไก่ย่าง) </v>
      </c>
      <c r="D529" s="1"/>
      <c r="E529" s="1"/>
    </row>
    <row r="530">
      <c r="A530" s="1" t="s">
        <v>526</v>
      </c>
      <c r="B530" s="1"/>
      <c r="C530" s="4" t="str">
        <f>HYPERLINK("http://4sq.com/1LEHR4M","CentralPlaza WestGate (เซ็นทรัลพลาซา เวสต์เกต) ")</f>
        <v>CentralPlaza WestGate (เซ็นทรัลพลาซา เวสต์เกต) </v>
      </c>
      <c r="D530" s="1"/>
      <c r="E530" s="1"/>
    </row>
    <row r="531">
      <c r="A531" s="1" t="s">
        <v>527</v>
      </c>
      <c r="B531" s="1"/>
      <c r="C531" s="4" t="str">
        <f>HYPERLINK("http://4sq.com/1g1o559","Jones Salad (โจนส์สลัด) ")</f>
        <v>Jones Salad (โจนส์สลัด) </v>
      </c>
      <c r="D531" s="1"/>
      <c r="E531" s="1"/>
    </row>
    <row r="532">
      <c r="A532" s="1" t="s">
        <v>528</v>
      </c>
      <c r="B532" s="1"/>
      <c r="C532" s="4" t="str">
        <f>HYPERLINK("http://4sq.com/24JCy8I","MRT Talad Bang Yai (PP02) (MRT ตลาดบางใหญ่) ")</f>
        <v>MRT Talad Bang Yai (PP02) (MRT ตลาดบางใหญ่) </v>
      </c>
      <c r="D532" s="1"/>
      <c r="E532" s="1"/>
    </row>
    <row r="533">
      <c r="A533" s="1" t="s">
        <v>529</v>
      </c>
      <c r="B533" s="1"/>
      <c r="C533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533" s="1"/>
      <c r="E533" s="1"/>
    </row>
    <row r="534">
      <c r="A534" s="1" t="s">
        <v>530</v>
      </c>
      <c r="B534" s="1"/>
      <c r="C534" s="4" t="str">
        <f>HYPERLINK("https://4sq.com/2xYnr3P","Hanging Garden Cafe ")</f>
        <v>Hanging Garden Cafe </v>
      </c>
      <c r="D534" s="1"/>
      <c r="E534" s="1"/>
    </row>
    <row r="535">
      <c r="A535" s="1" t="s">
        <v>531</v>
      </c>
      <c r="B535" s="1"/>
      <c r="C535" s="4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D535" s="1"/>
      <c r="E535" s="1"/>
    </row>
    <row r="536">
      <c r="A536" s="1" t="s">
        <v>532</v>
      </c>
      <c r="B536" s="1"/>
      <c r="C536" s="4" t="str">
        <f>HYPERLINK("http://4sq.com/1g0sKyQ","Krungsri Bank ")</f>
        <v>Krungsri Bank </v>
      </c>
      <c r="D536" s="1"/>
      <c r="E536" s="1"/>
    </row>
    <row r="537">
      <c r="A537" s="1" t="s">
        <v>533</v>
      </c>
      <c r="B537" s="1"/>
      <c r="C537" s="4" t="str">
        <f>HYPERLINK("http://4sq.com/XiXNjt","Star Avenue Lifestyle Mall (สตาร์ เอวีนิว ไลฟ์สไตล์ มอลล์) ")</f>
        <v>Star Avenue Lifestyle Mall (สตาร์ เอวีนิว ไลฟ์สไตล์ มอลล์) </v>
      </c>
      <c r="D537" s="1"/>
      <c r="E537" s="1"/>
    </row>
    <row r="538">
      <c r="A538" s="1" t="s">
        <v>534</v>
      </c>
      <c r="B538" s="1"/>
      <c r="C538" s="4" t="str">
        <f>HYPERLINK("http://4sq.com/15MH9YQ","TOM N TOMS COFFEE ")</f>
        <v>TOM N TOMS COFFEE </v>
      </c>
      <c r="D538" s="1"/>
      <c r="E538" s="1"/>
    </row>
    <row r="539">
      <c r="A539" s="1" t="s">
        <v>535</v>
      </c>
      <c r="B539" s="1"/>
      <c r="C539" s="4" t="str">
        <f>HYPERLINK("http://4sq.com/23EAhNx","Wrap Master ")</f>
        <v>Wrap Master </v>
      </c>
      <c r="D539" s="1"/>
      <c r="E539" s="1"/>
    </row>
    <row r="540">
      <c r="A540" s="1" t="s">
        <v>536</v>
      </c>
      <c r="B540" s="1"/>
      <c r="C540" s="4" t="str">
        <f>HYPERLINK("http://4sq.com/1LwwIEn","Let It Be ")</f>
        <v>Let It Be </v>
      </c>
      <c r="D540" s="1"/>
      <c r="E540" s="1"/>
    </row>
    <row r="541">
      <c r="A541" s="1" t="s">
        <v>537</v>
      </c>
      <c r="B541" s="1"/>
      <c r="C541" s="4" t="str">
        <f>HYPERLINK("http://4sq.com/1sDwqig","Salad Terrace (สลัดเทอเรส) ")</f>
        <v>Salad Terrace (สลัดเทอเรส) </v>
      </c>
      <c r="D541" s="1"/>
      <c r="E541" s="1"/>
    </row>
    <row r="542">
      <c r="A542" s="1" t="s">
        <v>538</v>
      </c>
      <c r="B542" s="1"/>
      <c r="C542" s="4" t="str">
        <f>HYPERLINK("http://4sq.com/i6Qcfc","Payap Music Academy (สถาบันดนตรี วิทยาลัยดุริยศิลป์) ")</f>
        <v>Payap Music Academy (สถาบันดนตรี วิทยาลัยดุริยศิลป์) </v>
      </c>
      <c r="D542" s="1"/>
      <c r="E542" s="1"/>
    </row>
    <row r="543">
      <c r="A543" s="1" t="s">
        <v>539</v>
      </c>
      <c r="B543" s="1"/>
      <c r="C543" s="4" t="str">
        <f>HYPERLINK("http://4sq.com/9K7ydH","Bake &amp; Bite (เบ๊คแอนด์ไบท์) ")</f>
        <v>Bake &amp; Bite (เบ๊คแอนด์ไบท์) </v>
      </c>
      <c r="D543" s="1"/>
      <c r="E543" s="1"/>
    </row>
    <row r="544">
      <c r="A544" s="1" t="s">
        <v>540</v>
      </c>
      <c r="B544" s="1"/>
      <c r="C544" s="4" t="str">
        <f>HYPERLINK("http://4sq.com/1LwwIEn","Let It Be ")</f>
        <v>Let It Be </v>
      </c>
      <c r="D544" s="1"/>
      <c r="E544" s="1"/>
    </row>
    <row r="545">
      <c r="A545" s="1" t="s">
        <v>541</v>
      </c>
      <c r="B545" s="1"/>
      <c r="C545" s="4" t="str">
        <f>HYPERLINK("http://4sq.com/zYP57p","Mama Mia ")</f>
        <v>Mama Mia </v>
      </c>
      <c r="D545" s="1"/>
      <c r="E545" s="1"/>
    </row>
    <row r="546">
      <c r="A546" s="1" t="s">
        <v>542</v>
      </c>
      <c r="B546" s="1"/>
      <c r="C546" s="4" t="str">
        <f>HYPERLINK("http://4sq.com/ifmErl","PTT (ปตท.) ")</f>
        <v>PTT (ปตท.) </v>
      </c>
      <c r="D546" s="1"/>
      <c r="E546" s="1"/>
    </row>
    <row r="547">
      <c r="A547" s="1" t="s">
        <v>543</v>
      </c>
      <c r="B547" s="1"/>
      <c r="C547" s="4" t="str">
        <f>HYPERLINK("https://4sq.com/2MkRHQH","Grooveyard ")</f>
        <v>Grooveyard </v>
      </c>
      <c r="D547" s="1"/>
      <c r="E547" s="1"/>
    </row>
    <row r="548">
      <c r="A548" s="1" t="s">
        <v>544</v>
      </c>
      <c r="B548" s="1"/>
      <c r="C548" s="4" t="str">
        <f>HYPERLINK("http://4sq.com/hhYbCY","International Check In Counter ")</f>
        <v>International Check In Counter </v>
      </c>
      <c r="D548" s="1"/>
      <c r="E548" s="1"/>
    </row>
    <row r="549">
      <c r="A549" s="1" t="s">
        <v>545</v>
      </c>
      <c r="B549" s="1"/>
      <c r="C549" s="4" t="str">
        <f>HYPERLINK("http://4sq.com/5pc0U0","Hong Kong International Airport (HKG) (香港國際機場) ")</f>
        <v>Hong Kong International Airport (HKG) (香港國際機場) </v>
      </c>
      <c r="D549" s="1"/>
      <c r="E549" s="1"/>
    </row>
    <row r="550">
      <c r="A550" s="1" t="s">
        <v>546</v>
      </c>
      <c r="B550" s="1"/>
      <c r="C550" s="4" t="str">
        <f>HYPERLINK("http://4sq.com/bcGmeg","Shari's Cafe and Pies ")</f>
        <v>Shari's Cafe and Pies </v>
      </c>
      <c r="D550" s="1"/>
      <c r="E550" s="1"/>
    </row>
    <row r="551">
      <c r="A551" s="1" t="s">
        <v>547</v>
      </c>
      <c r="B551" s="1"/>
      <c r="C551" s="4" t="str">
        <f>HYPERLINK("http://4sq.com/61dhTS","Safeway ")</f>
        <v>Safeway </v>
      </c>
      <c r="D551" s="1"/>
      <c r="E551" s="1"/>
    </row>
    <row r="552">
      <c r="A552" s="1" t="s">
        <v>548</v>
      </c>
      <c r="B552" s="1"/>
      <c r="C552" s="4" t="str">
        <f>HYPERLINK("http://4sq.com/76RoeL","Target ")</f>
        <v>Target </v>
      </c>
      <c r="D552" s="1"/>
      <c r="E552" s="1"/>
    </row>
    <row r="553">
      <c r="A553" s="1" t="s">
        <v>549</v>
      </c>
      <c r="B553" s="1"/>
      <c r="C553" s="4" t="str">
        <f>HYPERLINK("http://4sq.com/bcGmeg","Shari's Cafe and Pies ")</f>
        <v>Shari's Cafe and Pies </v>
      </c>
      <c r="D553" s="1"/>
      <c r="E553" s="1"/>
    </row>
    <row r="554">
      <c r="A554" s="1" t="s">
        <v>550</v>
      </c>
      <c r="B554" s="1"/>
      <c r="C554" s="4" t="str">
        <f>HYPERLINK("http://4sq.com/b8is0f","Pho Big Bowl ")</f>
        <v>Pho Big Bowl </v>
      </c>
      <c r="D554" s="1"/>
      <c r="E554" s="1"/>
    </row>
    <row r="555">
      <c r="A555" s="1" t="s">
        <v>551</v>
      </c>
      <c r="B555" s="1"/>
      <c r="C555" s="4" t="str">
        <f>HYPERLINK("http://4sq.com/ig2A84","Carl S. English Jr. Botanical Garden ")</f>
        <v>Carl S. English Jr. Botanical Garden </v>
      </c>
      <c r="D555" s="1"/>
      <c r="E555" s="1"/>
    </row>
    <row r="556">
      <c r="A556" s="1" t="s">
        <v>552</v>
      </c>
      <c r="B556" s="1"/>
      <c r="C556" s="4" t="str">
        <f>HYPERLINK("http://4sq.com/5j2DQ6","Hiram M. Chittenden Locks ")</f>
        <v>Hiram M. Chittenden Locks </v>
      </c>
      <c r="D556" s="1"/>
      <c r="E556" s="1"/>
    </row>
    <row r="557">
      <c r="A557" s="1" t="s">
        <v>553</v>
      </c>
      <c r="B557" s="1"/>
      <c r="C557" s="4" t="str">
        <f>HYPERLINK("http://4sq.com/dkSw24","Pizzeria Pulcinella ")</f>
        <v>Pizzeria Pulcinella </v>
      </c>
      <c r="D557" s="1"/>
      <c r="E557" s="1"/>
    </row>
    <row r="558">
      <c r="A558" s="1" t="s">
        <v>554</v>
      </c>
      <c r="B558" s="1"/>
      <c r="C558" s="4" t="str">
        <f>HYPERLINK("http://4sq.com/bUG3e4","Kubota Garden ")</f>
        <v>Kubota Garden </v>
      </c>
      <c r="D558" s="1"/>
      <c r="E558" s="1"/>
    </row>
    <row r="559">
      <c r="A559" s="1" t="s">
        <v>555</v>
      </c>
      <c r="B559" s="1"/>
      <c r="C559" s="4" t="str">
        <f>HYPERLINK("http://4sq.com/kQMAd8","Seward Park Playground ")</f>
        <v>Seward Park Playground </v>
      </c>
      <c r="D559" s="1"/>
      <c r="E559" s="1"/>
    </row>
    <row r="560">
      <c r="A560" s="1" t="s">
        <v>556</v>
      </c>
      <c r="B560" s="1"/>
      <c r="C560" s="4" t="str">
        <f>HYPERLINK("http://4sq.com/1MjjutJ","Phat Loi ")</f>
        <v>Phat Loi </v>
      </c>
      <c r="D560" s="1"/>
      <c r="E560" s="1"/>
    </row>
    <row r="561">
      <c r="A561" s="1" t="s">
        <v>557</v>
      </c>
      <c r="B561" s="1"/>
      <c r="C561" s="4" t="str">
        <f>HYPERLINK("http://4sq.com/8d3yJC","The Museum of Flight ")</f>
        <v>The Museum of Flight </v>
      </c>
      <c r="D561" s="1"/>
      <c r="E561" s="1"/>
    </row>
    <row r="562">
      <c r="A562" s="1" t="s">
        <v>558</v>
      </c>
      <c r="B562" s="1"/>
      <c r="C562" s="4" t="str">
        <f>HYPERLINK("http://4sq.com/9LeWRV","Randy's Restaurant ")</f>
        <v>Randy's Restaurant </v>
      </c>
      <c r="D562" s="1"/>
      <c r="E562" s="1"/>
    </row>
    <row r="563">
      <c r="A563" s="1" t="s">
        <v>559</v>
      </c>
      <c r="B563" s="1"/>
      <c r="C563" s="4" t="str">
        <f>HYPERLINK("http://4sq.com/bUG3e4","Kubota Garden ")</f>
        <v>Kubota Garden </v>
      </c>
      <c r="D563" s="1"/>
      <c r="E563" s="1"/>
    </row>
    <row r="564">
      <c r="A564" s="1" t="s">
        <v>560</v>
      </c>
      <c r="B564" s="1"/>
      <c r="C564" s="4" t="str">
        <f>HYPERLINK("http://4sq.com/caMngS","Flying Pie Pizzeria ")</f>
        <v>Flying Pie Pizzeria </v>
      </c>
      <c r="D564" s="1"/>
      <c r="E564" s="1"/>
    </row>
    <row r="565">
      <c r="A565" s="1" t="s">
        <v>561</v>
      </c>
      <c r="B565" s="1"/>
      <c r="C565" s="4" t="str">
        <f>HYPERLINK("http://4sq.com/dmN5Zz","Poo Poo Point ")</f>
        <v>Poo Poo Point </v>
      </c>
      <c r="D565" s="1"/>
      <c r="E565" s="1"/>
    </row>
    <row r="566">
      <c r="A566" s="1" t="s">
        <v>562</v>
      </c>
      <c r="B566" s="1"/>
      <c r="C566" s="4" t="str">
        <f>HYPERLINK("http://4sq.com/h7jDk4","DICK'S Sporting Goods ")</f>
        <v>DICK'S Sporting Goods </v>
      </c>
      <c r="D566" s="1"/>
      <c r="E566" s="1"/>
    </row>
    <row r="567">
      <c r="A567" s="1" t="s">
        <v>563</v>
      </c>
      <c r="B567" s="1"/>
      <c r="C567" s="4" t="str">
        <f>HYPERLINK("http://4sq.com/2ynKWoI","Nibbana Thai Restaurant ")</f>
        <v>Nibbana Thai Restaurant </v>
      </c>
      <c r="D567" s="1"/>
      <c r="E567" s="1"/>
    </row>
    <row r="568">
      <c r="A568" s="1" t="s">
        <v>564</v>
      </c>
      <c r="B568" s="1"/>
      <c r="C568" s="4" t="str">
        <f>HYPERLINK("http://4sq.com/bwkyo7","AutoZone ")</f>
        <v>AutoZone </v>
      </c>
      <c r="D568" s="1"/>
      <c r="E568" s="1"/>
    </row>
    <row r="569">
      <c r="A569" s="1" t="s">
        <v>565</v>
      </c>
      <c r="B569" s="1"/>
      <c r="C569" s="4" t="str">
        <f>HYPERLINK("http://4sq.com/cGSqyy","76 Station ")</f>
        <v>76 Station </v>
      </c>
      <c r="D569" s="1"/>
      <c r="E569" s="1"/>
    </row>
    <row r="570">
      <c r="A570" s="1" t="s">
        <v>566</v>
      </c>
      <c r="B570" s="1"/>
      <c r="C570" s="4" t="str">
        <f>HYPERLINK("http://4sq.com/awhV3R","Mount St. Helens Visitor Center ")</f>
        <v>Mount St. Helens Visitor Center </v>
      </c>
      <c r="D570" s="1"/>
      <c r="E570" s="1"/>
    </row>
    <row r="571">
      <c r="A571" s="1" t="s">
        <v>567</v>
      </c>
      <c r="B571" s="1"/>
      <c r="C571" s="4" t="str">
        <f>HYPERLINK("https://4sq.com/2KnNWZB","Castle Lake Viewpoint ")</f>
        <v>Castle Lake Viewpoint </v>
      </c>
      <c r="D571" s="1"/>
      <c r="E571" s="1"/>
    </row>
    <row r="572">
      <c r="A572" s="1" t="s">
        <v>568</v>
      </c>
      <c r="B572" s="1"/>
      <c r="C572" s="4" t="str">
        <f>HYPERLINK("http://4sq.com/8zPwv5","Fort George Brewery &amp; Public House ")</f>
        <v>Fort George Brewery &amp; Public House </v>
      </c>
      <c r="D572" s="1"/>
      <c r="E572" s="1"/>
    </row>
    <row r="573">
      <c r="A573" s="1" t="s">
        <v>569</v>
      </c>
      <c r="B573" s="1"/>
      <c r="C573" s="4" t="str">
        <f>HYPERLINK("http://4sq.com/L9yDKo","Astoria Riverwalk Inn ")</f>
        <v>Astoria Riverwalk Inn </v>
      </c>
      <c r="D573" s="1"/>
      <c r="E573" s="1"/>
    </row>
    <row r="574">
      <c r="A574" s="1" t="s">
        <v>570</v>
      </c>
      <c r="B574" s="1"/>
      <c r="C574" s="4" t="str">
        <f>HYPERLINK("http://4sq.com/d46AbI","Bridgewater Bistro ")</f>
        <v>Bridgewater Bistro </v>
      </c>
      <c r="D574" s="1"/>
      <c r="E574" s="1"/>
    </row>
    <row r="575">
      <c r="A575" s="1" t="s">
        <v>571</v>
      </c>
      <c r="B575" s="1"/>
      <c r="C575" s="4" t="str">
        <f>HYPERLINK("http://4sq.com/Ks7dSa","Lewis &amp; Clark National Historical Park ")</f>
        <v>Lewis &amp; Clark National Historical Park </v>
      </c>
      <c r="D575" s="1"/>
      <c r="E575" s="1"/>
    </row>
    <row r="576">
      <c r="A576" s="1" t="s">
        <v>572</v>
      </c>
      <c r="B576" s="1"/>
      <c r="C576" s="4" t="str">
        <f>HYPERLINK("https://4sq.com/2KNMZJ7","Kendra’s Kitchen ")</f>
        <v>Kendra’s Kitchen </v>
      </c>
      <c r="D576" s="1"/>
      <c r="E576" s="1"/>
    </row>
    <row r="577">
      <c r="A577" s="1" t="s">
        <v>573</v>
      </c>
      <c r="B577" s="1"/>
      <c r="C577" s="4" t="str">
        <f>HYPERLINK("http://4sq.com/dqEw1O","Unfurl ")</f>
        <v>Unfurl </v>
      </c>
      <c r="D577" s="1"/>
      <c r="E577" s="1"/>
    </row>
    <row r="578">
      <c r="A578" s="1" t="s">
        <v>574</v>
      </c>
      <c r="B578" s="1"/>
      <c r="C578" s="4" t="str">
        <f>HYPERLINK("http://4sq.com/95rGkH","Summit Food Court ")</f>
        <v>Summit Food Court </v>
      </c>
      <c r="D578" s="1"/>
      <c r="E578" s="1"/>
    </row>
    <row r="579">
      <c r="A579" s="1" t="s">
        <v>575</v>
      </c>
      <c r="B579" s="1"/>
      <c r="C579" s="4" t="str">
        <f>HYPERLINK("http://4sq.com/aSjz38","The LEGO Store ")</f>
        <v>The LEGO Store </v>
      </c>
      <c r="D579" s="1"/>
      <c r="E579" s="1"/>
    </row>
    <row r="580">
      <c r="A580" s="1" t="s">
        <v>576</v>
      </c>
      <c r="B580" s="1"/>
      <c r="C580" s="4" t="str">
        <f>HYPERLINK("http://4sq.com/8jPjWR","Apple Pioneer Place ")</f>
        <v>Apple Pioneer Place </v>
      </c>
      <c r="D580" s="1"/>
      <c r="E580" s="1"/>
    </row>
    <row r="581">
      <c r="A581" s="1" t="s">
        <v>577</v>
      </c>
      <c r="B581" s="1"/>
      <c r="C581" s="4" t="str">
        <f>HYPERLINK("http://4sq.com/8taRsw","Fuller's Coffee Shop ")</f>
        <v>Fuller's Coffee Shop </v>
      </c>
      <c r="D581" s="1"/>
      <c r="E581" s="1"/>
    </row>
    <row r="582">
      <c r="A582" s="1" t="s">
        <v>578</v>
      </c>
      <c r="B582" s="1"/>
      <c r="C582" s="4" t="str">
        <f>HYPERLINK("http://4sq.com/2u9dvC","Powell's City of Books ")</f>
        <v>Powell's City of Books </v>
      </c>
      <c r="D582" s="1"/>
      <c r="E582" s="1"/>
    </row>
    <row r="583">
      <c r="A583" s="1" t="s">
        <v>579</v>
      </c>
      <c r="B583" s="1"/>
      <c r="C583" s="4" t="str">
        <f>HYPERLINK("http://4sq.com/2rW47jz","Powell's Books Rose Room ")</f>
        <v>Powell's Books Rose Room </v>
      </c>
      <c r="D583" s="1"/>
      <c r="E583" s="1"/>
    </row>
    <row r="584">
      <c r="A584" s="1" t="s">
        <v>580</v>
      </c>
      <c r="B584" s="1"/>
      <c r="C584" s="4" t="str">
        <f>HYPERLINK("http://4sq.com/4TRI5G","Buffalo Exchange ")</f>
        <v>Buffalo Exchange </v>
      </c>
      <c r="D584" s="1"/>
      <c r="E584" s="1"/>
    </row>
    <row r="585">
      <c r="A585" s="1" t="s">
        <v>581</v>
      </c>
      <c r="B585" s="1"/>
      <c r="C585" s="4" t="str">
        <f>HYPERLINK("http://4sq.com/2bC0aKN","Butterfly Belly Asian Cuisine ")</f>
        <v>Butterfly Belly Asian Cuisine </v>
      </c>
      <c r="D585" s="1"/>
      <c r="E585" s="1"/>
    </row>
    <row r="586">
      <c r="A586" s="1" t="s">
        <v>582</v>
      </c>
      <c r="B586" s="1"/>
      <c r="C586" s="4" t="str">
        <f>HYPERLINK("http://4sq.com/2uGU4Ec","Starbucks ")</f>
        <v>Starbucks </v>
      </c>
      <c r="D586" s="1"/>
      <c r="E586" s="1"/>
    </row>
    <row r="587">
      <c r="A587" s="1" t="s">
        <v>583</v>
      </c>
      <c r="B587" s="1"/>
      <c r="C587" s="4" t="str">
        <f>HYPERLINK("http://4sq.com/m85CXL","Burlingame Park ")</f>
        <v>Burlingame Park </v>
      </c>
      <c r="D587" s="1"/>
      <c r="E587" s="1"/>
    </row>
    <row r="588">
      <c r="A588" s="1" t="s">
        <v>584</v>
      </c>
      <c r="B588" s="1"/>
      <c r="C588" s="4" t="str">
        <f>HYPERLINK("http://4sq.com/cZn3fj","Daily Cafe - OHSU ")</f>
        <v>Daily Cafe - OHSU </v>
      </c>
      <c r="D588" s="1"/>
      <c r="E588" s="1"/>
    </row>
    <row r="589">
      <c r="A589" s="1" t="s">
        <v>585</v>
      </c>
      <c r="B589" s="1"/>
      <c r="C589" s="4" t="str">
        <f>HYPERLINK("http://4sq.com/6WjKUa","Portland Aerial Tram - Lower Terminal ")</f>
        <v>Portland Aerial Tram - Lower Terminal </v>
      </c>
      <c r="D589" s="1"/>
      <c r="E589" s="1"/>
    </row>
    <row r="590">
      <c r="A590" s="1" t="s">
        <v>586</v>
      </c>
      <c r="B590" s="1"/>
      <c r="C590" s="4" t="str">
        <f t="shared" ref="C590:C591" si="5">HYPERLINK("http://4sq.com/7mKgYv","Elizabeth Caruthers Park ")</f>
        <v>Elizabeth Caruthers Park </v>
      </c>
      <c r="D590" s="1"/>
      <c r="E590" s="1"/>
    </row>
    <row r="591">
      <c r="A591" s="1" t="s">
        <v>587</v>
      </c>
      <c r="B591" s="1"/>
      <c r="C591" s="4" t="str">
        <f t="shared" si="5"/>
        <v>Elizabeth Caruthers Park </v>
      </c>
      <c r="D591" s="1"/>
      <c r="E591" s="1"/>
    </row>
    <row r="592">
      <c r="A592" s="1" t="s">
        <v>588</v>
      </c>
      <c r="B592" s="1"/>
      <c r="C592" s="4" t="str">
        <f>HYPERLINK("http://4sq.com/99ZGRJ","Hoodland Thriftway ")</f>
        <v>Hoodland Thriftway </v>
      </c>
      <c r="D592" s="1"/>
      <c r="E592" s="1"/>
    </row>
    <row r="593">
      <c r="A593" s="1" t="s">
        <v>589</v>
      </c>
      <c r="B593" s="1"/>
      <c r="C593" s="4" t="str">
        <f>HYPERLINK("http://4sq.com/c1B1gd","Trillium Lake ")</f>
        <v>Trillium Lake </v>
      </c>
      <c r="D593" s="1"/>
      <c r="E593" s="1"/>
    </row>
    <row r="594">
      <c r="A594" s="1" t="s">
        <v>590</v>
      </c>
      <c r="B594" s="1"/>
      <c r="C594" s="4" t="str">
        <f>HYPERLINK("http://4sq.com/19GSnTc","Trillium Lake Boat Launch ")</f>
        <v>Trillium Lake Boat Launch </v>
      </c>
      <c r="D594" s="1"/>
      <c r="E594" s="1"/>
    </row>
    <row r="595">
      <c r="A595" s="1" t="s">
        <v>591</v>
      </c>
      <c r="B595" s="1"/>
      <c r="C595" s="4" t="str">
        <f>HYPERLINK("http://4sq.com/JCZXAN","Little Zig Zag Falls ")</f>
        <v>Little Zig Zag Falls </v>
      </c>
      <c r="D595" s="1"/>
      <c r="E595" s="1"/>
    </row>
    <row r="596">
      <c r="A596" s="1" t="s">
        <v>592</v>
      </c>
      <c r="B596" s="1"/>
      <c r="C596" s="4" t="str">
        <f>HYPERLINK("http://4sq.com/d0TZiU","Mt. Hood Skibowl ")</f>
        <v>Mt. Hood Skibowl </v>
      </c>
      <c r="D596" s="1"/>
      <c r="E596" s="1"/>
    </row>
    <row r="597">
      <c r="A597" s="1" t="s">
        <v>593</v>
      </c>
      <c r="B597" s="1"/>
      <c r="C597" s="4" t="str">
        <f>HYPERLINK("http://4sq.com/XkMbvb","Chevron ")</f>
        <v>Chevron </v>
      </c>
      <c r="D597" s="1"/>
      <c r="E597" s="1"/>
    </row>
    <row r="598">
      <c r="A598" s="1" t="s">
        <v>594</v>
      </c>
      <c r="B598" s="1"/>
      <c r="C598" s="4" t="str">
        <f>HYPERLINK("http://4sq.com/jjWlIx","Mount Hood ")</f>
        <v>Mount Hood </v>
      </c>
      <c r="D598" s="1"/>
      <c r="E598" s="1"/>
    </row>
    <row r="599">
      <c r="A599" s="1" t="s">
        <v>595</v>
      </c>
      <c r="B599" s="1"/>
      <c r="C599" s="4" t="str">
        <f>HYPERLINK("http://4sq.com/4XUB8y","Timberline Lodge ")</f>
        <v>Timberline Lodge </v>
      </c>
      <c r="D599" s="1"/>
      <c r="E599" s="1"/>
    </row>
    <row r="600">
      <c r="A600" s="1" t="s">
        <v>596</v>
      </c>
      <c r="B600" s="1"/>
      <c r="C600" s="4" t="str">
        <f>HYPERLINK("http://4sq.com/gBvkkY","Blue Ox Bar ")</f>
        <v>Blue Ox Bar </v>
      </c>
      <c r="D600" s="1"/>
      <c r="E600" s="1"/>
    </row>
    <row r="601">
      <c r="A601" s="1" t="s">
        <v>597</v>
      </c>
      <c r="B601" s="1"/>
      <c r="C601" s="4" t="str">
        <f>HYPERLINK("http://4sq.com/by7R30","Draper Girls Country Farm ")</f>
        <v>Draper Girls Country Farm </v>
      </c>
      <c r="D601" s="1"/>
      <c r="E601" s="1"/>
    </row>
    <row r="602">
      <c r="A602" s="1" t="s">
        <v>598</v>
      </c>
      <c r="B602" s="1"/>
      <c r="C602" s="4" t="str">
        <f>HYPERLINK("http://4sq.com/abE0Ai","Hood River Hotel ")</f>
        <v>Hood River Hotel </v>
      </c>
      <c r="D602" s="1"/>
      <c r="E602" s="1"/>
    </row>
    <row r="603">
      <c r="A603" s="1" t="s">
        <v>599</v>
      </c>
      <c r="B603" s="1"/>
      <c r="C603" s="4" t="str">
        <f>HYPERLINK("http://4sq.com/cFsFnX","Solstice Wood Fire Cafe ")</f>
        <v>Solstice Wood Fire Cafe </v>
      </c>
      <c r="D603" s="1"/>
      <c r="E603" s="1"/>
    </row>
    <row r="604">
      <c r="A604" s="1" t="s">
        <v>600</v>
      </c>
      <c r="B604" s="1"/>
      <c r="C604" s="4" t="str">
        <f>HYPERLINK("http://4sq.com/cRF6xg","Jackson Park ")</f>
        <v>Jackson Park </v>
      </c>
      <c r="D604" s="1"/>
      <c r="E604" s="1"/>
    </row>
    <row r="605">
      <c r="A605" s="1" t="s">
        <v>601</v>
      </c>
      <c r="B605" s="1"/>
      <c r="C605" s="4" t="str">
        <f>HYPERLINK("http://4sq.com/a9Emcq","Children's Park ")</f>
        <v>Children's Park </v>
      </c>
      <c r="D605" s="1"/>
      <c r="E605" s="1"/>
    </row>
    <row r="606">
      <c r="A606" s="1" t="s">
        <v>602</v>
      </c>
      <c r="B606" s="1"/>
      <c r="C606" s="4" t="str">
        <f>HYPERLINK("http://4sq.com/MtW0D7","Feast Natural Market &amp; Deli ")</f>
        <v>Feast Natural Market &amp; Deli </v>
      </c>
      <c r="D606" s="1"/>
      <c r="E606" s="1"/>
    </row>
    <row r="607">
      <c r="A607" s="1" t="s">
        <v>603</v>
      </c>
      <c r="B607" s="1"/>
      <c r="C607" s="4" t="str">
        <f>HYPERLINK("http://4sq.com/aYtHOo","Rowena Crest ")</f>
        <v>Rowena Crest </v>
      </c>
      <c r="D607" s="1"/>
      <c r="E607" s="1"/>
    </row>
    <row r="608">
      <c r="A608" s="1" t="s">
        <v>604</v>
      </c>
      <c r="B608" s="1"/>
      <c r="C608" s="4" t="str">
        <f>HYPERLINK("http://4sq.com/bnP5Bi","A &amp; J Select Market ")</f>
        <v>A &amp; J Select Market </v>
      </c>
      <c r="D608" s="1"/>
      <c r="E608" s="1"/>
    </row>
    <row r="609">
      <c r="A609" s="1" t="s">
        <v>605</v>
      </c>
      <c r="B609" s="1"/>
      <c r="C609" s="4" t="str">
        <f>HYPERLINK("http://4sq.com/2ayXNKT","Skamania Lodge ")</f>
        <v>Skamania Lodge </v>
      </c>
      <c r="D609" s="1"/>
      <c r="E609" s="1"/>
    </row>
    <row r="610">
      <c r="A610" s="1" t="s">
        <v>606</v>
      </c>
      <c r="B610" s="1"/>
      <c r="C610" s="4" t="str">
        <f>HYPERLINK("http://4sq.com/8f7czk","East Wind Drive-in ")</f>
        <v>East Wind Drive-in </v>
      </c>
      <c r="D610" s="1"/>
      <c r="E610" s="1"/>
    </row>
    <row r="611">
      <c r="A611" s="1" t="s">
        <v>607</v>
      </c>
      <c r="B611" s="1"/>
      <c r="C611" s="4" t="str">
        <f>HYPERLINK("http://4sq.com/bkg1PT","Stevenson Landing ")</f>
        <v>Stevenson Landing </v>
      </c>
      <c r="D611" s="1"/>
      <c r="E611" s="1"/>
    </row>
    <row r="612">
      <c r="A612" s="1" t="s">
        <v>608</v>
      </c>
      <c r="B612" s="1"/>
      <c r="C612" s="4" t="str">
        <f>HYPERLINK("http://4sq.com/aP3Fv0","Bridge of the Gods ")</f>
        <v>Bridge of the Gods </v>
      </c>
      <c r="D612" s="1"/>
      <c r="E612" s="1"/>
    </row>
    <row r="613">
      <c r="A613" s="1" t="s">
        <v>609</v>
      </c>
      <c r="B613" s="1"/>
      <c r="C613" s="4" t="str">
        <f>HYPERLINK("http://4sq.com/GYlsMZ","Multnomah Falls ")</f>
        <v>Multnomah Falls </v>
      </c>
      <c r="D613" s="1"/>
      <c r="E613" s="1"/>
    </row>
    <row r="614">
      <c r="A614" s="1" t="s">
        <v>610</v>
      </c>
      <c r="B614" s="1"/>
      <c r="C614" s="4" t="str">
        <f>HYPERLINK("http://4sq.com/cyYsak","Craft Warehouse ")</f>
        <v>Craft Warehouse </v>
      </c>
      <c r="D614" s="1"/>
      <c r="E614" s="1"/>
    </row>
    <row r="615">
      <c r="A615" s="1" t="s">
        <v>611</v>
      </c>
      <c r="B615" s="1"/>
      <c r="C615" s="4" t="str">
        <f>HYPERLINK("http://4sq.com/7uVgRD","Pok Pok ")</f>
        <v>Pok Pok </v>
      </c>
      <c r="D615" s="1"/>
      <c r="E615" s="1"/>
    </row>
    <row r="616">
      <c r="A616" s="1" t="s">
        <v>612</v>
      </c>
      <c r="B616" s="1"/>
      <c r="C616" s="4" t="str">
        <f>HYPERLINK("http://4sq.com/P5MJRD","Tesla Motors ")</f>
        <v>Tesla Motors </v>
      </c>
      <c r="D616" s="1"/>
      <c r="E616" s="1"/>
    </row>
    <row r="617">
      <c r="A617" s="1" t="s">
        <v>613</v>
      </c>
      <c r="B617" s="1"/>
      <c r="C617" s="4" t="str">
        <f>HYPERLINK("https://4sq.com/2UPUvIU","Boca Grande ")</f>
        <v>Boca Grande </v>
      </c>
      <c r="D617" s="1"/>
      <c r="E617" s="1"/>
    </row>
    <row r="618">
      <c r="A618" s="1" t="s">
        <v>614</v>
      </c>
      <c r="B618" s="1"/>
      <c r="C618" s="4" t="str">
        <f>HYPERLINK("http://4sq.com/1Rbtmpj","Basilisk ")</f>
        <v>Basilisk </v>
      </c>
      <c r="D618" s="1"/>
      <c r="E618" s="1"/>
    </row>
    <row r="619">
      <c r="A619" s="1" t="s">
        <v>615</v>
      </c>
      <c r="B619" s="1"/>
      <c r="C619" s="4" t="str">
        <f>HYPERLINK("http://4sq.com/LEr7qU","Salt &amp; Straw ")</f>
        <v>Salt &amp; Straw </v>
      </c>
      <c r="D619" s="1"/>
      <c r="E619" s="1"/>
    </row>
    <row r="620">
      <c r="A620" s="1" t="s">
        <v>616</v>
      </c>
      <c r="B620" s="1"/>
      <c r="C620" s="4" t="str">
        <f>HYPERLINK("http://4sq.com/QH3ypg","ARCO ")</f>
        <v>ARCO </v>
      </c>
      <c r="D620" s="1"/>
      <c r="E620" s="1"/>
    </row>
    <row r="621">
      <c r="A621" s="1" t="s">
        <v>617</v>
      </c>
      <c r="B621" s="1"/>
      <c r="C621" s="4" t="str">
        <f>HYPERLINK("http://4sq.com/aUZDpM","Papa Pete's Pizza ")</f>
        <v>Papa Pete's Pizza </v>
      </c>
      <c r="D621" s="1"/>
      <c r="E621" s="1"/>
    </row>
    <row r="622">
      <c r="A622" s="1" t="s">
        <v>618</v>
      </c>
      <c r="B622" s="1"/>
      <c r="C622" s="4" t="str">
        <f>HYPERLINK("http://4sq.com/d91HEu","Nike Factory Store ")</f>
        <v>Nike Factory Store </v>
      </c>
      <c r="D622" s="1"/>
      <c r="E622" s="1"/>
    </row>
    <row r="623">
      <c r="A623" s="1" t="s">
        <v>619</v>
      </c>
      <c r="B623" s="1"/>
      <c r="C623" s="4" t="str">
        <f>HYPERLINK("http://4sq.com/SBR9hN","Coach Factory Outlet ")</f>
        <v>Coach Factory Outlet </v>
      </c>
      <c r="D623" s="1"/>
      <c r="E623" s="1"/>
    </row>
    <row r="624">
      <c r="A624" s="1" t="s">
        <v>620</v>
      </c>
      <c r="B624" s="1"/>
      <c r="C624" s="4" t="str">
        <f>HYPERLINK("http://4sq.com/5VFIWp","Courtyard by Marriott Seattle Bellevue/Redmond ")</f>
        <v>Courtyard by Marriott Seattle Bellevue/Redmond </v>
      </c>
      <c r="D624" s="1"/>
      <c r="E624" s="1"/>
    </row>
    <row r="625">
      <c r="A625" s="1" t="s">
        <v>621</v>
      </c>
      <c r="B625" s="1"/>
      <c r="C625" s="4" t="str">
        <f>HYPERLINK("http://4sq.com/c6VkgL","Marriott Courtyard - Lobby ")</f>
        <v>Marriott Courtyard - Lobby </v>
      </c>
      <c r="D625" s="1"/>
      <c r="E625" s="1"/>
    </row>
    <row r="626">
      <c r="A626" s="1" t="s">
        <v>622</v>
      </c>
      <c r="B626" s="1"/>
      <c r="C626" s="4" t="str">
        <f>HYPERLINK("http://4sq.com/2h6ykb8","Global Innovation Exchange (GIX) ")</f>
        <v>Global Innovation Exchange (GIX) </v>
      </c>
      <c r="D626" s="1"/>
      <c r="E626" s="1"/>
    </row>
    <row r="627">
      <c r="A627" s="1" t="s">
        <v>623</v>
      </c>
      <c r="B627" s="1"/>
      <c r="C627" s="4" t="str">
        <f>HYPERLINK("http://4sq.com/2sSysCk","Inspiration Playground ")</f>
        <v>Inspiration Playground </v>
      </c>
      <c r="D627" s="1"/>
      <c r="E627" s="1"/>
    </row>
    <row r="628">
      <c r="A628" s="1" t="s">
        <v>624</v>
      </c>
      <c r="B628" s="1"/>
      <c r="C628" s="4" t="str">
        <f>HYPERLINK("http://4sq.com/5SNkcQ","Peace Arch Border Crossing ")</f>
        <v>Peace Arch Border Crossing </v>
      </c>
      <c r="D628" s="1"/>
      <c r="E628" s="1"/>
    </row>
    <row r="629">
      <c r="A629" s="1" t="s">
        <v>625</v>
      </c>
      <c r="B629" s="1"/>
      <c r="C629" s="4" t="str">
        <f>HYPERLINK("http://4sq.com/cul7fY","A&amp;W Canada ")</f>
        <v>A&amp;W Canada </v>
      </c>
      <c r="D629" s="1"/>
      <c r="E629" s="1"/>
    </row>
    <row r="630">
      <c r="A630" s="1" t="s">
        <v>626</v>
      </c>
      <c r="B630" s="1"/>
      <c r="C630" s="4" t="str">
        <f>HYPERLINK("http://4sq.com/1p6N9HM","Kitsilano Yacht Club ")</f>
        <v>Kitsilano Yacht Club </v>
      </c>
      <c r="D630" s="1"/>
      <c r="E630" s="1"/>
    </row>
    <row r="631">
      <c r="A631" s="1" t="s">
        <v>627</v>
      </c>
      <c r="B631" s="1"/>
      <c r="C631" s="4" t="str">
        <f>HYPERLINK("http://4sq.com/19Wzwms","Kitsilano Seawall ")</f>
        <v>Kitsilano Seawall </v>
      </c>
      <c r="D631" s="1"/>
      <c r="E631" s="1"/>
    </row>
    <row r="632">
      <c r="A632" s="1" t="s">
        <v>628</v>
      </c>
      <c r="B632" s="1"/>
      <c r="C632" s="4" t="str">
        <f>HYPERLINK("https://4sq.com/2Af3EyT","Mintage Mall ")</f>
        <v>Mintage Mall </v>
      </c>
      <c r="D632" s="1"/>
      <c r="E632" s="1"/>
    </row>
    <row r="633">
      <c r="A633" s="1" t="s">
        <v>629</v>
      </c>
      <c r="B633" s="1"/>
      <c r="C633" s="4" t="str">
        <f>HYPERLINK("http://4sq.com/2pDUvIq","Marine Park Playground ")</f>
        <v>Marine Park Playground </v>
      </c>
      <c r="D633" s="1"/>
      <c r="E633" s="1"/>
    </row>
    <row r="634">
      <c r="A634" s="1" t="s">
        <v>630</v>
      </c>
      <c r="B634" s="1"/>
      <c r="C634" s="4" t="str">
        <f>HYPERLINK("http://4sq.com/9UtUNO","Birch Bay State Park ")</f>
        <v>Birch Bay State Park </v>
      </c>
      <c r="D634" s="1"/>
      <c r="E634" s="1"/>
    </row>
    <row r="635">
      <c r="A635" s="1" t="s">
        <v>631</v>
      </c>
      <c r="B635" s="1"/>
      <c r="C635" s="4" t="str">
        <f>HYPERLINK("http://4sq.com/8zP1pz","Olive Garden ")</f>
        <v>Olive Garden </v>
      </c>
      <c r="D635" s="1"/>
      <c r="E635" s="1"/>
    </row>
    <row r="636">
      <c r="A636" s="1" t="s">
        <v>632</v>
      </c>
      <c r="B636" s="1"/>
      <c r="C636" s="4" t="str">
        <f>HYPERLINK("http://4sq.com/bDxEzj","Spark Museum of Electrical Invention ")</f>
        <v>Spark Museum of Electrical Invention </v>
      </c>
      <c r="D636" s="1"/>
      <c r="E636" s="1"/>
    </row>
    <row r="637">
      <c r="A637" s="1" t="s">
        <v>633</v>
      </c>
      <c r="B637" s="1"/>
      <c r="C637" s="4" t="str">
        <f>HYPERLINK("http://4sq.com/nd9S0d","Starvin' Sam's 76 ")</f>
        <v>Starvin' Sam's 76 </v>
      </c>
      <c r="D637" s="1"/>
      <c r="E637" s="1"/>
    </row>
    <row r="638">
      <c r="A638" s="1" t="s">
        <v>634</v>
      </c>
      <c r="B638" s="1"/>
      <c r="C638" s="4" t="str">
        <f>HYPERLINK("http://4sq.com/c6lkmB","Slough foods ")</f>
        <v>Slough foods </v>
      </c>
      <c r="D638" s="1"/>
      <c r="E638" s="1"/>
    </row>
    <row r="639">
      <c r="A639" s="1" t="s">
        <v>635</v>
      </c>
      <c r="B639" s="1"/>
      <c r="C639" s="4" t="str">
        <f>HYPERLINK("http://4sq.com/bydes5","City of Bothell ")</f>
        <v>City of Bothell </v>
      </c>
      <c r="D639" s="1"/>
      <c r="E639" s="1"/>
    </row>
    <row r="640">
      <c r="A640" s="1" t="s">
        <v>636</v>
      </c>
      <c r="B640" s="1"/>
      <c r="C640" s="4" t="str">
        <f>HYPERLINK("http://4sq.com/2h5iIc2","Chick-fil-A ")</f>
        <v>Chick-fil-A </v>
      </c>
      <c r="D640" s="1"/>
      <c r="E640" s="1"/>
    </row>
    <row r="641">
      <c r="A641" s="1" t="s">
        <v>637</v>
      </c>
      <c r="B641" s="1"/>
      <c r="C641" s="4" t="str">
        <f>HYPERLINK("http://4sq.com/1Wbqf69","MOD Pizza ")</f>
        <v>MOD Pizza </v>
      </c>
      <c r="D641" s="1"/>
      <c r="E641" s="1"/>
    </row>
    <row r="642">
      <c r="A642" s="1" t="s">
        <v>638</v>
      </c>
      <c r="B642" s="1"/>
      <c r="C642" s="4" t="str">
        <f>HYPERLINK("http://4sq.com/zEXgUG","Ballard Coffee Works ")</f>
        <v>Ballard Coffee Works </v>
      </c>
      <c r="D642" s="1"/>
      <c r="E642" s="1"/>
    </row>
    <row r="643">
      <c r="A643" s="1" t="s">
        <v>639</v>
      </c>
      <c r="B643" s="1"/>
      <c r="C643" s="4" t="str">
        <f>HYPERLINK("http://4sq.com/dDtBhc","Seattle Public Library - Ballard Branch ")</f>
        <v>Seattle Public Library - Ballard Branch </v>
      </c>
      <c r="D643" s="1"/>
      <c r="E643" s="1"/>
    </row>
    <row r="644">
      <c r="A644" s="1" t="s">
        <v>640</v>
      </c>
      <c r="B644" s="1"/>
      <c r="C644" s="4" t="str">
        <f>HYPERLINK("http://4sq.com/WY7LXt","Itadakimasu ")</f>
        <v>Itadakimasu </v>
      </c>
      <c r="D644" s="1"/>
      <c r="E644" s="1"/>
    </row>
    <row r="645">
      <c r="A645" s="1" t="s">
        <v>641</v>
      </c>
      <c r="B645" s="1"/>
      <c r="C645" s="4" t="str">
        <f>HYPERLINK("http://4sq.com/c3UJ3J","Salmon Bay Park ")</f>
        <v>Salmon Bay Park </v>
      </c>
      <c r="D645" s="1"/>
      <c r="E645" s="1"/>
    </row>
    <row r="646">
      <c r="A646" s="1" t="s">
        <v>642</v>
      </c>
      <c r="B646" s="1"/>
      <c r="C646" s="4" t="str">
        <f>HYPERLINK("http://4sq.com/zEXgUG","Ballard Coffee Works ")</f>
        <v>Ballard Coffee Works </v>
      </c>
      <c r="D646" s="1"/>
      <c r="E646" s="1"/>
    </row>
    <row r="647">
      <c r="A647" s="1" t="s">
        <v>643</v>
      </c>
      <c r="B647" s="1"/>
      <c r="C647" s="4" t="str">
        <f>HYPERLINK("http://4sq.com/1MJK4Z5","Shelter Lounge ")</f>
        <v>Shelter Lounge </v>
      </c>
      <c r="D647" s="1"/>
      <c r="E647" s="1"/>
    </row>
    <row r="648">
      <c r="A648" s="1" t="s">
        <v>644</v>
      </c>
      <c r="B648" s="1"/>
      <c r="C648" s="4" t="str">
        <f>HYPERLINK("http://4sq.com/dDtBhc","Seattle Public Library - Ballard Branch ")</f>
        <v>Seattle Public Library - Ballard Branch </v>
      </c>
      <c r="D648" s="1"/>
      <c r="E648" s="1"/>
    </row>
    <row r="649">
      <c r="A649" s="1" t="s">
        <v>645</v>
      </c>
      <c r="B649" s="1"/>
      <c r="C649" s="4" t="str">
        <f>HYPERLINK("http://4sq.com/1UHUpuS","Arashi Ramen ")</f>
        <v>Arashi Ramen </v>
      </c>
      <c r="D649" s="1"/>
      <c r="E649" s="1"/>
    </row>
    <row r="650">
      <c r="A650" s="1" t="s">
        <v>646</v>
      </c>
      <c r="B650" s="1"/>
      <c r="C650" s="4" t="str">
        <f>HYPERLINK("http://4sq.com/2e8x1KX","Street Bean Espresso ")</f>
        <v>Street Bean Espresso </v>
      </c>
      <c r="D650" s="1"/>
      <c r="E650" s="1"/>
    </row>
    <row r="651">
      <c r="A651" s="1" t="s">
        <v>647</v>
      </c>
      <c r="B651" s="1"/>
      <c r="C651" s="4" t="str">
        <f>HYPERLINK("http://4sq.com/abC5oa","Seattle Public Library - University Branch ")</f>
        <v>Seattle Public Library - University Branch </v>
      </c>
      <c r="D651" s="1"/>
      <c r="E651" s="1"/>
    </row>
    <row r="652">
      <c r="A652" s="1" t="s">
        <v>648</v>
      </c>
      <c r="B652" s="1"/>
      <c r="C652" s="4" t="str">
        <f>HYPERLINK("http://4sq.com/4MZlnM","Thai Tom ")</f>
        <v>Thai Tom </v>
      </c>
      <c r="D652" s="1"/>
      <c r="E652" s="1"/>
    </row>
    <row r="653">
      <c r="A653" s="1" t="s">
        <v>649</v>
      </c>
      <c r="B653" s="1"/>
      <c r="C653" s="4" t="str">
        <f>HYPERLINK("http://4sq.com/1hC1dT6","uBreakiFix ")</f>
        <v>uBreakiFix </v>
      </c>
      <c r="D653" s="1"/>
      <c r="E653" s="1"/>
    </row>
    <row r="654">
      <c r="A654" s="1" t="s">
        <v>650</v>
      </c>
      <c r="B654" s="1"/>
      <c r="C654" s="4" t="str">
        <f>HYPERLINK("http://4sq.com/8iBrnA","JOANN Fabrics and Crafts ")</f>
        <v>JOANN Fabrics and Crafts </v>
      </c>
      <c r="D654" s="1"/>
      <c r="E654" s="1"/>
    </row>
    <row r="655">
      <c r="A655" s="1" t="s">
        <v>651</v>
      </c>
      <c r="B655" s="1"/>
      <c r="C655" s="4" t="str">
        <f>HYPERLINK("http://4sq.com/zEXgUG","Ballard Coffee Works ")</f>
        <v>Ballard Coffee Works </v>
      </c>
      <c r="D655" s="1"/>
      <c r="E655" s="1"/>
    </row>
    <row r="656">
      <c r="A656" s="1" t="s">
        <v>652</v>
      </c>
      <c r="B656" s="1"/>
      <c r="C656" s="4" t="str">
        <f>HYPERLINK("http://4sq.com/d30cRX","AuroraClean Express Laundry Mat ")</f>
        <v>AuroraClean Express Laundry Mat </v>
      </c>
      <c r="D656" s="1"/>
      <c r="E656" s="1"/>
    </row>
    <row r="657">
      <c r="A657" s="1" t="s">
        <v>653</v>
      </c>
      <c r="B657" s="1"/>
      <c r="C657" s="4" t="str">
        <f>HYPERLINK("https://4sq.com/2NgU6qV","Cold Plated Dessert ")</f>
        <v>Cold Plated Dessert </v>
      </c>
      <c r="D657" s="1"/>
      <c r="E657" s="1"/>
    </row>
    <row r="658">
      <c r="A658" s="1" t="s">
        <v>654</v>
      </c>
      <c r="B658" s="1"/>
      <c r="C658" s="4" t="str">
        <f>HYPERLINK("http://4sq.com/coPgp2","University Heights Community Center ")</f>
        <v>University Heights Community Center </v>
      </c>
      <c r="D658" s="1"/>
      <c r="E658" s="1"/>
    </row>
    <row r="659">
      <c r="A659" s="1" t="s">
        <v>655</v>
      </c>
      <c r="B659" s="1"/>
      <c r="C659" s="4" t="str">
        <f>HYPERLINK("http://4sq.com/dDtBhc","Seattle Public Library - Ballard Branch ")</f>
        <v>Seattle Public Library - Ballard Branch </v>
      </c>
      <c r="D659" s="1"/>
      <c r="E659" s="1"/>
    </row>
    <row r="660">
      <c r="A660" s="1" t="s">
        <v>656</v>
      </c>
      <c r="B660" s="1"/>
      <c r="C660" s="4" t="str">
        <f>HYPERLINK("http://4sq.com/c5ap2B","Carkeek Park Beach ")</f>
        <v>Carkeek Park Beach </v>
      </c>
      <c r="D660" s="1"/>
      <c r="E660" s="1"/>
    </row>
    <row r="661">
      <c r="A661" s="1" t="s">
        <v>657</v>
      </c>
      <c r="B661" s="1"/>
      <c r="C661" s="4" t="str">
        <f>HYPERLINK("http://4sq.com/cGfvTv","Jimmy's Pizza &amp; Pasta ")</f>
        <v>Jimmy's Pizza &amp; Pasta </v>
      </c>
      <c r="D661" s="1"/>
      <c r="E661" s="1"/>
    </row>
    <row r="662">
      <c r="A662" s="1" t="s">
        <v>658</v>
      </c>
      <c r="B662" s="1"/>
      <c r="C662" s="4" t="str">
        <f>HYPERLINK("http://4sq.com/1sQJ9jr","Best Western Plus Skagit Valley Inn And Convention Center ")</f>
        <v>Best Western Plus Skagit Valley Inn And Convention Center </v>
      </c>
      <c r="D662" s="1"/>
      <c r="E662" s="1"/>
    </row>
    <row r="663">
      <c r="A663" s="1" t="s">
        <v>659</v>
      </c>
      <c r="B663" s="1"/>
      <c r="C663" s="4" t="str">
        <f>HYPERLINK("http://4sq.com/lCSSZy","Panda Express ")</f>
        <v>Panda Express </v>
      </c>
      <c r="D663" s="1"/>
      <c r="E663" s="1"/>
    </row>
    <row r="664">
      <c r="A664" s="1" t="s">
        <v>660</v>
      </c>
      <c r="B664" s="1"/>
      <c r="C664" s="4" t="str">
        <f>HYPERLINK("http://4sq.com/jsTfFa","Mount Vernon Lions Club Roadside Park ")</f>
        <v>Mount Vernon Lions Club Roadside Park </v>
      </c>
      <c r="D664" s="1"/>
      <c r="E664" s="1"/>
    </row>
    <row r="665">
      <c r="A665" s="1" t="s">
        <v>661</v>
      </c>
      <c r="B665" s="1"/>
      <c r="C665" s="4" t="str">
        <f>HYPERLINK("http://4sq.com/qn9lB6","Chevron ")</f>
        <v>Chevron </v>
      </c>
      <c r="D665" s="1"/>
      <c r="E665" s="1"/>
    </row>
    <row r="666">
      <c r="A666" s="1" t="s">
        <v>662</v>
      </c>
      <c r="B666" s="1"/>
      <c r="C666" s="4" t="str">
        <f>HYPERLINK("http://4sq.com/9AAvtT","La Conner Seafood &amp; Prime Rib House ")</f>
        <v>La Conner Seafood &amp; Prime Rib House </v>
      </c>
      <c r="D666" s="1"/>
      <c r="E666" s="1"/>
    </row>
    <row r="667">
      <c r="A667" s="1" t="s">
        <v>663</v>
      </c>
      <c r="B667" s="1"/>
      <c r="C667" s="4" t="str">
        <f>HYPERLINK("http://4sq.com/2f0Zc9M","Skagit Building Salvage ")</f>
        <v>Skagit Building Salvage </v>
      </c>
      <c r="D667" s="1"/>
      <c r="E667" s="1"/>
    </row>
    <row r="668">
      <c r="A668" s="1" t="s">
        <v>664</v>
      </c>
      <c r="B668" s="1"/>
      <c r="C668" s="4" t="str">
        <f>HYPERLINK("http://4sq.com/czrhSo","Deception Pass Campground ")</f>
        <v>Deception Pass Campground </v>
      </c>
      <c r="D668" s="1"/>
      <c r="E668" s="1"/>
    </row>
    <row r="669">
      <c r="A669" s="1" t="s">
        <v>665</v>
      </c>
      <c r="B669" s="1"/>
      <c r="C669" s="4" t="str">
        <f>HYPERLINK("http://4sq.com/hVJKiJ","Deception Pass State Park ")</f>
        <v>Deception Pass State Park </v>
      </c>
      <c r="D669" s="1"/>
      <c r="E669" s="1"/>
    </row>
    <row r="670">
      <c r="A670" s="1" t="s">
        <v>666</v>
      </c>
      <c r="B670" s="1"/>
      <c r="C670" s="4" t="str">
        <f>HYPERLINK("http://4sq.com/cBypb6","West Beach ")</f>
        <v>West Beach </v>
      </c>
      <c r="D670" s="1"/>
      <c r="E670" s="1"/>
    </row>
    <row r="671">
      <c r="A671" s="1" t="s">
        <v>667</v>
      </c>
      <c r="B671" s="1"/>
      <c r="C671" s="4" t="str">
        <f>HYPERLINK("http://4sq.com/UnYvYJ","The Beach ")</f>
        <v>The Beach </v>
      </c>
      <c r="D671" s="1"/>
      <c r="E671" s="1"/>
    </row>
    <row r="672">
      <c r="A672" s="1" t="s">
        <v>668</v>
      </c>
      <c r="B672" s="1"/>
      <c r="C672" s="4" t="str">
        <f>HYPERLINK("http://4sq.com/pyICzd","Coupville Wharf ")</f>
        <v>Coupville Wharf </v>
      </c>
      <c r="D672" s="1"/>
      <c r="E672" s="1"/>
    </row>
    <row r="673">
      <c r="A673" s="1" t="s">
        <v>668</v>
      </c>
      <c r="B673" s="1"/>
      <c r="C673" s="4" t="str">
        <f>HYPERLINK("http://4sq.com/1ou3JTA","Ebey's Landing National Historical Reserve ")</f>
        <v>Ebey's Landing National Historical Reserve </v>
      </c>
      <c r="D673" s="1"/>
      <c r="E673" s="1"/>
    </row>
    <row r="674">
      <c r="A674" s="1" t="s">
        <v>669</v>
      </c>
      <c r="B674" s="1"/>
      <c r="C674" s="4" t="str">
        <f>HYPERLINK("http://4sq.com/P1uuKc","Mukilteo/Clinton Ferry Boat ")</f>
        <v>Mukilteo/Clinton Ferry Boat </v>
      </c>
      <c r="D674" s="1"/>
      <c r="E674" s="1"/>
    </row>
    <row r="675">
      <c r="A675" s="1" t="s">
        <v>670</v>
      </c>
      <c r="B675" s="1"/>
      <c r="C675" s="4" t="str">
        <f>HYPERLINK("http://4sq.com/6w0wm2","Thriftway ")</f>
        <v>Thriftway </v>
      </c>
      <c r="D675" s="1"/>
      <c r="E675" s="1"/>
    </row>
    <row r="676">
      <c r="A676" s="1" t="s">
        <v>671</v>
      </c>
      <c r="B676" s="1"/>
      <c r="C676" s="4" t="str">
        <f>HYPERLINK("http://4sq.com/d1bxJw","Avis Car Rental ")</f>
        <v>Avis Car Rental </v>
      </c>
      <c r="D676" s="1"/>
      <c r="E676" s="1"/>
    </row>
    <row r="677">
      <c r="A677" s="1" t="s">
        <v>672</v>
      </c>
      <c r="B677" s="1"/>
      <c r="C677" s="4" t="str">
        <f>HYPERLINK("http://4sq.com/6eeSte","Sea-Tac Cell Phone Lot ")</f>
        <v>Sea-Tac Cell Phone Lot </v>
      </c>
      <c r="D677" s="1"/>
      <c r="E677" s="1"/>
    </row>
    <row r="678">
      <c r="A678" s="1" t="s">
        <v>673</v>
      </c>
      <c r="B678" s="1"/>
      <c r="C678" s="4" t="str">
        <f>HYPERLINK("http://4sq.com/4wp746","Lowman Beach Park ")</f>
        <v>Lowman Beach Park </v>
      </c>
      <c r="D678" s="1"/>
      <c r="E678" s="1"/>
    </row>
    <row r="679">
      <c r="A679" s="1" t="s">
        <v>674</v>
      </c>
      <c r="B679" s="1"/>
      <c r="C679" s="4" t="str">
        <f>HYPERLINK("http://4sq.com/HkXQ0L","Cherry Street Coffee House ")</f>
        <v>Cherry Street Coffee House </v>
      </c>
      <c r="D679" s="1"/>
      <c r="E679" s="1"/>
    </row>
    <row r="680">
      <c r="A680" s="1" t="s">
        <v>675</v>
      </c>
      <c r="B680" s="1"/>
      <c r="C680" s="4" t="str">
        <f>HYPERLINK("http://4sq.com/aMaUgR","Space Needle: Observation Deck ")</f>
        <v>Space Needle: Observation Deck </v>
      </c>
      <c r="D680" s="1"/>
      <c r="E680" s="1"/>
    </row>
    <row r="681">
      <c r="A681" s="1" t="s">
        <v>676</v>
      </c>
      <c r="B681" s="1"/>
      <c r="C681" s="4" t="str">
        <f>HYPERLINK("http://4sq.com/4RFrz9","Space Needle ")</f>
        <v>Space Needle </v>
      </c>
      <c r="D681" s="1"/>
      <c r="E681" s="1"/>
    </row>
    <row r="682">
      <c r="A682" s="1" t="s">
        <v>677</v>
      </c>
      <c r="B682" s="1"/>
      <c r="C682" s="4" t="str">
        <f>HYPERLINK("http://4sq.com/ys8lu8","Chihuly Garden and Glass ")</f>
        <v>Chihuly Garden and Glass </v>
      </c>
      <c r="D682" s="1"/>
      <c r="E682" s="1"/>
    </row>
    <row r="683">
      <c r="A683" s="1" t="s">
        <v>678</v>
      </c>
      <c r="B683" s="1"/>
      <c r="C683" s="4" t="str">
        <f>HYPERLINK("http://4sq.com/1ChoQBr","Zeeks Pizza ")</f>
        <v>Zeeks Pizza </v>
      </c>
      <c r="D683" s="1"/>
      <c r="E683" s="1"/>
    </row>
    <row r="684">
      <c r="A684" s="1" t="s">
        <v>679</v>
      </c>
      <c r="B684" s="1"/>
      <c r="C684" s="4" t="str">
        <f>HYPERLINK("http://4sq.com/c08NIg","King County Water Taxi ")</f>
        <v>King County Water Taxi </v>
      </c>
      <c r="D684" s="1"/>
      <c r="E684" s="1"/>
    </row>
    <row r="685">
      <c r="A685" s="1" t="s">
        <v>680</v>
      </c>
      <c r="B685" s="1"/>
      <c r="C685" s="4" t="str">
        <f>HYPERLINK("http://4sq.com/6bfe8m","Seattle Ferry Terminal ")</f>
        <v>Seattle Ferry Terminal </v>
      </c>
      <c r="D685" s="1"/>
      <c r="E685" s="1"/>
    </row>
    <row r="686">
      <c r="A686" s="1" t="s">
        <v>681</v>
      </c>
      <c r="B686" s="1"/>
      <c r="C686" s="4" t="str">
        <f>HYPERLINK("http://4sq.com/8AveQM","Bainbridge Island Ferry Terminal ")</f>
        <v>Bainbridge Island Ferry Terminal </v>
      </c>
      <c r="D686" s="1"/>
      <c r="E686" s="1"/>
    </row>
    <row r="687">
      <c r="A687" s="1" t="s">
        <v>682</v>
      </c>
      <c r="B687" s="1"/>
      <c r="C687" s="4" t="str">
        <f>HYPERLINK("http://4sq.com/2ksnzUq","Bruciato ")</f>
        <v>Bruciato </v>
      </c>
      <c r="D687" s="1"/>
      <c r="E687" s="1"/>
    </row>
    <row r="688">
      <c r="A688" s="1" t="s">
        <v>683</v>
      </c>
      <c r="B688" s="1"/>
      <c r="C688" s="4" t="str">
        <f>HYPERLINK("http://4sq.com/cg9jpU","Calico Cat Toy Shoppe ")</f>
        <v>Calico Cat Toy Shoppe </v>
      </c>
      <c r="D688" s="1"/>
      <c r="E688" s="1"/>
    </row>
    <row r="689">
      <c r="A689" s="1" t="s">
        <v>684</v>
      </c>
      <c r="B689" s="1"/>
      <c r="C689" s="4" t="str">
        <f>HYPERLINK("http://4sq.com/13H9kdB","Ampersand Cafe ")</f>
        <v>Ampersand Cafe </v>
      </c>
      <c r="D689" s="1"/>
      <c r="E689" s="1"/>
    </row>
    <row r="690">
      <c r="A690" s="1" t="s">
        <v>685</v>
      </c>
      <c r="B690" s="1"/>
      <c r="C690" s="4" t="str">
        <f>HYPERLINK("http://4sq.com/bxsbpH","Seward Park Audubon Center ")</f>
        <v>Seward Park Audubon Center </v>
      </c>
      <c r="D690" s="1"/>
      <c r="E690" s="1"/>
    </row>
    <row r="691">
      <c r="A691" s="1" t="s">
        <v>686</v>
      </c>
      <c r="B691" s="1"/>
      <c r="C691" s="4" t="str">
        <f>HYPERLINK("http://4sq.com/1lOBU9S","Big Chickie ")</f>
        <v>Big Chickie </v>
      </c>
      <c r="D691" s="1"/>
      <c r="E691" s="1"/>
    </row>
    <row r="692">
      <c r="A692" s="1" t="s">
        <v>687</v>
      </c>
      <c r="B692" s="1"/>
      <c r="C692" s="4" t="str">
        <f>HYPERLINK("http://4sq.com/6xciH6","Discovery Park ")</f>
        <v>Discovery Park </v>
      </c>
      <c r="D692" s="1"/>
      <c r="E692" s="1"/>
    </row>
    <row r="693">
      <c r="A693" s="1" t="s">
        <v>688</v>
      </c>
      <c r="B693" s="1"/>
      <c r="C693" s="4" t="str">
        <f>HYPERLINK("http://4sq.com/7Wrvvx","Daybreak Star Indian Cultural Center ")</f>
        <v>Daybreak Star Indian Cultural Center </v>
      </c>
      <c r="D693" s="1"/>
      <c r="E693" s="1"/>
    </row>
    <row r="694">
      <c r="A694" s="1" t="s">
        <v>689</v>
      </c>
      <c r="B694" s="1"/>
      <c r="C694" s="4" t="str">
        <f>HYPERLINK("http://4sq.com/X3qhyX","Discovery Park Visitors Center ")</f>
        <v>Discovery Park Visitors Center </v>
      </c>
      <c r="D694" s="1"/>
      <c r="E694" s="1"/>
    </row>
    <row r="695">
      <c r="A695" s="1" t="s">
        <v>690</v>
      </c>
      <c r="B695" s="1"/>
      <c r="C695" s="4" t="str">
        <f>HYPERLINK("http://4sq.com/JII7wf","Disco Park Playground ")</f>
        <v>Disco Park Playground </v>
      </c>
      <c r="D695" s="1"/>
      <c r="E695" s="1"/>
    </row>
    <row r="696">
      <c r="A696" s="1" t="s">
        <v>691</v>
      </c>
      <c r="B696" s="1"/>
      <c r="C696" s="4" t="str">
        <f>HYPERLINK("http://4sq.com/cGfW6I","ARCO ")</f>
        <v>ARCO </v>
      </c>
      <c r="D696" s="1"/>
      <c r="E696" s="1"/>
    </row>
    <row r="697">
      <c r="A697" s="1" t="s">
        <v>691</v>
      </c>
      <c r="B697" s="1"/>
      <c r="C697" s="4" t="str">
        <f>HYPERLINK("http://4sq.com/1Wbqf69","MOD Pizza ")</f>
        <v>MOD Pizza </v>
      </c>
      <c r="D697" s="1"/>
      <c r="E697" s="1"/>
    </row>
    <row r="698">
      <c r="A698" s="1" t="s">
        <v>692</v>
      </c>
      <c r="B698" s="1"/>
      <c r="C698" s="4" t="str">
        <f>HYPERLINK("http://4sq.com/1TaYxPo","Whispering Willow Park ")</f>
        <v>Whispering Willow Park </v>
      </c>
      <c r="D698" s="1"/>
      <c r="E698" s="1"/>
    </row>
    <row r="699">
      <c r="A699" s="1" t="s">
        <v>693</v>
      </c>
      <c r="B699" s="1"/>
      <c r="C699" s="4" t="str">
        <f>HYPERLINK("http://4sq.com/arTf9r","Safeway ")</f>
        <v>Safeway </v>
      </c>
      <c r="D699" s="1"/>
      <c r="E699" s="1"/>
    </row>
    <row r="700">
      <c r="A700" s="1" t="s">
        <v>694</v>
      </c>
      <c r="B700" s="1"/>
      <c r="C700" s="4" t="str">
        <f>HYPERLINK("http://4sq.com/f8dcOQ","Prospectors Steak And Ale House ")</f>
        <v>Prospectors Steak And Ale House </v>
      </c>
      <c r="D700" s="1"/>
      <c r="E700" s="1"/>
    </row>
    <row r="701">
      <c r="A701" s="1" t="s">
        <v>695</v>
      </c>
      <c r="B701" s="1"/>
      <c r="C701" s="4" t="str">
        <f>HYPERLINK("http://4sq.com/cqUhLG","Gold Bar Family Grocer ")</f>
        <v>Gold Bar Family Grocer </v>
      </c>
      <c r="D701" s="1"/>
      <c r="E701" s="1"/>
    </row>
    <row r="702">
      <c r="A702" s="1" t="s">
        <v>696</v>
      </c>
      <c r="B702" s="1"/>
      <c r="C702" s="4" t="str">
        <f>HYPERLINK("http://4sq.com/NhUvs2","Smallwoods Harvest ")</f>
        <v>Smallwoods Harvest </v>
      </c>
      <c r="D702" s="1"/>
      <c r="E702" s="1"/>
    </row>
    <row r="703">
      <c r="A703" s="1" t="s">
        <v>697</v>
      </c>
      <c r="B703" s="1"/>
      <c r="C703" s="4" t="str">
        <f>HYPERLINK("http://foursquare.com/v/4c1e61b88b3aa59331fb9b5f","Big Y Cafe ")</f>
        <v>Big Y Cafe </v>
      </c>
      <c r="D703" s="1"/>
      <c r="E703" s="1"/>
    </row>
    <row r="704">
      <c r="A704" s="1" t="s">
        <v>698</v>
      </c>
      <c r="B704" s="1"/>
      <c r="C704" s="4" t="str">
        <f>HYPERLINK("http://4sq.com/a9EJs1","Safeway ")</f>
        <v>Safeway </v>
      </c>
      <c r="D704" s="1"/>
      <c r="E704" s="1"/>
    </row>
    <row r="705">
      <c r="A705" s="1" t="s">
        <v>699</v>
      </c>
      <c r="B705" s="1"/>
      <c r="C705" s="4" t="str">
        <f>HYPERLINK("http://4sq.com/czhtdp","Cle Elum Lake ")</f>
        <v>Cle Elum Lake </v>
      </c>
      <c r="D705" s="1"/>
      <c r="E705" s="1"/>
    </row>
    <row r="706">
      <c r="A706" s="1" t="s">
        <v>700</v>
      </c>
      <c r="B706" s="1"/>
      <c r="C706" s="4" t="str">
        <f>HYPERLINK("http://4sq.com/16uaOWt","Speelyi Beach ")</f>
        <v>Speelyi Beach </v>
      </c>
      <c r="D706" s="1"/>
      <c r="E706" s="1"/>
    </row>
    <row r="707">
      <c r="A707" s="1" t="s">
        <v>701</v>
      </c>
      <c r="B707" s="1"/>
      <c r="C707" s="4" t="str">
        <f>HYPERLINK("http://4sq.com/9xyRIA","Safeway Gas Station ")</f>
        <v>Safeway Gas Station </v>
      </c>
      <c r="D707" s="1"/>
      <c r="E707" s="1"/>
    </row>
    <row r="708">
      <c r="A708" s="1" t="s">
        <v>702</v>
      </c>
      <c r="B708" s="1"/>
      <c r="C708" s="4" t="str">
        <f>HYPERLINK("http://4sq.com/dopaqo","Blewett Pass ")</f>
        <v>Blewett Pass </v>
      </c>
      <c r="D708" s="1"/>
      <c r="E708" s="1"/>
    </row>
    <row r="709">
      <c r="A709" s="1" t="s">
        <v>703</v>
      </c>
      <c r="B709" s="1"/>
      <c r="C709" s="4" t="str">
        <f>HYPERLINK("http://4sq.com/151MagZ","Bavarian Bistro ")</f>
        <v>Bavarian Bistro </v>
      </c>
      <c r="D709" s="1"/>
      <c r="E709" s="1"/>
    </row>
    <row r="710">
      <c r="A710" s="1" t="s">
        <v>704</v>
      </c>
      <c r="B710" s="1"/>
      <c r="C710" s="4" t="str">
        <f>HYPERLINK("http://4sq.com/9T1wzd","Danish Bakery ")</f>
        <v>Danish Bakery </v>
      </c>
      <c r="D710" s="1"/>
      <c r="E710" s="1"/>
    </row>
    <row r="711">
      <c r="A711" s="1" t="s">
        <v>705</v>
      </c>
      <c r="B711" s="1"/>
      <c r="C711" s="4" t="str">
        <f>HYPERLINK("http://4sq.com/2eWbdA2","Yodelin Broth ")</f>
        <v>Yodelin Broth </v>
      </c>
      <c r="D711" s="1"/>
      <c r="E711" s="1"/>
    </row>
    <row r="712">
      <c r="A712" s="1" t="s">
        <v>706</v>
      </c>
      <c r="B712" s="1"/>
      <c r="C712" s="4" t="str">
        <f>HYPERLINK("http://4sq.com/gnS11I","Mango Thai Cuisine &amp; Bar ")</f>
        <v>Mango Thai Cuisine &amp; Bar </v>
      </c>
      <c r="D712" s="1"/>
      <c r="E712" s="1"/>
    </row>
    <row r="713">
      <c r="A713" s="1" t="s">
        <v>707</v>
      </c>
      <c r="B713" s="1"/>
      <c r="C713" s="4" t="str">
        <f>HYPERLINK("http://4sq.com/2r9FgW","Target ")</f>
        <v>Target </v>
      </c>
      <c r="D713" s="1"/>
      <c r="E713" s="1"/>
    </row>
    <row r="714">
      <c r="A714" s="1" t="s">
        <v>708</v>
      </c>
      <c r="B714" s="1"/>
      <c r="C714" s="4" t="str">
        <f>HYPERLINK("http://4sq.com/1JLEG8D","Frēlard Pizza Company ")</f>
        <v>Frēlard Pizza Company </v>
      </c>
      <c r="D714" s="1"/>
      <c r="E714" s="1"/>
    </row>
    <row r="715">
      <c r="A715" s="1" t="s">
        <v>709</v>
      </c>
      <c r="B715" s="1"/>
      <c r="C715" s="4" t="str">
        <f>HYPERLINK("http://4sq.com/2TAe6E","Paramount Theatre ")</f>
        <v>Paramount Theatre </v>
      </c>
      <c r="D715" s="1"/>
      <c r="E715" s="1"/>
    </row>
    <row r="716">
      <c r="A716" s="1" t="s">
        <v>710</v>
      </c>
      <c r="B716" s="1"/>
      <c r="C716" s="4" t="str">
        <f>HYPERLINK("http://4sq.com/4ED9B2","Nike Seattle ")</f>
        <v>Nike Seattle </v>
      </c>
      <c r="D716" s="1"/>
      <c r="E716" s="1"/>
    </row>
    <row r="717">
      <c r="A717" s="1" t="s">
        <v>711</v>
      </c>
      <c r="B717" s="1"/>
      <c r="C717" s="4" t="str">
        <f>HYPERLINK("http://4sq.com/2eXKFH","King Street Station (SEA) ")</f>
        <v>King Street Station (SEA) </v>
      </c>
      <c r="D717" s="1"/>
      <c r="E717" s="1"/>
    </row>
    <row r="718">
      <c r="A718" s="1" t="s">
        <v>712</v>
      </c>
      <c r="B718" s="1"/>
      <c r="C718" s="4" t="str">
        <f>HYPERLINK("http://4sq.com/L7TU5","Moore Theatre ")</f>
        <v>Moore Theatre </v>
      </c>
      <c r="D718" s="1"/>
      <c r="E718" s="1"/>
    </row>
    <row r="719">
      <c r="A719" s="1" t="s">
        <v>713</v>
      </c>
      <c r="B719" s="1"/>
      <c r="C719" s="4" t="str">
        <f>HYPERLINK("http://4sq.com/8C3ePA","Starbucks ")</f>
        <v>Starbucks </v>
      </c>
      <c r="D719" s="1"/>
      <c r="E719" s="1"/>
    </row>
    <row r="720">
      <c r="A720" s="1" t="s">
        <v>714</v>
      </c>
      <c r="B720" s="1"/>
      <c r="C720" s="4" t="str">
        <f>HYPERLINK("https://4sq.com/2IfxhU2","Joe Chocolate Co ")</f>
        <v>Joe Chocolate Co </v>
      </c>
      <c r="D720" s="1"/>
      <c r="E720" s="1"/>
    </row>
    <row r="721">
      <c r="A721" s="1" t="s">
        <v>715</v>
      </c>
      <c r="B721" s="1"/>
      <c r="C721" s="4" t="str">
        <f>HYPERLINK("http://4sq.com/g1MHtP","Panda Express ")</f>
        <v>Panda Express </v>
      </c>
      <c r="D721" s="1"/>
      <c r="E721" s="1"/>
    </row>
    <row r="722">
      <c r="A722" s="1" t="s">
        <v>715</v>
      </c>
      <c r="B722" s="1"/>
      <c r="C722" s="4" t="str">
        <f>HYPERLINK("http://4sq.com/77hVWN","Target ")</f>
        <v>Target </v>
      </c>
      <c r="D722" s="1"/>
      <c r="E722" s="1"/>
    </row>
    <row r="723">
      <c r="A723" s="1" t="s">
        <v>716</v>
      </c>
      <c r="B723" s="1"/>
      <c r="C723" s="4" t="str">
        <f>HYPERLINK("http://4sq.com/cP8hCY","Mount Baker Beach ")</f>
        <v>Mount Baker Beach </v>
      </c>
      <c r="D723" s="1"/>
      <c r="E723" s="1"/>
    </row>
    <row r="724">
      <c r="A724" s="1" t="s">
        <v>717</v>
      </c>
      <c r="B724" s="1"/>
      <c r="C724" s="4" t="str">
        <f>HYPERLINK("http://4sq.com/d7Xfnl","Mount Baker Park ")</f>
        <v>Mount Baker Park </v>
      </c>
      <c r="D724" s="1"/>
      <c r="E724" s="1"/>
    </row>
    <row r="725">
      <c r="A725" s="1" t="s">
        <v>718</v>
      </c>
      <c r="B725" s="1"/>
      <c r="C725" s="4" t="str">
        <f>HYPERLINK("http://4sq.com/9WBNQl","Econolodge ")</f>
        <v>Econolodge </v>
      </c>
      <c r="D725" s="1"/>
      <c r="E725" s="1"/>
    </row>
    <row r="726">
      <c r="A726" s="1" t="s">
        <v>719</v>
      </c>
      <c r="B726" s="1"/>
      <c r="C726" s="4" t="str">
        <f>HYPERLINK("http://4sq.com/1HUvASK","Super Six ")</f>
        <v>Super Six </v>
      </c>
      <c r="D726" s="1"/>
      <c r="E726" s="1"/>
    </row>
    <row r="727">
      <c r="A727" s="1" t="s">
        <v>720</v>
      </c>
      <c r="B727" s="1"/>
      <c r="C727" s="4" t="str">
        <f>HYPERLINK("http://4sq.com/bSrSfF","Pho Tai ")</f>
        <v>Pho Tai </v>
      </c>
      <c r="D727" s="1"/>
      <c r="E727" s="1"/>
    </row>
    <row r="728">
      <c r="A728" s="1" t="s">
        <v>721</v>
      </c>
      <c r="B728" s="1"/>
      <c r="C728" s="4" t="str">
        <f>HYPERLINK("http://4sq.com/98Iky1","Bed Bath &amp; Beyond ")</f>
        <v>Bed Bath &amp; Beyond </v>
      </c>
      <c r="D728" s="1"/>
      <c r="E728" s="1"/>
    </row>
    <row r="729">
      <c r="A729" s="1" t="s">
        <v>721</v>
      </c>
      <c r="B729" s="1"/>
      <c r="C729" s="4" t="str">
        <f>HYPERLINK("http://4sq.com/7Is9ku","REI ")</f>
        <v>REI </v>
      </c>
      <c r="D729" s="1"/>
      <c r="E729" s="1"/>
    </row>
    <row r="730">
      <c r="A730" s="1" t="s">
        <v>722</v>
      </c>
      <c r="B730" s="1"/>
      <c r="C730" s="4" t="str">
        <f>HYPERLINK("http://4sq.com/V23mys","ARCO ")</f>
        <v>ARCO </v>
      </c>
      <c r="D730" s="1"/>
      <c r="E730" s="1"/>
    </row>
    <row r="731">
      <c r="A731" s="1" t="s">
        <v>723</v>
      </c>
      <c r="B731" s="1"/>
      <c r="C731" s="4" t="str">
        <f>HYPERLINK("http://4sq.com/d1bxJw","Avis Car Rental ")</f>
        <v>Avis Car Rental </v>
      </c>
      <c r="D731" s="1"/>
      <c r="E731" s="1"/>
    </row>
    <row r="732">
      <c r="A732" s="1" t="s">
        <v>724</v>
      </c>
      <c r="B732" s="1"/>
      <c r="C732" s="4" t="str">
        <f>HYPERLINK("http://4sq.com/2q9cxD","Seattle-Tacoma International Airport (SEA) ")</f>
        <v>Seattle-Tacoma International Airport (SEA) </v>
      </c>
      <c r="D732" s="1"/>
      <c r="E732" s="1"/>
    </row>
    <row r="733">
      <c r="A733" s="1" t="s">
        <v>725</v>
      </c>
      <c r="B733" s="1"/>
      <c r="C733" s="4" t="str">
        <f>HYPERLINK("http://4sq.com/gQux0q","The Club at SEA ")</f>
        <v>The Club at SEA </v>
      </c>
      <c r="D733" s="1"/>
      <c r="E733" s="1"/>
    </row>
    <row r="734">
      <c r="A734" s="1" t="s">
        <v>726</v>
      </c>
      <c r="B734" s="1"/>
      <c r="C734" s="4" t="str">
        <f>HYPERLINK("http://4sq.com/9dybiM","Terminal 1 (一號客運大樓) ")</f>
        <v>Terminal 1 (一號客運大樓) </v>
      </c>
      <c r="D734" s="1"/>
      <c r="E734" s="1"/>
    </row>
    <row r="735">
      <c r="A735" s="1" t="s">
        <v>727</v>
      </c>
      <c r="B735" s="1"/>
      <c r="C735" s="4" t="str">
        <f>HYPERLINK("http://4sq.com/7csql3","Suvarnabhumi Airport (BKK) (ท่าอากาศยานสุวรรณภูมิ) ")</f>
        <v>Suvarnabhumi Airport (BKK) (ท่าอากาศยานสุวรรณภูมิ) </v>
      </c>
      <c r="D735" s="1"/>
      <c r="E735" s="1"/>
    </row>
    <row r="736">
      <c r="A736" s="1" t="s">
        <v>728</v>
      </c>
      <c r="B736" s="1"/>
      <c r="C736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736" s="1"/>
      <c r="E736" s="1"/>
    </row>
    <row r="737">
      <c r="A737" s="1" t="s">
        <v>729</v>
      </c>
      <c r="B737" s="1"/>
      <c r="C737" s="4" t="str">
        <f>HYPERLINK("http://4sq.com/2x0Cqvu","Saded Cafe' ")</f>
        <v>Saded Cafe' </v>
      </c>
      <c r="D737" s="1"/>
      <c r="E737" s="1"/>
    </row>
    <row r="738">
      <c r="A738" s="1" t="s">
        <v>730</v>
      </c>
      <c r="B738" s="1"/>
      <c r="C738" s="4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D738" s="1"/>
      <c r="E738" s="1"/>
    </row>
    <row r="739">
      <c r="A739" s="1" t="s">
        <v>731</v>
      </c>
      <c r="B739" s="1"/>
      <c r="C739" s="4" t="str">
        <f>HYPERLINK("http://4sq.com/dwbrHe","The Salad Concept ")</f>
        <v>The Salad Concept </v>
      </c>
      <c r="D739" s="1"/>
      <c r="E739" s="1"/>
    </row>
    <row r="740">
      <c r="A740" s="1" t="s">
        <v>732</v>
      </c>
      <c r="B740" s="1"/>
      <c r="C740" s="4" t="str">
        <f>HYPERLINK("http://4sq.com/1rCQT2C","Tiger Ted Café (ไทเกอร์ เท็ด คาเฟ่) ")</f>
        <v>Tiger Ted Café (ไทเกอร์ เท็ด คาเฟ่) </v>
      </c>
      <c r="D740" s="1"/>
      <c r="E740" s="1"/>
    </row>
    <row r="741">
      <c r="A741" s="1" t="s">
        <v>733</v>
      </c>
      <c r="B741" s="1"/>
      <c r="C741" s="4" t="str">
        <f>HYPERLINK("http://4sq.com/o3ZEdO","See Paak Restaurant ")</f>
        <v>See Paak Restaurant </v>
      </c>
      <c r="D741" s="1"/>
      <c r="E741" s="1"/>
    </row>
    <row r="742">
      <c r="A742" s="1" t="s">
        <v>734</v>
      </c>
      <c r="B742" s="1"/>
      <c r="C742" s="4" t="str">
        <f>HYPERLINK("https://4sq.com/2rv2b2K","level9 ")</f>
        <v>level9 </v>
      </c>
      <c r="D742" s="1"/>
      <c r="E742" s="1"/>
    </row>
    <row r="743">
      <c r="A743" s="1" t="s">
        <v>735</v>
      </c>
      <c r="B743" s="1"/>
      <c r="C743" s="4" t="str">
        <f>HYPERLINK("http://4sq.com/139xAVx","Food4thought ")</f>
        <v>Food4thought </v>
      </c>
      <c r="D743" s="1"/>
      <c r="E743" s="1"/>
    </row>
    <row r="744">
      <c r="A744" s="1" t="s">
        <v>736</v>
      </c>
      <c r="B744" s="1"/>
      <c r="C744" s="4" t="str">
        <f>HYPERLINK("http://4sq.com/2dySMPy","The Ironwood ")</f>
        <v>The Ironwood </v>
      </c>
      <c r="D744" s="1"/>
      <c r="E744" s="1"/>
    </row>
    <row r="745">
      <c r="A745" s="1" t="s">
        <v>737</v>
      </c>
      <c r="B745" s="1"/>
      <c r="C745" s="4" t="str">
        <f>HYPERLINK("http://4sq.com/2zJP5B9","ครัวคำหวาน ")</f>
        <v>ครัวคำหวาน </v>
      </c>
      <c r="D745" s="1"/>
      <c r="E745" s="1"/>
    </row>
    <row r="746">
      <c r="A746" s="1" t="s">
        <v>738</v>
      </c>
      <c r="B746" s="1"/>
      <c r="C746" s="4" t="str">
        <f>HYPERLINK("http://4sq.com/kTWAVQ","www.Bywoodwind.com ")</f>
        <v>www.Bywoodwind.com </v>
      </c>
      <c r="D746" s="1"/>
      <c r="E746" s="1"/>
    </row>
    <row r="747">
      <c r="A747" s="1" t="s">
        <v>739</v>
      </c>
      <c r="B747" s="1"/>
      <c r="C747" s="4" t="str">
        <f>HYPERLINK("http://4sq.com/1dHOYY4","Pizzeria Giotto ")</f>
        <v>Pizzeria Giotto </v>
      </c>
      <c r="D747" s="1"/>
      <c r="E747" s="1"/>
    </row>
    <row r="748">
      <c r="A748" s="1" t="s">
        <v>740</v>
      </c>
      <c r="B748" s="1"/>
      <c r="C748" s="4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D748" s="1"/>
      <c r="E748" s="1"/>
    </row>
    <row r="749">
      <c r="A749" s="1" t="s">
        <v>741</v>
      </c>
      <c r="B749" s="1"/>
      <c r="C749" s="4" t="str">
        <f>HYPERLINK("http://4sq.com/1GTh6Sq","I Din Klin Krog (ไอ ดิน กลิ่น ครก) ")</f>
        <v>I Din Klin Krog (ไอ ดิน กลิ่น ครก) </v>
      </c>
      <c r="D749" s="1"/>
      <c r="E749" s="1"/>
    </row>
    <row r="750">
      <c r="A750" s="1" t="s">
        <v>742</v>
      </c>
      <c r="B750" s="1"/>
      <c r="C750" s="4" t="str">
        <f>HYPERLINK("http://4sq.com/1GCDoss","เดิมเดิม ")</f>
        <v>เดิมเดิม </v>
      </c>
      <c r="D750" s="1"/>
      <c r="E750" s="1"/>
    </row>
    <row r="751">
      <c r="A751" s="1" t="s">
        <v>743</v>
      </c>
      <c r="B751" s="1"/>
      <c r="C751" s="4" t="str">
        <f>HYPERLINK("http://4sq.com/104JYXo","Sausage King Garden ")</f>
        <v>Sausage King Garden </v>
      </c>
      <c r="D751" s="1"/>
      <c r="E751" s="1"/>
    </row>
    <row r="752">
      <c r="A752" s="1" t="s">
        <v>744</v>
      </c>
      <c r="B752" s="1"/>
      <c r="C752" s="4" t="str">
        <f>HYPERLINK("http://4sq.com/1TCmRjN","Hong beach (โฮ่งบีช) ")</f>
        <v>Hong beach (โฮ่งบีช) </v>
      </c>
      <c r="D752" s="1"/>
      <c r="E752" s="1"/>
    </row>
    <row r="753">
      <c r="A753" s="1" t="s">
        <v>745</v>
      </c>
      <c r="B753" s="1"/>
      <c r="C753" s="4" t="str">
        <f>HYPERLINK("http://4sq.com/1LwwIEn","Let It Be ")</f>
        <v>Let It Be </v>
      </c>
      <c r="D753" s="1"/>
      <c r="E753" s="1"/>
    </row>
    <row r="754">
      <c r="A754" s="1" t="s">
        <v>746</v>
      </c>
      <c r="B754" s="1"/>
      <c r="C754" s="4" t="str">
        <f>HYPERLINK("https://4sq.com/2HmVp7S","Hakone​ Cafe ")</f>
        <v>Hakone​ Cafe </v>
      </c>
      <c r="D754" s="1"/>
      <c r="E754" s="1"/>
    </row>
    <row r="755">
      <c r="A755" s="1" t="s">
        <v>747</v>
      </c>
      <c r="B755" s="1"/>
      <c r="C755" s="4" t="str">
        <f>HYPERLINK("http://4sq.com/1363Mx2","Chiangdao Camp (ค่ายเยาวชนฯเชียงดาว) ")</f>
        <v>Chiangdao Camp (ค่ายเยาวชนฯเชียงดาว) </v>
      </c>
      <c r="D755" s="1"/>
      <c r="E755" s="1"/>
    </row>
    <row r="756">
      <c r="A756" s="1" t="s">
        <v>748</v>
      </c>
      <c r="B756" s="1"/>
      <c r="C756" s="4" t="str">
        <f>HYPERLINK("http://4sq.com/PM881F","Hot Spring เชียงดาว ")</f>
        <v>Hot Spring เชียงดาว </v>
      </c>
      <c r="D756" s="1"/>
      <c r="E756" s="1"/>
    </row>
    <row r="757">
      <c r="A757" s="1" t="s">
        <v>749</v>
      </c>
      <c r="B757" s="1"/>
      <c r="C757" s="4" t="str">
        <f>HYPERLINK("http://4sq.com/bhliDn","Star Visa Service ")</f>
        <v>Star Visa Service </v>
      </c>
      <c r="D757" s="1"/>
      <c r="E757" s="1"/>
    </row>
    <row r="758">
      <c r="A758" s="1" t="s">
        <v>750</v>
      </c>
      <c r="B758" s="1"/>
      <c r="C758" s="4" t="str">
        <f>HYPERLINK("http://4sq.com/o3ZEdO","See Paak Restaurant ")</f>
        <v>See Paak Restaurant </v>
      </c>
      <c r="D758" s="1"/>
      <c r="E758" s="1"/>
    </row>
    <row r="759">
      <c r="A759" s="1" t="s">
        <v>751</v>
      </c>
      <c r="B759" s="1"/>
      <c r="C759" s="4" t="str">
        <f>HYPERLINK("http://4sq.com/I28LVE","Café de Oasis (คาเฟ่ เดอ โอเอซิส) ")</f>
        <v>Café de Oasis (คาเฟ่ เดอ โอเอซิส) </v>
      </c>
      <c r="D759" s="1"/>
      <c r="E759" s="1"/>
    </row>
    <row r="760">
      <c r="A760" s="1" t="s">
        <v>752</v>
      </c>
      <c r="B760" s="1"/>
      <c r="C760" s="4" t="str">
        <f>HYPERLINK("http://4sq.com/1glAL7r","The Duke's ")</f>
        <v>The Duke's </v>
      </c>
      <c r="D760" s="1"/>
      <c r="E760" s="1"/>
    </row>
    <row r="761">
      <c r="A761" s="1" t="s">
        <v>753</v>
      </c>
      <c r="B761" s="1"/>
      <c r="C761" s="4" t="str">
        <f>HYPERLINK("http://4sq.com/2fWhfSJ","ก๋วยเตี๋ยวหมูต้มยำ สูตรพิษณุโลก ")</f>
        <v>ก๋วยเตี๋ยวหมูต้มยำ สูตรพิษณุโลก </v>
      </c>
      <c r="D761" s="1"/>
      <c r="E761" s="1"/>
    </row>
    <row r="762">
      <c r="A762" s="1" t="s">
        <v>754</v>
      </c>
      <c r="B762" s="1"/>
      <c r="C762" s="4" t="str">
        <f>HYPERLINK("https://4sq.com/2MkRHQH","Grooveyard ")</f>
        <v>Grooveyard </v>
      </c>
      <c r="D762" s="1"/>
      <c r="E762" s="1"/>
    </row>
    <row r="763">
      <c r="A763" s="1" t="s">
        <v>755</v>
      </c>
      <c r="B763" s="1"/>
      <c r="C763" s="4" t="str">
        <f>HYPERLINK("http://4sq.com/zjSUlB","Domestic Departures ")</f>
        <v>Domestic Departures </v>
      </c>
      <c r="D763" s="1"/>
      <c r="E763" s="1"/>
    </row>
    <row r="764">
      <c r="A764" s="1" t="s">
        <v>756</v>
      </c>
      <c r="B764" s="1"/>
      <c r="C764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764" s="1"/>
      <c r="E764" s="1"/>
    </row>
    <row r="765">
      <c r="A765" s="1" t="s">
        <v>757</v>
      </c>
      <c r="B765" s="1"/>
      <c r="C765" s="4" t="str">
        <f>HYPERLINK("https://4sq.com/2MrC8DM","Mango Mood ")</f>
        <v>Mango Mood </v>
      </c>
      <c r="D765" s="1"/>
      <c r="E765" s="1"/>
    </row>
    <row r="766">
      <c r="A766" s="1" t="s">
        <v>758</v>
      </c>
      <c r="B766" s="1"/>
      <c r="C766" s="4" t="str">
        <f>HYPERLINK("http://4sq.com/5gnRsF","MBK Center (เอ็ม บี เค เซ็นเตอร์) ")</f>
        <v>MBK Center (เอ็ม บี เค เซ็นเตอร์) </v>
      </c>
      <c r="D766" s="1"/>
      <c r="E766" s="1"/>
    </row>
    <row r="767">
      <c r="A767" s="1" t="s">
        <v>759</v>
      </c>
      <c r="B767" s="1"/>
      <c r="C767" s="4" t="str">
        <f>HYPERLINK("http://4sq.com/8qFeBm","All Seasons Place (ออล ซีซั่นส์ เพลส) ")</f>
        <v>All Seasons Place (ออล ซีซั่นส์ เพลส) </v>
      </c>
      <c r="D767" s="1"/>
      <c r="E767" s="1"/>
    </row>
    <row r="768">
      <c r="A768" s="1" t="s">
        <v>760</v>
      </c>
      <c r="B768" s="1"/>
      <c r="C768" s="4" t="str">
        <f>HYPERLINK("http://4sq.com/cA2VbC","Au Bon Pain (โอ บอง แปง) ")</f>
        <v>Au Bon Pain (โอ บอง แปง) </v>
      </c>
      <c r="D768" s="1"/>
      <c r="E768" s="1"/>
    </row>
    <row r="769">
      <c r="A769" s="1" t="s">
        <v>761</v>
      </c>
      <c r="B769" s="1"/>
      <c r="C769" s="4" t="str">
        <f>HYPERLINK("http://4sq.com/6mrTi5","Sindhorn Building (อาคารสินธร) ")</f>
        <v>Sindhorn Building (อาคารสินธร) </v>
      </c>
      <c r="D769" s="1"/>
      <c r="E769" s="1"/>
    </row>
    <row r="770">
      <c r="A770" s="1" t="s">
        <v>762</v>
      </c>
      <c r="B770" s="1"/>
      <c r="C770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770" s="1"/>
      <c r="E770" s="1"/>
    </row>
    <row r="771">
      <c r="A771" s="1" t="s">
        <v>763</v>
      </c>
      <c r="B771" s="1"/>
      <c r="C771" s="4" t="str">
        <f>HYPERLINK("http://4sq.com/Tis8JR","Domestic Departures ")</f>
        <v>Domestic Departures </v>
      </c>
      <c r="D771" s="1"/>
      <c r="E771" s="1"/>
    </row>
    <row r="772">
      <c r="A772" s="1" t="s">
        <v>764</v>
      </c>
      <c r="B772" s="1"/>
      <c r="C772" s="4" t="str">
        <f>HYPERLINK("http://4sq.com/aBeuqJ","Chiang Mai Immigration (ตรวจคนเข้าเมือง จ.เชียงใหม่) ")</f>
        <v>Chiang Mai Immigration (ตรวจคนเข้าเมือง จ.เชียงใหม่) </v>
      </c>
      <c r="D772" s="1"/>
      <c r="E772" s="1"/>
    </row>
    <row r="773">
      <c r="A773" s="1" t="s">
        <v>765</v>
      </c>
      <c r="B773" s="1"/>
      <c r="C773" s="4" t="str">
        <f>HYPERLINK("http://4sq.com/6wfvIC","CentralPlaza Chiangmai Airport (เซ็นทรัลพลาซา เชียงใหม่ แอร์พอร์ต) ")</f>
        <v>CentralPlaza Chiangmai Airport (เซ็นทรัลพลาซา เชียงใหม่ แอร์พอร์ต) </v>
      </c>
      <c r="D773" s="1"/>
      <c r="E773" s="1"/>
    </row>
    <row r="774">
      <c r="A774" s="1" t="s">
        <v>766</v>
      </c>
      <c r="B774" s="1"/>
      <c r="C774" s="4" t="str">
        <f>HYPERLINK("http://4sq.com/1bD7gWe","Bangkok Hospital Chiang Mai (โรงพยาบาลกรุงเทพเชียงใหม่) ")</f>
        <v>Bangkok Hospital Chiang Mai (โรงพยาบาลกรุงเทพเชียงใหม่) </v>
      </c>
      <c r="D774" s="1"/>
      <c r="E774" s="1"/>
    </row>
    <row r="775">
      <c r="A775" s="1" t="s">
        <v>767</v>
      </c>
      <c r="B775" s="1"/>
      <c r="C77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775" s="1"/>
      <c r="E775" s="1"/>
    </row>
    <row r="776">
      <c r="A776" s="1" t="s">
        <v>768</v>
      </c>
      <c r="B776" s="1"/>
      <c r="C776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776" s="1"/>
      <c r="E776" s="1"/>
    </row>
    <row r="777">
      <c r="A777" s="1" t="s">
        <v>769</v>
      </c>
      <c r="B777" s="1"/>
      <c r="C777" s="4" t="str">
        <f>HYPERLINK("https://4sq.com/2MrC8DM","Mango Mood ")</f>
        <v>Mango Mood </v>
      </c>
      <c r="D777" s="1"/>
      <c r="E777" s="1"/>
    </row>
    <row r="778">
      <c r="A778" s="1" t="s">
        <v>770</v>
      </c>
      <c r="B778" s="1"/>
      <c r="C778" s="4" t="str">
        <f>HYPERLINK("https://4sq.com/2Cl0dc5","Mixt Chatuchak (มิกซ์ จตุจักร) ")</f>
        <v>Mixt Chatuchak (มิกซ์ จตุจักร) </v>
      </c>
      <c r="D778" s="1"/>
      <c r="E778" s="1"/>
    </row>
    <row r="779">
      <c r="A779" s="1" t="s">
        <v>771</v>
      </c>
      <c r="B779" s="1"/>
      <c r="C779" s="4" t="str">
        <f>HYPERLINK("http://4sq.com/cakSey","PTT (ปตท.) ")</f>
        <v>PTT (ปตท.) </v>
      </c>
      <c r="D779" s="1"/>
      <c r="E779" s="1"/>
    </row>
    <row r="780">
      <c r="A780" s="1" t="s">
        <v>772</v>
      </c>
      <c r="B780" s="1"/>
      <c r="C780" s="4" t="str">
        <f>HYPERLINK("http://4sq.com/9SquVM","I Sea ")</f>
        <v>I Sea </v>
      </c>
      <c r="D780" s="1"/>
      <c r="E780" s="1"/>
    </row>
    <row r="781">
      <c r="A781" s="1" t="s">
        <v>773</v>
      </c>
      <c r="B781" s="1"/>
      <c r="C781" s="4" t="str">
        <f>HYPERLINK("http://4sq.com/9Z6CED","Veranda Resort and Spa (วีรันดา รีสอร์ท แอนด์ สปา) ")</f>
        <v>Veranda Resort and Spa (วีรันดา รีสอร์ท แอนด์ สปา) </v>
      </c>
      <c r="D781" s="1"/>
      <c r="E781" s="1"/>
    </row>
    <row r="782">
      <c r="A782" s="1" t="s">
        <v>774</v>
      </c>
      <c r="B782" s="1"/>
      <c r="C782" s="4" t="str">
        <f>HYPERLINK("http://4sq.com/dyWTNV","Mrigadayavan Palace (พระราชนิเวศน์มฤคทายวัน) ")</f>
        <v>Mrigadayavan Palace (พระราชนิเวศน์มฤคทายวัน) </v>
      </c>
      <c r="D782" s="1"/>
      <c r="E782" s="1"/>
    </row>
    <row r="783">
      <c r="A783" s="1" t="s">
        <v>775</v>
      </c>
      <c r="B783" s="1"/>
      <c r="C783" s="4" t="str">
        <f>HYPERLINK("https://4sq.com/2MrC8DM","Mango Mood ")</f>
        <v>Mango Mood </v>
      </c>
      <c r="D783" s="1"/>
      <c r="E783" s="1"/>
    </row>
    <row r="784">
      <c r="A784" s="1" t="s">
        <v>776</v>
      </c>
      <c r="B784" s="1"/>
      <c r="C784" s="4" t="str">
        <f>HYPERLINK("http://4sq.com/93o1Tn","Hub 39 (ฮับ 39) ")</f>
        <v>Hub 39 (ฮับ 39) </v>
      </c>
      <c r="D784" s="1"/>
      <c r="E784" s="1"/>
    </row>
    <row r="785">
      <c r="A785" s="1" t="s">
        <v>777</v>
      </c>
      <c r="B785" s="1"/>
      <c r="C785" s="4" t="str">
        <f>HYPERLINK("http://4sq.com/2rLfKOq","Craftsman Bangkok ")</f>
        <v>Craftsman Bangkok </v>
      </c>
      <c r="D785" s="1"/>
      <c r="E785" s="1"/>
    </row>
    <row r="786">
      <c r="A786" s="1" t="s">
        <v>778</v>
      </c>
      <c r="B786" s="1"/>
      <c r="C786" s="4" t="str">
        <f>HYPERLINK("http://4sq.com/fO3KyX","The Grand Palace (พระบรมมหาราชวัง) ")</f>
        <v>The Grand Palace (พระบรมมหาราชวัง) </v>
      </c>
      <c r="D786" s="1"/>
      <c r="E786" s="1"/>
    </row>
    <row r="787">
      <c r="A787" s="1" t="s">
        <v>779</v>
      </c>
      <c r="B787" s="1"/>
      <c r="C787" s="4" t="str">
        <f>HYPERLINK("http://4sq.com/c7PWam","Sala Arun Cafe &amp; Residence ")</f>
        <v>Sala Arun Cafe &amp; Residence </v>
      </c>
      <c r="D787" s="1"/>
      <c r="E787" s="1"/>
    </row>
    <row r="788">
      <c r="A788" s="1" t="s">
        <v>780</v>
      </c>
      <c r="B788" s="1"/>
      <c r="C788" s="4" t="str">
        <f>HYPERLINK("http://4sq.com/1gedq0v","Eat Sight Story ")</f>
        <v>Eat Sight Story </v>
      </c>
      <c r="D788" s="1"/>
      <c r="E788" s="1"/>
    </row>
    <row r="789">
      <c r="A789" s="1" t="s">
        <v>781</v>
      </c>
      <c r="B789" s="1"/>
      <c r="C789" s="4" t="str">
        <f>HYPERLINK("http://4sq.com/Mj7oRC","25 Degrees (ทเว้นตี้ไฟว์ ดีกรีส์) ")</f>
        <v>25 Degrees (ทเว้นตี้ไฟว์ ดีกรีส์) </v>
      </c>
      <c r="D789" s="1"/>
      <c r="E789" s="1"/>
    </row>
    <row r="790">
      <c r="A790" s="1" t="s">
        <v>782</v>
      </c>
      <c r="B790" s="1"/>
      <c r="C790" s="4" t="str">
        <f>HYPERLINK("http://4sq.com/2rLfKOq","Craftsman Bangkok ")</f>
        <v>Craftsman Bangkok </v>
      </c>
      <c r="D790" s="1"/>
      <c r="E790" s="1"/>
    </row>
    <row r="791">
      <c r="A791" s="1" t="s">
        <v>783</v>
      </c>
      <c r="B791" s="1"/>
      <c r="C791" s="4" t="str">
        <f>HYPERLINK("http://4sq.com/15jihx3","Casa Lapin (คาซ่า ลาแปง) ")</f>
        <v>Casa Lapin (คาซ่า ลาแปง) </v>
      </c>
      <c r="D791" s="1"/>
      <c r="E791" s="1"/>
    </row>
    <row r="792">
      <c r="A792" s="1" t="s">
        <v>784</v>
      </c>
      <c r="B792" s="1"/>
      <c r="C792" s="4" t="str">
        <f>HYPERLINK("https://4sq.com/2MrC8DM","Mango Mood ")</f>
        <v>Mango Mood </v>
      </c>
      <c r="D792" s="1"/>
      <c r="E792" s="1"/>
    </row>
    <row r="793">
      <c r="A793" s="1" t="s">
        <v>785</v>
      </c>
      <c r="B793" s="1"/>
      <c r="C793" s="4" t="str">
        <f>HYPERLINK("http://4sq.com/Tis8JR","Domestic Departures ")</f>
        <v>Domestic Departures </v>
      </c>
      <c r="D793" s="1"/>
      <c r="E793" s="1"/>
    </row>
    <row r="794">
      <c r="A794" s="1" t="s">
        <v>786</v>
      </c>
      <c r="B794" s="1"/>
      <c r="C794" s="4" t="str">
        <f>HYPERLINK("http://4sq.com/2gQOzac","Miracle Co-Working Space ")</f>
        <v>Miracle Co-Working Space </v>
      </c>
      <c r="D794" s="1"/>
      <c r="E794" s="1"/>
    </row>
    <row r="795">
      <c r="A795" s="1" t="s">
        <v>787</v>
      </c>
      <c r="B795" s="1"/>
      <c r="C795" s="4" t="str">
        <f>HYPERLINK("http://4sq.com/bRvF9E","Chiang Mai International Airport (CNX) (ท่าอากาศยานเชียงใหม่) ")</f>
        <v>Chiang Mai International Airport (CNX) (ท่าอากาศยานเชียงใหม่) </v>
      </c>
      <c r="D795" s="1"/>
      <c r="E795" s="1"/>
    </row>
    <row r="796">
      <c r="A796" s="1" t="s">
        <v>788</v>
      </c>
      <c r="B796" s="1"/>
      <c r="C796" s="4" t="str">
        <f>HYPERLINK("http://4sq.com/1GCDoss","เดิมเดิม ")</f>
        <v>เดิมเดิม </v>
      </c>
      <c r="D796" s="1"/>
      <c r="E796" s="1"/>
    </row>
    <row r="797">
      <c r="A797" s="1" t="s">
        <v>789</v>
      </c>
      <c r="B797" s="1"/>
      <c r="C797" s="4" t="str">
        <f>HYPERLINK("https://4sq.com/2F0Mvw5","N THRÉE coffee &amp; eatery #maerim ")</f>
        <v>N THRÉE coffee &amp; eatery #maerim </v>
      </c>
      <c r="D797" s="1"/>
      <c r="E797" s="1"/>
    </row>
    <row r="798">
      <c r="A798" s="1" t="s">
        <v>790</v>
      </c>
      <c r="B798" s="1"/>
      <c r="C798" s="4" t="str">
        <f>HYPERLINK("http://4sq.com/I28LVE","Café de Oasis (คาเฟ่ เดอ โอเอซิส) ")</f>
        <v>Café de Oasis (คาเฟ่ เดอ โอเอซิส) </v>
      </c>
      <c r="D798" s="1"/>
      <c r="E798" s="1"/>
    </row>
    <row r="799">
      <c r="A799" s="1" t="s">
        <v>791</v>
      </c>
      <c r="B799" s="1"/>
      <c r="C799" s="4" t="str">
        <f>HYPERLINK("https://4sq.com/2NtMfti","Houses And Horses ")</f>
        <v>Houses And Horses </v>
      </c>
      <c r="D799" s="1"/>
      <c r="E799" s="1"/>
    </row>
    <row r="800">
      <c r="A800" s="1" t="s">
        <v>792</v>
      </c>
      <c r="B800" s="1"/>
      <c r="C800" s="4" t="str">
        <f>HYPERLINK("http://4sq.com/1dqi2B3","CentralFestival Chiangmai (เซ็นทรัลเฟสติวัล เชียงใหม่) ")</f>
        <v>CentralFestival Chiangmai (เซ็นทรัลเฟสติวัล เชียงใหม่) </v>
      </c>
      <c r="D800" s="1"/>
      <c r="E800" s="1"/>
    </row>
    <row r="801">
      <c r="A801" s="1" t="s">
        <v>793</v>
      </c>
      <c r="B801" s="1"/>
      <c r="C801" s="4" t="str">
        <f>HYPERLINK("http://4sq.com/l2ei3c","Rimdoi Resort ")</f>
        <v>Rimdoi Resort </v>
      </c>
      <c r="D801" s="1"/>
      <c r="E801" s="1"/>
    </row>
    <row r="802">
      <c r="A802" s="1" t="s">
        <v>794</v>
      </c>
      <c r="B802" s="1"/>
      <c r="C802" s="4" t="str">
        <f>HYPERLINK("https://4sq.com/3730zAO","Kusuma Coffee ")</f>
        <v>Kusuma Coffee </v>
      </c>
      <c r="D802" s="1"/>
      <c r="E802" s="1"/>
    </row>
    <row r="803">
      <c r="A803" s="1" t="s">
        <v>795</v>
      </c>
      <c r="B803" s="1"/>
      <c r="C803" s="4" t="str">
        <f>HYPERLINK("http://4sq.com/rBZICq","Maple Coffee ")</f>
        <v>Maple Coffee </v>
      </c>
      <c r="D803" s="1"/>
      <c r="E803" s="1"/>
    </row>
    <row r="804">
      <c r="A804" s="1" t="s">
        <v>796</v>
      </c>
      <c r="B804" s="1"/>
      <c r="C804" s="4" t="str">
        <f>HYPERLINK("http://4sq.com/1E6cigO","จุดชมวิวม่อนสน ")</f>
        <v>จุดชมวิวม่อนสน </v>
      </c>
      <c r="D804" s="1"/>
      <c r="E804" s="1"/>
    </row>
    <row r="805">
      <c r="A805" s="1" t="s">
        <v>797</v>
      </c>
      <c r="B805" s="1"/>
      <c r="C805" s="4" t="str">
        <f>HYPERLINK("http://4sq.com/hNpn6Q","ดอยอ่างขาง ")</f>
        <v>ดอยอ่างขาง </v>
      </c>
      <c r="D805" s="1"/>
      <c r="E805" s="1"/>
    </row>
    <row r="806">
      <c r="A806" s="1" t="s">
        <v>798</v>
      </c>
      <c r="B806" s="1"/>
      <c r="C806" s="4" t="str">
        <f>HYPERLINK("http://4sq.com/howrqq","Wat Tham Chiang Dao (วัดถ้ำเชียงดาว) ")</f>
        <v>Wat Tham Chiang Dao (วัดถ้ำเชียงดาว) </v>
      </c>
      <c r="D806" s="1"/>
      <c r="E806" s="1"/>
    </row>
    <row r="807">
      <c r="A807" s="1" t="s">
        <v>799</v>
      </c>
      <c r="B807" s="1"/>
      <c r="C807" s="4" t="str">
        <f>HYPERLINK("http://4sq.com/i8oIhU","Chiang Dao Cave (ถ้ำเชียงดาว) ")</f>
        <v>Chiang Dao Cave (ถ้ำเชียงดาว) </v>
      </c>
      <c r="D807" s="1"/>
      <c r="E807" s="1"/>
    </row>
    <row r="808">
      <c r="A808" s="1" t="s">
        <v>800</v>
      </c>
      <c r="B808" s="1"/>
      <c r="C808" s="4" t="str">
        <f>HYPERLINK("http://4sq.com/zjSUlB","Domestic Departures ")</f>
        <v>Domestic Departures </v>
      </c>
      <c r="D808" s="1"/>
      <c r="E808" s="1"/>
    </row>
    <row r="809">
      <c r="A809" s="1" t="s">
        <v>801</v>
      </c>
      <c r="B809" s="1"/>
      <c r="C809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809" s="1"/>
      <c r="E809" s="1"/>
    </row>
    <row r="810">
      <c r="A810" s="1" t="s">
        <v>802</v>
      </c>
      <c r="B810" s="1"/>
      <c r="C810" s="4" t="str">
        <f>HYPERLINK("http://4sq.com/15jihx3","Casa Lapin (คาซ่า ลาแปง) ")</f>
        <v>Casa Lapin (คาซ่า ลาแปง) </v>
      </c>
      <c r="D810" s="1"/>
      <c r="E810" s="1"/>
    </row>
    <row r="811">
      <c r="A811" s="1" t="s">
        <v>803</v>
      </c>
      <c r="B811" s="1"/>
      <c r="C811" s="4" t="str">
        <f>HYPERLINK("http://4sq.com/9GnJDm","AIS Shop @Shinawatra Tower 1 ")</f>
        <v>AIS Shop @Shinawatra Tower 1 </v>
      </c>
      <c r="D811" s="1"/>
      <c r="E811" s="1"/>
    </row>
    <row r="812">
      <c r="A812" s="1" t="s">
        <v>804</v>
      </c>
      <c r="B812" s="1"/>
      <c r="C812" s="4" t="str">
        <f>HYPERLINK("http://4sq.com/5UyTcV","Starbucks (สตาร์บัคส์) ")</f>
        <v>Starbucks (สตาร์บัคส์) </v>
      </c>
      <c r="D812" s="1"/>
      <c r="E812" s="1"/>
    </row>
    <row r="813">
      <c r="A813" s="1" t="s">
        <v>805</v>
      </c>
      <c r="B813" s="1"/>
      <c r="C813" s="4" t="str">
        <f>HYPERLINK("http://4sq.com/2hofltd","Cast Iron Burgerhaus ")</f>
        <v>Cast Iron Burgerhaus </v>
      </c>
      <c r="D813" s="1"/>
      <c r="E813" s="1"/>
    </row>
    <row r="814">
      <c r="A814" s="1" t="s">
        <v>806</v>
      </c>
      <c r="B814" s="1"/>
      <c r="C814" s="4" t="str">
        <f>HYPERLINK("http://4sq.com/4xZkKj","Don Mueang International Airport (DMK) (ท่าอากาศยานดอนเมือง) ")</f>
        <v>Don Mueang International Airport (DMK) (ท่าอากาศยานดอนเมือง) </v>
      </c>
      <c r="D814" s="1"/>
      <c r="E814" s="1"/>
    </row>
    <row r="815">
      <c r="A815" s="1" t="s">
        <v>807</v>
      </c>
      <c r="B815" s="1"/>
      <c r="C815" s="4" t="str">
        <f>HYPERLINK("http://4sq.com/2pNeIA4","Miracle Lounge ")</f>
        <v>Miracle Lounge </v>
      </c>
      <c r="D815" s="1"/>
      <c r="E815" s="1"/>
    </row>
    <row r="816">
      <c r="A816" s="1" t="s">
        <v>808</v>
      </c>
      <c r="B816" s="1"/>
      <c r="C816" s="4" t="str">
        <f>HYPERLINK("http://4sq.com/zYP57p","Mama Mia ")</f>
        <v>Mama Mia </v>
      </c>
      <c r="D816" s="1"/>
      <c r="E816" s="1"/>
    </row>
    <row r="817">
      <c r="A817" s="1" t="s">
        <v>809</v>
      </c>
      <c r="B817" s="1"/>
      <c r="C817" s="4" t="str">
        <f>HYPERLINK("http://4sq.com/1jUkasi","SUBWAY (ซับเวย์) ")</f>
        <v>SUBWAY (ซับเวย์) </v>
      </c>
      <c r="D817" s="1"/>
      <c r="E817" s="1"/>
    </row>
    <row r="818">
      <c r="A818" s="1" t="s">
        <v>810</v>
      </c>
      <c r="B818" s="1"/>
      <c r="C818" s="4" t="str">
        <f>HYPERLINK("https://4sq.com/2MkRHQH","Grooveyard ")</f>
        <v>Grooveyard </v>
      </c>
      <c r="D818" s="1"/>
      <c r="E818" s="1"/>
    </row>
    <row r="819">
      <c r="A819" s="1" t="s">
        <v>811</v>
      </c>
      <c r="B819" s="1"/>
      <c r="C819" s="4" t="str">
        <f>HYPERLINK("http://4sq.com/I28LVE","Café de Oasis (คาเฟ่ เดอ โอเอซิส) ")</f>
        <v>Café de Oasis (คาเฟ่ เดอ โอเอซิส) </v>
      </c>
      <c r="D819" s="1"/>
      <c r="E819" s="1"/>
    </row>
    <row r="820">
      <c r="A820" s="1" t="s">
        <v>812</v>
      </c>
      <c r="B820" s="1"/>
      <c r="C820" s="4" t="str">
        <f>HYPERLINK("http://4sq.com/o3ZEdO","See Paak Restaurant ")</f>
        <v>See Paak Restaurant </v>
      </c>
      <c r="D820" s="1"/>
      <c r="E820" s="1"/>
    </row>
    <row r="821">
      <c r="A821" s="1" t="s">
        <v>813</v>
      </c>
      <c r="B821" s="1"/>
      <c r="C821" s="4" t="str">
        <f>HYPERLINK("http://4sq.com/1LwwIEn","Let It Be ")</f>
        <v>Let It Be </v>
      </c>
      <c r="D821" s="1"/>
      <c r="E821" s="1"/>
    </row>
    <row r="822">
      <c r="A822" s="1" t="s">
        <v>814</v>
      </c>
      <c r="B822" s="1"/>
      <c r="C822" s="4" t="str">
        <f>HYPERLINK("http://4sq.com/10QOCd0","The Mexican Grill ")</f>
        <v>The Mexican Grill </v>
      </c>
      <c r="D822" s="1"/>
      <c r="E822" s="1"/>
    </row>
    <row r="823">
      <c r="A823" s="1" t="s">
        <v>815</v>
      </c>
      <c r="B823" s="1"/>
      <c r="C823" s="4" t="str">
        <f>HYPERLINK("http://4sq.com/J658Ij","Lobby ")</f>
        <v>Lobby </v>
      </c>
      <c r="D823" s="1"/>
      <c r="E823" s="1"/>
    </row>
    <row r="824">
      <c r="A824" s="1" t="s">
        <v>816</v>
      </c>
      <c r="B824" s="1"/>
      <c r="C824" s="4" t="str">
        <f>HYPERLINK("https://4sq.com/2MkRHQH","Grooveyard ")</f>
        <v>Grooveyard </v>
      </c>
      <c r="D824" s="1"/>
      <c r="E824" s="1"/>
    </row>
    <row r="825">
      <c r="A825" s="1" t="s">
        <v>817</v>
      </c>
      <c r="B825" s="1"/>
      <c r="C825" s="4" t="str">
        <f t="shared" ref="C825:C826" si="6">HYPERLINK("http://4sq.com/o20q60","Omelette Bakery Cafe ")</f>
        <v>Omelette Bakery Cafe </v>
      </c>
      <c r="D825" s="1"/>
      <c r="E825" s="1"/>
    </row>
    <row r="826">
      <c r="A826" s="1" t="s">
        <v>817</v>
      </c>
      <c r="B826" s="1"/>
      <c r="C826" s="4" t="str">
        <f t="shared" si="6"/>
        <v>Omelette Bakery Cafe </v>
      </c>
      <c r="D826" s="1"/>
      <c r="E826" s="1"/>
    </row>
    <row r="827">
      <c r="A827" s="1" t="s">
        <v>818</v>
      </c>
      <c r="B827" s="1"/>
      <c r="C827" s="4" t="str">
        <f>HYPERLINK("http://4sq.com/1LwwIEn","Let It Be ")</f>
        <v>Let It Be </v>
      </c>
      <c r="D827" s="1"/>
      <c r="E827" s="1"/>
    </row>
    <row r="828">
      <c r="A828" s="1" t="s">
        <v>819</v>
      </c>
      <c r="B828" s="1"/>
      <c r="C828" s="4" t="str">
        <f>HYPERLINK("http://foursquare.com/v/4c73348313228cfaa1512d65","The Salad Concept ")</f>
        <v>The Salad Concept </v>
      </c>
      <c r="D828" s="1"/>
      <c r="E828" s="1"/>
    </row>
    <row r="829">
      <c r="A829" s="1" t="s">
        <v>820</v>
      </c>
      <c r="B829" s="1"/>
      <c r="C829" s="4" t="str">
        <f>HYPERLINK("http://foursquare.com/v/591ec791b8fd9d18dbaa4730","MICU3 รพ.นครพิงค์ ")</f>
        <v>MICU3 รพ.นครพิงค์ </v>
      </c>
      <c r="D829" s="1"/>
      <c r="E829" s="1"/>
    </row>
    <row r="830">
      <c r="A830" s="1" t="s">
        <v>821</v>
      </c>
      <c r="B830" s="1"/>
      <c r="C830" s="4" t="str">
        <f>HYPERLINK("http://foursquare.com/v/4c00b56834ccc928b412e2cd","Pankled Coffee (แป้นเกล็ด คอฟฟี่) ")</f>
        <v>Pankled Coffee (แป้นเกล็ด คอฟฟี่) </v>
      </c>
      <c r="D830" s="1"/>
      <c r="E830" s="1"/>
    </row>
    <row r="831">
      <c r="A831" s="1" t="s">
        <v>822</v>
      </c>
      <c r="B831" s="1"/>
      <c r="C831" s="4" t="str">
        <f>HYPERLINK("http://foursquare.com/v/56947ba6498e01095bcde7b1","Om Garden Cafe ")</f>
        <v>Om Garden Cafe </v>
      </c>
      <c r="D831" s="1"/>
      <c r="E831" s="1"/>
    </row>
    <row r="832">
      <c r="A832" s="1" t="s">
        <v>823</v>
      </c>
      <c r="B832" s="1"/>
      <c r="C832" s="4" t="str">
        <f>HYPERLINK("http://foursquare.com/v/548febcd498e488ccaf72935","Village Farm ")</f>
        <v>Village Farm </v>
      </c>
      <c r="D832" s="1"/>
      <c r="E832" s="1"/>
    </row>
    <row r="833">
      <c r="A833" s="1" t="s">
        <v>824</v>
      </c>
      <c r="B833" s="1"/>
      <c r="C833" s="4" t="str">
        <f>HYPERLINK("http://foursquare.com/v/5e05a1cc482d2d0008a68248","Tubpi ")</f>
        <v>Tubpi </v>
      </c>
      <c r="D833" s="1"/>
      <c r="E833" s="1"/>
    </row>
    <row r="834">
      <c r="A834" s="1" t="s">
        <v>825</v>
      </c>
      <c r="B834" s="1"/>
      <c r="C834" s="4" t="str">
        <f>HYPERLINK("http://foursquare.com/v/51b030ef498efa391334b8d5","Reverie Siam ")</f>
        <v>Reverie Siam </v>
      </c>
      <c r="D834" s="1"/>
      <c r="E834" s="1"/>
    </row>
    <row r="835">
      <c r="A835" s="1" t="s">
        <v>826</v>
      </c>
      <c r="B835" s="1"/>
      <c r="C835" s="4" t="str">
        <f>HYPERLINK("http://foursquare.com/v/4d2b3c8177a2a1cd60687bb7","Café d'tist ")</f>
        <v>Café d'tist </v>
      </c>
      <c r="D835" s="1"/>
      <c r="E835" s="1"/>
    </row>
    <row r="836">
      <c r="A836" s="1" t="s">
        <v>827</v>
      </c>
      <c r="B836" s="1"/>
      <c r="C836" s="4" t="str">
        <f>HYPERLINK("http://foursquare.com/v/53d46ffe498ece88aee94191","Lemon Thyme Cafe ")</f>
        <v>Lemon Thyme Cafe </v>
      </c>
      <c r="D836" s="1"/>
      <c r="E836" s="1"/>
    </row>
    <row r="837">
      <c r="A837" s="1" t="s">
        <v>828</v>
      </c>
      <c r="B837" s="1"/>
      <c r="C837" s="4" t="str">
        <f>HYPERLINK("http://foursquare.com/v/59eb66c386f4cc18060e7889","Art Farm Studio ")</f>
        <v>Art Farm Studio </v>
      </c>
      <c r="D837" s="1"/>
      <c r="E837" s="1"/>
    </row>
    <row r="838">
      <c r="A838" s="1" t="s">
        <v>829</v>
      </c>
      <c r="B838" s="1"/>
      <c r="C838" s="4" t="str">
        <f>HYPERLINK("http://foursquare.com/v/5684c8a3498eede815d3ea7e","ศูนย์วัฒนธรรมจีนยูนนาน ")</f>
        <v>ศูนย์วัฒนธรรมจีนยูนนาน </v>
      </c>
      <c r="D838" s="1"/>
      <c r="E838" s="1"/>
    </row>
    <row r="839">
      <c r="A839" s="1" t="s">
        <v>830</v>
      </c>
      <c r="B839" s="1"/>
      <c r="C839" s="4" t="str">
        <f>HYPERLINK("http://foursquare.com/v/4baca383f964a52004003be3","Baan Suan Mae Rim Restaurant (บ้านสวนแม่ริม) ")</f>
        <v>Baan Suan Mae Rim Restaurant (บ้านสวนแม่ริม) </v>
      </c>
      <c r="D839" s="1"/>
      <c r="E839" s="1"/>
    </row>
    <row r="840">
      <c r="A840" s="1" t="s">
        <v>831</v>
      </c>
      <c r="B840" s="1"/>
      <c r="C840" s="4" t="str">
        <f>HYPERLINK("http://foursquare.com/v/4d68de131a88b1f7eba4235d","Caltex (คาลเท็กซ์) ")</f>
        <v>Caltex (คาลเท็กซ์) </v>
      </c>
      <c r="D840" s="1"/>
      <c r="E840" s="1"/>
    </row>
    <row r="841">
      <c r="A841" s="1" t="s">
        <v>832</v>
      </c>
      <c r="B841" s="1"/>
      <c r="C841" s="4" t="str">
        <f>HYPERLINK("http://foursquare.com/v/516548aee4b02da86110629f","Lumdee Te Khuadang (ลำดีตี้ขัวแดง) ")</f>
        <v>Lumdee Te Khuadang (ลำดีตี้ขัวแดง) </v>
      </c>
      <c r="D841" s="1"/>
      <c r="E841" s="1"/>
    </row>
    <row r="842">
      <c r="A842" s="1" t="s">
        <v>833</v>
      </c>
      <c r="B842" s="1"/>
      <c r="C842" s="4" t="str">
        <f>HYPERLINK("http://foursquare.com/v/5cf11ccc1af852002c19d692","Grooveyard ")</f>
        <v>Grooveyard </v>
      </c>
      <c r="D842" s="1"/>
      <c r="E842" s="1"/>
    </row>
    <row r="843">
      <c r="A843" s="1" t="s">
        <v>834</v>
      </c>
      <c r="B843" s="1"/>
      <c r="C843" s="4" t="str">
        <f>HYPERLINK("http://foursquare.com/v/4c0641e5d3842d7fff48bf41","Makro (แม็คโคร) ")</f>
        <v>Makro (แม็คโคร) </v>
      </c>
      <c r="D843" s="1"/>
      <c r="E843" s="1"/>
    </row>
    <row r="844">
      <c r="A844" s="1" t="s">
        <v>835</v>
      </c>
      <c r="B844" s="1"/>
      <c r="C844" s="4" t="str">
        <f>HYPERLINK("http://foursquare.com/v/53437cef498e597e9d2a105b","and ann coffee ")</f>
        <v>and ann coffee </v>
      </c>
      <c r="D844" s="1"/>
      <c r="E844" s="1"/>
    </row>
    <row r="845">
      <c r="A845" s="1" t="s">
        <v>836</v>
      </c>
      <c r="B845" s="1"/>
      <c r="C845" s="4" t="str">
        <f>HYPERLINK("http://foursquare.com/v/5c4bf475ea1e44002c2c8583","Terra ")</f>
        <v>Terra </v>
      </c>
      <c r="D845" s="1"/>
      <c r="E845" s="1"/>
    </row>
    <row r="846">
      <c r="A846" s="1" t="s">
        <v>837</v>
      </c>
      <c r="B846" s="1"/>
      <c r="C846" s="4" t="str">
        <f t="shared" ref="C846:C847" si="7">HYPERLINK("http://foursquare.com/v/4e812c63b6347681cf28da50","Omelette Bakery Cafe ")</f>
        <v>Omelette Bakery Cafe </v>
      </c>
      <c r="D846" s="1"/>
      <c r="E846" s="1"/>
    </row>
    <row r="847">
      <c r="A847" s="1" t="s">
        <v>838</v>
      </c>
      <c r="B847" s="1"/>
      <c r="C847" s="4" t="str">
        <f t="shared" si="7"/>
        <v>Omelette Bakery Cafe </v>
      </c>
      <c r="D847" s="1"/>
      <c r="E847" s="1"/>
    </row>
    <row r="848">
      <c r="A848" s="1" t="s">
        <v>839</v>
      </c>
      <c r="B848" s="1"/>
      <c r="C848" s="4" t="str">
        <f>HYPERLINK("http://foursquare.com/v/4c71d6bd4bc4236a08f7c97a","Siam Commercial Bank (ธนาคารไทยพาณิชย์) ")</f>
        <v>Siam Commercial Bank (ธนาคารไทยพาณิชย์) </v>
      </c>
      <c r="D848" s="1"/>
      <c r="E848" s="1"/>
    </row>
    <row r="849">
      <c r="A849" s="1" t="s">
        <v>840</v>
      </c>
      <c r="B849" s="1"/>
      <c r="C849" s="4" t="str">
        <f>HYPERLINK("http://foursquare.com/v/52936b3711d236a1a41721ff","Manifreshto ")</f>
        <v>Manifreshto </v>
      </c>
      <c r="D849" s="1"/>
      <c r="E849" s="1"/>
    </row>
    <row r="850">
      <c r="A850" s="1" t="s">
        <v>841</v>
      </c>
      <c r="B850" s="1"/>
      <c r="C850" s="4" t="str">
        <f>HYPERLINK("http://foursquare.com/v/4d035558c2e537044b04b167","Doi Pui ")</f>
        <v>Doi Pui </v>
      </c>
      <c r="D850" s="1"/>
      <c r="E850" s="1"/>
    </row>
    <row r="851">
      <c r="A851" s="1" t="s">
        <v>842</v>
      </c>
      <c r="B851" s="1"/>
      <c r="C851" s="4" t="str">
        <f>HYPERLINK("http://foursquare.com/v/4b6a5a4ef964a5202cd32be3","The Garden Restaurant ")</f>
        <v>The Garden Restaurant </v>
      </c>
      <c r="D851" s="1"/>
      <c r="E851" s="1"/>
    </row>
    <row r="852">
      <c r="A852" s="1" t="s">
        <v>843</v>
      </c>
      <c r="B852" s="1"/>
      <c r="C852" s="4" t="str">
        <f>HYPERLINK("http://foursquare.com/v/5cf11ccc1af852002c19d692","Grooveyard ")</f>
        <v>Grooveyard </v>
      </c>
      <c r="D852" s="1"/>
      <c r="E852" s="1"/>
    </row>
    <row r="853">
      <c r="A853" s="1" t="s">
        <v>844</v>
      </c>
      <c r="B853" s="1"/>
      <c r="C853" s="4" t="str">
        <f>HYPERLINK("http://foursquare.com/v/53437cef498e597e9d2a105b","and ann coffee ")</f>
        <v>and ann coffee </v>
      </c>
      <c r="D853" s="1"/>
      <c r="E853" s="1"/>
    </row>
    <row r="854">
      <c r="A854" s="1" t="s">
        <v>845</v>
      </c>
      <c r="B854" s="1"/>
      <c r="C854" s="4" t="str">
        <f>HYPERLINK("http://foursquare.com/v/4d9968d261a3a1cdbbfde342","ครัวดวงสมพงษ์ ")</f>
        <v>ครัวดวงสมพงษ์ </v>
      </c>
      <c r="D854" s="1"/>
      <c r="E854" s="1"/>
    </row>
    <row r="855">
      <c r="A855" s="1" t="s">
        <v>846</v>
      </c>
      <c r="B855" s="1"/>
      <c r="C855" s="4" t="str">
        <f>HYPERLINK("http://foursquare.com/v/51a96312498e5a9d360d455c","Food4thought ")</f>
        <v>Food4thought </v>
      </c>
      <c r="D855" s="1"/>
      <c r="E855" s="1"/>
    </row>
    <row r="856">
      <c r="A856" s="1" t="s">
        <v>847</v>
      </c>
      <c r="B856" s="1"/>
      <c r="C856" s="4" t="str">
        <f>HYPERLINK("http://foursquare.com/v/5af973fb67af3a002c4f8904","NM Dental Clinic ")</f>
        <v>NM Dental Clinic </v>
      </c>
      <c r="D856" s="1"/>
      <c r="E856" s="1"/>
    </row>
    <row r="857">
      <c r="A857" s="1" t="s">
        <v>848</v>
      </c>
      <c r="B857" s="1"/>
      <c r="C857" s="4" t="str">
        <f>HYPERLINK("http://foursquare.com/v/54a76fc9498ee803e30b8e94","Jario Coffee (จาริโอ้ คอฟฟี่) ")</f>
        <v>Jario Coffee (จาริโอ้ คอฟฟี่) </v>
      </c>
      <c r="D857" s="1"/>
      <c r="E857" s="1"/>
    </row>
    <row r="858">
      <c r="A858" s="1" t="s">
        <v>849</v>
      </c>
      <c r="B858" s="1"/>
      <c r="C858" s="4" t="str">
        <f>HYPERLINK("http://foursquare.com/v/57becb6d498e9235fffaaa02","Lamona View Swimming Pool ")</f>
        <v>Lamona View Swimming Pool </v>
      </c>
      <c r="D858" s="1"/>
      <c r="E858" s="1"/>
    </row>
    <row r="859">
      <c r="A859" s="1" t="s">
        <v>850</v>
      </c>
      <c r="B859" s="1"/>
      <c r="C859" s="4" t="str">
        <f>HYPERLINK("http://foursquare.com/v/5cf11ccc1af852002c19d692","Grooveyard ")</f>
        <v>Grooveyard </v>
      </c>
      <c r="D859" s="1"/>
      <c r="E859" s="1"/>
    </row>
    <row r="860">
      <c r="A860" s="1" t="s">
        <v>851</v>
      </c>
      <c r="B860" s="1"/>
      <c r="C860" s="4" t="str">
        <f>HYPERLINK("http://foursquare.com/v/5652fb0f498efc7329587118","salsa kitchen ")</f>
        <v>salsa kitchen </v>
      </c>
      <c r="D860" s="1"/>
      <c r="E860" s="1"/>
    </row>
    <row r="861">
      <c r="A861" s="1" t="s">
        <v>852</v>
      </c>
      <c r="B861" s="1"/>
      <c r="C861" s="4" t="str">
        <f>HYPERLINK("http://foursquare.com/v/5a7ddd6f4b78c533d010e7a6","Ginger Farm Kitchen (จินเจอร์ ฟาร์ม คิทเช่น) ")</f>
        <v>Ginger Farm Kitchen (จินเจอร์ ฟาร์ม คิทเช่น) </v>
      </c>
      <c r="D861" s="1"/>
      <c r="E861" s="1"/>
    </row>
    <row r="862">
      <c r="A862" s="1" t="s">
        <v>853</v>
      </c>
      <c r="B862" s="1"/>
      <c r="C862" s="4" t="str">
        <f>HYPERLINK("http://foursquare.com/v/53cf0964498e17abac63e3ea","SUBWAY (ซับเวย์) ")</f>
        <v>SUBWAY (ซับเวย์) </v>
      </c>
      <c r="D862" s="1"/>
      <c r="E862" s="1"/>
    </row>
    <row r="863">
      <c r="A863" s="1" t="s">
        <v>854</v>
      </c>
      <c r="B863" s="1"/>
      <c r="C863" s="4" t="str">
        <f>HYPERLINK("http://foursquare.com/v/5c4bf475ea1e44002c2c8583","Terra ")</f>
        <v>Terra </v>
      </c>
      <c r="D863" s="1"/>
      <c r="E863" s="1"/>
    </row>
    <row r="864">
      <c r="A864" s="1" t="s">
        <v>855</v>
      </c>
      <c r="B864" s="1"/>
      <c r="C864" s="4" t="str">
        <f>HYPERLINK("http://foursquare.com/v/4d0edc465c816ea826777f20","Wat Phrathat Chum Mueang (วัดพระธาตุชุ่มเมือง) ")</f>
        <v>Wat Phrathat Chum Mueang (วัดพระธาตุชุ่มเมือง) </v>
      </c>
      <c r="D864" s="1"/>
      <c r="E864" s="1"/>
    </row>
    <row r="865">
      <c r="A865" s="1" t="s">
        <v>856</v>
      </c>
      <c r="B865" s="1"/>
      <c r="C865" s="4" t="str">
        <f>HYPERLINK("http://foursquare.com/v/5cf11ccc1af852002c19d692","Grooveyard ")</f>
        <v>Grooveyard </v>
      </c>
      <c r="D865" s="1"/>
      <c r="E865" s="1"/>
    </row>
    <row r="866">
      <c r="A866" s="1" t="s">
        <v>857</v>
      </c>
      <c r="B866" s="1"/>
      <c r="C866" s="4" t="str">
        <f>HYPERLINK("http://foursquare.com/v/519aeea3498eb8db77a2e186","Oh Ka Ju Organic Salad &amp; Coffee (สวนผักโอ้กะจู๋) ")</f>
        <v>Oh Ka Ju Organic Salad &amp; Coffee (สวนผักโอ้กะจู๋) </v>
      </c>
      <c r="D866" s="1"/>
      <c r="E866" s="1"/>
    </row>
    <row r="867">
      <c r="A867" s="1" t="s">
        <v>858</v>
      </c>
      <c r="B867" s="1"/>
      <c r="C867" s="4" t="str">
        <f>HYPERLINK("http://foursquare.com/v/56ecfcd2498ebcce49b381fc","Let It Be ")</f>
        <v>Let It Be </v>
      </c>
      <c r="D867" s="1"/>
      <c r="E867" s="1"/>
    </row>
    <row r="868">
      <c r="A868" s="1" t="s">
        <v>859</v>
      </c>
      <c r="B868" s="1"/>
      <c r="C868" s="4" t="str">
        <f>HYPERLINK("http://foursquare.com/v/53cf0964498e17abac63e3ea","SUBWAY (ซับเวย์) ")</f>
        <v>SUBWAY (ซับเวย์) </v>
      </c>
      <c r="D868" s="1"/>
      <c r="E868" s="1"/>
    </row>
    <row r="869">
      <c r="A869" s="1" t="s">
        <v>860</v>
      </c>
      <c r="B869" s="1"/>
      <c r="C869" s="4" t="str">
        <f>HYPERLINK("http://foursquare.com/v/525a507711d2688d8baf9da2","The Duke's (เดอะดุ๊กส์) ")</f>
        <v>The Duke's (เดอะดุ๊กส์) </v>
      </c>
      <c r="D869" s="1"/>
      <c r="E869" s="1"/>
    </row>
    <row r="870">
      <c r="A870" s="1" t="s">
        <v>861</v>
      </c>
      <c r="B870" s="1"/>
      <c r="C870" s="4" t="str">
        <f>HYPERLINK("http://foursquare.com/v/56ecfcd2498ebcce49b381fc","Let It Be ")</f>
        <v>Let It Be </v>
      </c>
      <c r="D870" s="1"/>
      <c r="E870" s="1"/>
    </row>
    <row r="871">
      <c r="A871" s="1" t="s">
        <v>862</v>
      </c>
      <c r="B871" s="1"/>
      <c r="C871" s="4" t="str">
        <f>HYPERLINK("http://foursquare.com/v/4d20278b16cfb60c4b035761","Caltex พรหมพิราม ")</f>
        <v>Caltex พรหมพิราม </v>
      </c>
      <c r="D871" s="1"/>
      <c r="E871" s="1"/>
    </row>
    <row r="872">
      <c r="A872" s="1" t="s">
        <v>863</v>
      </c>
      <c r="B872" s="1"/>
      <c r="C872" s="4" t="str">
        <f>HYPERLINK("http://foursquare.com/v/55fd0a80498edff47e6a4508","โบราณนิยม @ เขาค้อ ")</f>
        <v>โบราณนิยม @ เขาค้อ </v>
      </c>
      <c r="D872" s="1"/>
      <c r="E872" s="1"/>
    </row>
    <row r="873">
      <c r="A873" s="1" t="s">
        <v>864</v>
      </c>
      <c r="B873" s="1"/>
      <c r="C873" s="4" t="str">
        <f>HYPERLINK("http://foursquare.com/v/548980a1498eeb0698e6e75f","View Point Khao Kho Hotel (โรงแรมวิวพอยท์ เขาค้อ) ")</f>
        <v>View Point Khao Kho Hotel (โรงแรมวิวพอยท์ เขาค้อ) </v>
      </c>
      <c r="D873" s="1"/>
      <c r="E873" s="1"/>
    </row>
    <row r="874">
      <c r="A874" s="1" t="s">
        <v>865</v>
      </c>
      <c r="B874" s="1"/>
      <c r="C874" s="4" t="str">
        <f>HYPERLINK("http://foursquare.com/v/58737716c5f8a7566a4b553f","180All Day All Season ")</f>
        <v>180All Day All Season </v>
      </c>
      <c r="D874" s="1"/>
      <c r="E874" s="1"/>
    </row>
    <row r="875">
      <c r="A875" s="1" t="s">
        <v>866</v>
      </c>
      <c r="B875" s="1"/>
      <c r="C875" s="4" t="str">
        <f>HYPERLINK("http://foursquare.com/v/578dbb42498ee07e7a7772d4","PTT (ปตท.) ")</f>
        <v>PTT (ปตท.) </v>
      </c>
      <c r="D875" s="1"/>
      <c r="E875" s="1"/>
    </row>
    <row r="876">
      <c r="A876" s="1" t="s">
        <v>867</v>
      </c>
      <c r="B876" s="1"/>
      <c r="C876" s="4" t="str">
        <f>HYPERLINK("http://foursquare.com/v/4f015f208231bcb7053f223a","Wat Khao Chong Pran (วัดเขาช่องพราน) ")</f>
        <v>Wat Khao Chong Pran (วัดเขาช่องพราน) </v>
      </c>
      <c r="D876" s="1"/>
      <c r="E876" s="1"/>
    </row>
    <row r="877">
      <c r="A877" s="1" t="s">
        <v>868</v>
      </c>
      <c r="B877" s="1"/>
      <c r="C877" s="4" t="str">
        <f>HYPERLINK("http://foursquare.com/v/5e77fe977ebc8d00088abd7d","The Sun Resort ")</f>
        <v>The Sun Resort </v>
      </c>
      <c r="D877" s="1"/>
      <c r="E877" s="1"/>
    </row>
    <row r="878">
      <c r="A878" s="1" t="s">
        <v>869</v>
      </c>
      <c r="B878" s="1"/>
      <c r="C878" s="4" t="str">
        <f>HYPERLINK("http://foursquare.com/v/4d6c910a129a6ea86eb5e655","PTT Park Station (ปตท. พาร์ค) ")</f>
        <v>PTT Park Station (ปตท. พาร์ค) </v>
      </c>
      <c r="D878" s="1"/>
      <c r="E878" s="1"/>
    </row>
    <row r="879">
      <c r="A879" s="1" t="s">
        <v>870</v>
      </c>
      <c r="B879" s="1"/>
      <c r="C879" s="4" t="str">
        <f>HYPERLINK("http://foursquare.com/v/5ca70e423d4791002cbb66cb","Starbucks (สตาร์บัคส์) ")</f>
        <v>Starbucks (สตาร์บัคส์) </v>
      </c>
      <c r="D879" s="1"/>
      <c r="E879" s="1"/>
    </row>
    <row r="880">
      <c r="A880" s="1" t="s">
        <v>871</v>
      </c>
      <c r="B880" s="1"/>
      <c r="C880" s="4" t="str">
        <f>HYPERLINK("http://foursquare.com/v/4c9c456d03133704950654d5","Ao Noi Beach ")</f>
        <v>Ao Noi Beach </v>
      </c>
      <c r="D880" s="1"/>
      <c r="E880" s="1"/>
    </row>
    <row r="881">
      <c r="A881" s="1" t="s">
        <v>872</v>
      </c>
      <c r="B881" s="1"/>
      <c r="C881" s="4" t="str">
        <f>HYPERLINK("http://foursquare.com/v/4d1d6514f7a9a14358f70f9f","Ao Manao (อ่าวมะนาว) ")</f>
        <v>Ao Manao (อ่าวมะนาว) </v>
      </c>
      <c r="D881" s="1"/>
      <c r="E881" s="1"/>
    </row>
    <row r="882">
      <c r="A882" s="1" t="s">
        <v>873</v>
      </c>
      <c r="B882" s="1"/>
      <c r="C882" s="4" t="str">
        <f>HYPERLINK("http://foursquare.com/v/4eb50415775b544c271a73c9","สะพานปลาทับสะแก ")</f>
        <v>สะพานปลาทับสะแก </v>
      </c>
      <c r="D882" s="1"/>
      <c r="E882" s="1"/>
    </row>
    <row r="883">
      <c r="A883" s="1" t="s">
        <v>874</v>
      </c>
      <c r="B883" s="1"/>
      <c r="C883" s="4" t="str">
        <f>HYPERLINK("http://foursquare.com/v/4bdcdaf7afe8c9b60e585185","หาดสน รีสอร์ท ")</f>
        <v>หาดสน รีสอร์ท </v>
      </c>
      <c r="D883" s="1"/>
      <c r="E883" s="1"/>
    </row>
    <row r="884">
      <c r="A884" s="1" t="s">
        <v>875</v>
      </c>
      <c r="B884" s="1"/>
      <c r="C884" s="4" t="str">
        <f t="shared" ref="C884:C885" si="8">HYPERLINK("http://foursquare.com/v/5b40975cb1ec13002c5b3ece","Café Fishery ")</f>
        <v>Café Fishery </v>
      </c>
      <c r="D884" s="1"/>
      <c r="E884" s="1"/>
    </row>
    <row r="885">
      <c r="A885" s="1" t="s">
        <v>876</v>
      </c>
      <c r="B885" s="1"/>
      <c r="C885" s="4" t="str">
        <f t="shared" si="8"/>
        <v>Café Fishery </v>
      </c>
      <c r="D885" s="1"/>
      <c r="E885" s="1"/>
    </row>
    <row r="886">
      <c r="A886" s="1" t="s">
        <v>877</v>
      </c>
      <c r="B886" s="1"/>
      <c r="C886" s="4" t="str">
        <f>HYPERLINK("http://foursquare.com/v/4bdd062ed33f2d7f90258a3c","Bang Boet Beach (หาดบางเบิด) ")</f>
        <v>Bang Boet Beach (หาดบางเบิด) </v>
      </c>
      <c r="D886" s="1"/>
      <c r="E886" s="1"/>
    </row>
    <row r="887">
      <c r="A887" s="1" t="s">
        <v>878</v>
      </c>
      <c r="B887" s="1"/>
      <c r="C887" s="4" t="str">
        <f>HYPERLINK("http://foursquare.com/v/4d747877170ab1f79e15f594","โครงการพัฒนาส่วนพระองค์ บ้านบางเบิด ")</f>
        <v>โครงการพัฒนาส่วนพระองค์ บ้านบางเบิด </v>
      </c>
      <c r="D887" s="1"/>
      <c r="E887" s="1"/>
    </row>
    <row r="888">
      <c r="A888" s="1" t="s">
        <v>879</v>
      </c>
      <c r="B888" s="1"/>
      <c r="C888" s="4" t="str">
        <f>HYPERLINK("http://foursquare.com/v/4ee83bc9d3e31fdba186cabb","Sand Dune in Chumphon (เนินทรายงามที่ชุมพร) ")</f>
        <v>Sand Dune in Chumphon (เนินทรายงามที่ชุมพร) </v>
      </c>
      <c r="D888" s="1"/>
      <c r="E888" s="1"/>
    </row>
    <row r="889">
      <c r="A889" s="1" t="s">
        <v>880</v>
      </c>
      <c r="B889" s="1"/>
      <c r="C889" s="4" t="str">
        <f>HYPERLINK("http://foursquare.com/v/4f8ab443e4b0ab5c891134d7","Wat Kaew Prasert (วัดแก้วประเสริฐ) ")</f>
        <v>Wat Kaew Prasert (วัดแก้วประเสริฐ) </v>
      </c>
      <c r="D889" s="1"/>
      <c r="E889" s="1"/>
    </row>
    <row r="890">
      <c r="A890" s="1" t="s">
        <v>881</v>
      </c>
      <c r="B890" s="1"/>
      <c r="C890" s="4" t="str">
        <f>HYPERLINK("http://foursquare.com/v/4d1c0701763fb1f7419d8766","PTT Kao Phang ")</f>
        <v>PTT Kao Phang </v>
      </c>
      <c r="D890" s="1"/>
      <c r="E890" s="1"/>
    </row>
    <row r="891">
      <c r="A891" s="1" t="s">
        <v>882</v>
      </c>
      <c r="B891" s="1"/>
      <c r="C891" s="4" t="str">
        <f>HYPERLINK("http://foursquare.com/v/4c3c4c7fb36ac9284fd80386","Our Jungle House Resort ")</f>
        <v>Our Jungle House Resort </v>
      </c>
      <c r="D891" s="1"/>
      <c r="E891" s="1"/>
    </row>
    <row r="892">
      <c r="A892" s="1" t="s">
        <v>883</v>
      </c>
      <c r="B892" s="1"/>
      <c r="C892" s="4" t="str">
        <f>HYPERLINK("http://foursquare.com/v/5e7aed100da524000775019e","Esso ")</f>
        <v>Esso </v>
      </c>
      <c r="D892" s="1"/>
      <c r="E892" s="1"/>
    </row>
    <row r="893">
      <c r="A893" s="1" t="s">
        <v>884</v>
      </c>
      <c r="B893" s="1"/>
      <c r="C893" s="4" t="str">
        <f>HYPERLINK("http://foursquare.com/v/4d86dcdc5e70224b60023f09","Mai Khao Beach (หาดไม้ขาว) ")</f>
        <v>Mai Khao Beach (หาดไม้ขาว) </v>
      </c>
      <c r="D893" s="1"/>
      <c r="E893" s="1"/>
    </row>
    <row r="894">
      <c r="A894" s="1" t="s">
        <v>885</v>
      </c>
      <c r="B894" s="1"/>
      <c r="C894" s="4" t="str">
        <f>HYPERLINK("http://foursquare.com/v/5779cb22498e605ee4019439","Maikhao Plaza ")</f>
        <v>Maikhao Plaza </v>
      </c>
      <c r="D894" s="1"/>
      <c r="E894" s="1"/>
    </row>
    <row r="895">
      <c r="A895" s="1" t="s">
        <v>886</v>
      </c>
      <c r="B895" s="1"/>
      <c r="C895" s="4" t="str">
        <f>HYPERLINK("http://foursquare.com/v/583667b7f697e03e516eb502","Shell Gas Station ")</f>
        <v>Shell Gas Station </v>
      </c>
      <c r="D895" s="1"/>
      <c r="E895" s="1"/>
    </row>
    <row r="896">
      <c r="A896" s="1" t="s">
        <v>887</v>
      </c>
      <c r="B896" s="1"/>
      <c r="C896" s="4" t="str">
        <f>HYPERLINK("http://foursquare.com/v/5779cb22498e605ee4019439","Maikhao Plaza ")</f>
        <v>Maikhao Plaza </v>
      </c>
      <c r="D896" s="1"/>
      <c r="E896" s="1"/>
    </row>
    <row r="897">
      <c r="A897" s="1" t="s">
        <v>888</v>
      </c>
      <c r="B897" s="1"/>
      <c r="C897" s="4" t="str">
        <f>HYPERLINK("http://foursquare.com/v/4bce8f1eb6c49c742d709791","Laem Phrom Thep (แหลมพรหมเทพ) ")</f>
        <v>Laem Phrom Thep (แหลมพรหมเทพ) </v>
      </c>
      <c r="D897" s="1"/>
      <c r="E897" s="1"/>
    </row>
    <row r="898">
      <c r="A898" s="1" t="s">
        <v>889</v>
      </c>
      <c r="B898" s="1"/>
      <c r="C898" s="4" t="str">
        <f>HYPERLINK("http://foursquare.com/v/4d60f847b6b9a1cd71fc8151","Yanui Beach (หาดยะนุ้ย) ")</f>
        <v>Yanui Beach (หาดยะนุ้ย) </v>
      </c>
      <c r="D898" s="1"/>
      <c r="E898" s="1"/>
    </row>
    <row r="899">
      <c r="A899" s="1" t="s">
        <v>890</v>
      </c>
      <c r="B899" s="1"/>
      <c r="C899" s="4" t="str">
        <f>HYPERLINK("http://foursquare.com/v/4d5e181d338bb60ced990bbd","Karon View Point (จุดชมวิวกะรน) ")</f>
        <v>Karon View Point (จุดชมวิวกะรน) </v>
      </c>
      <c r="D899" s="1"/>
      <c r="E899" s="1"/>
    </row>
    <row r="900">
      <c r="A900" s="1" t="s">
        <v>891</v>
      </c>
      <c r="B900" s="1"/>
      <c r="C900" s="4" t="str">
        <f>HYPERLINK("http://foursquare.com/v/547ea997498eab78dbb31d4e","Makro (แม็คโคร) ")</f>
        <v>Makro (แม็คโคร) </v>
      </c>
      <c r="D900" s="1"/>
      <c r="E900" s="1"/>
    </row>
    <row r="901">
      <c r="A901" s="1" t="s">
        <v>892</v>
      </c>
      <c r="B901" s="1"/>
      <c r="C901" s="4" t="str">
        <f>HYPERLINK("http://foursquare.com/v/4d777e7fa32ca1cd519b1bdb","KASIKORNBANK (ธนาคารกสิกรไทย) ")</f>
        <v>KASIKORNBANK (ธนาคารกสิกรไทย) </v>
      </c>
      <c r="D901" s="1"/>
      <c r="E901" s="1"/>
    </row>
    <row r="902">
      <c r="A902" s="1" t="s">
        <v>893</v>
      </c>
      <c r="B902" s="1"/>
      <c r="C902" s="4" t="str">
        <f>HYPERLINK("http://foursquare.com/v/4d148657cc216ea80c805cd3","A Spoonful of Sugar ")</f>
        <v>A Spoonful of Sugar </v>
      </c>
      <c r="D902" s="1"/>
      <c r="E902" s="1"/>
    </row>
    <row r="903">
      <c r="A903" s="1" t="s">
        <v>894</v>
      </c>
      <c r="B903" s="1"/>
      <c r="C903" s="4" t="str">
        <f>HYPERLINK("http://foursquare.com/v/55704eda498e9ea7858e6dde","modena pizza ")</f>
        <v>modena pizza </v>
      </c>
      <c r="D903" s="1"/>
      <c r="E903" s="1"/>
    </row>
    <row r="904">
      <c r="A904" s="1" t="s">
        <v>895</v>
      </c>
      <c r="B904" s="1"/>
      <c r="C904" s="4" t="str">
        <f>HYPERLINK("http://foursquare.com/v/4d93283662ad548112fe7a4b","Sala Mexicali ")</f>
        <v>Sala Mexicali </v>
      </c>
      <c r="D904" s="1"/>
      <c r="E904" s="1"/>
    </row>
    <row r="905">
      <c r="A905" s="1" t="s">
        <v>896</v>
      </c>
      <c r="B905" s="1"/>
      <c r="C905" s="4" t="str">
        <f>HYPERLINK("http://foursquare.com/v/557cfa28498e2f0258a2f798","Baan Kanom ")</f>
        <v>Baan Kanom </v>
      </c>
      <c r="D905" s="1"/>
      <c r="E905" s="1"/>
    </row>
    <row r="906">
      <c r="A906" s="1" t="s">
        <v>897</v>
      </c>
      <c r="B906" s="1"/>
      <c r="C906" s="4" t="str">
        <f>HYPERLINK("http://foursquare.com/v/5bb895559fca56002cbc0531","Bangchak Petrol Station ")</f>
        <v>Bangchak Petrol Station </v>
      </c>
      <c r="D906" s="1"/>
      <c r="E906" s="1"/>
    </row>
    <row r="907">
      <c r="A907" s="1" t="s">
        <v>898</v>
      </c>
      <c r="B907" s="1"/>
      <c r="C907" s="4" t="str">
        <f>HYPERLINK("http://foursquare.com/v/4da8510f43a12d0c264de8b7","Phuket Checkpoint (ด่านตรวจภูเก็ต) ")</f>
        <v>Phuket Checkpoint (ด่านตรวจภูเก็ต) </v>
      </c>
      <c r="D907" s="1"/>
      <c r="E907" s="1"/>
    </row>
    <row r="908">
      <c r="A908" s="1" t="s">
        <v>899</v>
      </c>
      <c r="B908" s="1"/>
      <c r="C908" s="4" t="str">
        <f>HYPERLINK("http://foursquare.com/v/4dc3ec04d164eb9c9fc75f41","ระเบียงเล ")</f>
        <v>ระเบียงเล </v>
      </c>
      <c r="D908" s="1"/>
      <c r="E908" s="1"/>
    </row>
    <row r="909">
      <c r="A909" s="1" t="s">
        <v>900</v>
      </c>
      <c r="B909" s="1"/>
      <c r="C909" s="4" t="str">
        <f>HYPERLINK("http://foursquare.com/v/5870ac558ee5605eaf2fa631","7-11 Ptt ")</f>
        <v>7-11 Ptt </v>
      </c>
      <c r="D909" s="1"/>
      <c r="E909" s="1"/>
    </row>
    <row r="910">
      <c r="A910" s="1" t="s">
        <v>901</v>
      </c>
      <c r="B910" s="1"/>
      <c r="C910" s="4" t="str">
        <f>HYPERLINK("http://foursquare.com/v/57a1f101498e5a76c845742a","X2 Khao Lak Anda Mani ")</f>
        <v>X2 Khao Lak Anda Mani </v>
      </c>
      <c r="D910" s="1"/>
      <c r="E910" s="1"/>
    </row>
    <row r="911">
      <c r="A911" s="1" t="s">
        <v>902</v>
      </c>
      <c r="B911" s="1"/>
      <c r="C911" s="4" t="str">
        <f>HYPERLINK("http://foursquare.com/v/5623796f498ee2c4efe5e143","ปั้มบางจาก@หินลาด คุระบุรี พังงา ")</f>
        <v>ปั้มบางจาก@หินลาด คุระบุรี พังงา </v>
      </c>
      <c r="D911" s="1"/>
      <c r="E911" s="1"/>
    </row>
    <row r="912">
      <c r="A912" s="1" t="s">
        <v>903</v>
      </c>
      <c r="B912" s="1"/>
      <c r="C912" s="4" t="str">
        <f>HYPERLINK("http://foursquare.com/v/4f486b25e4b072f5aa80501b","ครัวสุขสำราญ ")</f>
        <v>ครัวสุขสำราญ </v>
      </c>
      <c r="D912" s="1"/>
      <c r="E912" s="1"/>
    </row>
    <row r="913">
      <c r="A913" s="1" t="s">
        <v>904</v>
      </c>
      <c r="B913" s="1"/>
      <c r="C913" s="4" t="str">
        <f>HYPERLINK("http://foursquare.com/v/4d39e2d26de7721ed210e949","ตู้ยามสันติ ระนอง ")</f>
        <v>ตู้ยามสันติ ระนอง </v>
      </c>
      <c r="D913" s="1"/>
      <c r="E913" s="1"/>
    </row>
    <row r="914">
      <c r="A914" s="1" t="s">
        <v>905</v>
      </c>
      <c r="B914" s="1"/>
      <c r="C914" s="4" t="str">
        <f>HYPERLINK("http://foursquare.com/v/57121d1f498e5f7025caca37","ปตท. มาบอำมฤต ")</f>
        <v>ปตท. มาบอำมฤต </v>
      </c>
      <c r="D914" s="1"/>
      <c r="E914" s="1"/>
    </row>
    <row r="915">
      <c r="A915" s="1" t="s">
        <v>906</v>
      </c>
      <c r="B915" s="1"/>
      <c r="C915" s="4" t="str">
        <f>HYPERLINK("http://foursquare.com/v/4c14e3c2a9c220a1082c589d","Shell (เชลล์) ")</f>
        <v>Shell (เชลล์) </v>
      </c>
      <c r="D915" s="1"/>
      <c r="E915" s="1"/>
    </row>
    <row r="916">
      <c r="A916" s="1" t="s">
        <v>907</v>
      </c>
      <c r="B916" s="1"/>
      <c r="C916" s="4" t="str">
        <f>HYPERLINK("http://foursquare.com/v/5a26a393d0a14909febc8107","Starbucks (สตาร์บัคส์) ")</f>
        <v>Starbucks (สตาร์บัคส์) </v>
      </c>
      <c r="D916" s="1"/>
      <c r="E916" s="1"/>
    </row>
    <row r="917">
      <c r="A917" s="1" t="s">
        <v>908</v>
      </c>
      <c r="B917" s="1"/>
      <c r="C917" s="4" t="str">
        <f>HYPERLINK("http://foursquare.com/v/4e33845b88772aabd8adfac2","PTT (ปตท.) ")</f>
        <v>PTT (ปตท.) </v>
      </c>
      <c r="D917" s="1"/>
      <c r="E917" s="1"/>
    </row>
    <row r="918">
      <c r="A918" s="1" t="s">
        <v>909</v>
      </c>
      <c r="B918" s="1"/>
      <c r="C918" s="4" t="str">
        <f>HYPERLINK("http://foursquare.com/v/4ba062faf964a5207d6b37e3","Nakornping Hospital (โรงพยาบาลนครพิงค์) ")</f>
        <v>Nakornping Hospital (โรงพยาบาลนครพิงค์) </v>
      </c>
      <c r="D918" s="1"/>
      <c r="E918" s="1"/>
    </row>
    <row r="919">
      <c r="A919" s="1" t="s">
        <v>910</v>
      </c>
      <c r="B919" s="1"/>
      <c r="C919" s="4" t="str">
        <f>HYPERLINK("http://foursquare.com/v/5cf11ccc1af852002c19d692","Grooveyard ")</f>
        <v>Grooveyard </v>
      </c>
      <c r="D919" s="1"/>
      <c r="E919" s="1"/>
    </row>
    <row r="920">
      <c r="A920" s="1" t="s">
        <v>911</v>
      </c>
      <c r="B920" s="1"/>
      <c r="C920" s="4" t="str">
        <f>HYPERLINK("http://foursquare.com/v/55c5d9fe498e95c958736bdd","The Duke's ")</f>
        <v>The Duke's </v>
      </c>
      <c r="D920" s="1"/>
      <c r="E920" s="1"/>
    </row>
    <row r="921">
      <c r="A921" s="1" t="s">
        <v>912</v>
      </c>
      <c r="B921" s="1"/>
      <c r="C921" s="4" t="str">
        <f>HYPERLINK("http://foursquare.com/v/5af973fb67af3a002c4f8904","NM Dental Clinic ")</f>
        <v>NM Dental Clinic </v>
      </c>
      <c r="D921" s="1"/>
      <c r="E921" s="1"/>
    </row>
    <row r="922">
      <c r="A922" s="1" t="s">
        <v>913</v>
      </c>
      <c r="B922" s="1"/>
      <c r="C922" s="4" t="str">
        <f>HYPERLINK("http://foursquare.com/v/4baca383f964a52004003be3","Baan Suan Mae Rim Restaurant (บ้านสวนแม่ริม) ")</f>
        <v>Baan Suan Mae Rim Restaurant (บ้านสวนแม่ริม) </v>
      </c>
      <c r="D922" s="1"/>
      <c r="E922" s="1"/>
    </row>
    <row r="923">
      <c r="A923" s="1" t="s">
        <v>914</v>
      </c>
      <c r="B923" s="1"/>
      <c r="C923" s="4" t="str">
        <f>HYPERLINK("http://foursquare.com/v/571a4fd9cd108e2fcd8a4b0d","Ohlanla Coffee ")</f>
        <v>Ohlanla Coffee </v>
      </c>
      <c r="D923" s="1"/>
      <c r="E923" s="1"/>
    </row>
    <row r="924">
      <c r="A924" s="1" t="s">
        <v>915</v>
      </c>
      <c r="B924" s="1"/>
      <c r="C924" s="4" t="str">
        <f>HYPERLINK("http://foursquare.com/v/56ecfcd2498ebcce49b381fc","Let It Be ")</f>
        <v>Let It Be </v>
      </c>
      <c r="D924" s="1"/>
      <c r="E924" s="1"/>
    </row>
    <row r="925">
      <c r="A925" s="1" t="s">
        <v>916</v>
      </c>
      <c r="B925" s="1"/>
      <c r="C925" s="4" t="str">
        <f>HYPERLINK("http://foursquare.com/v/52e12131498ef5f156977c16","Starbucks (สตาร์บัคส์) ")</f>
        <v>Starbucks (สตาร์บัคส์) </v>
      </c>
      <c r="D925" s="1"/>
      <c r="E925" s="1"/>
    </row>
    <row r="926">
      <c r="A926" s="1" t="s">
        <v>917</v>
      </c>
      <c r="B926" s="1"/>
      <c r="C926" s="4" t="str">
        <f>HYPERLINK("http://foursquare.com/v/4e8f5867be7b7962e9183ac6","สถานีตำรวจภูธรช้างเผือก ")</f>
        <v>สถานีตำรวจภูธรช้างเผือก </v>
      </c>
      <c r="D926" s="1"/>
      <c r="E926" s="1"/>
    </row>
    <row r="927">
      <c r="A927" s="1" t="s">
        <v>918</v>
      </c>
      <c r="B927" s="1"/>
      <c r="C927" s="4" t="str">
        <f>HYPERLINK("http://foursquare.com/v/4d6b9fa2a27f236aa25ca066","Esso (เอสโซ่) ")</f>
        <v>Esso (เอสโซ่) </v>
      </c>
      <c r="D927" s="1"/>
      <c r="E927" s="1"/>
    </row>
    <row r="928">
      <c r="A928" s="1" t="s">
        <v>919</v>
      </c>
      <c r="B928" s="1"/>
      <c r="C928" s="4" t="str">
        <f>HYPERLINK("http://foursquare.com/v/4f462c49e4b081614e1bb018","คลินิก บ้านหมอเป้ ")</f>
        <v>คลินิก บ้านหมอเป้ </v>
      </c>
      <c r="D928" s="1"/>
      <c r="E928" s="1"/>
    </row>
    <row r="929">
      <c r="A929" s="1" t="s">
        <v>920</v>
      </c>
      <c r="B929" s="1"/>
      <c r="C929" s="4" t="str">
        <f t="shared" ref="C929:C930" si="9">HYPERLINK("http://foursquare.com/v/5cf11ccc1af852002c19d692","Grooveyard ")</f>
        <v>Grooveyard </v>
      </c>
      <c r="D929" s="1"/>
      <c r="E929" s="1"/>
    </row>
    <row r="930">
      <c r="A930" s="1" t="s">
        <v>921</v>
      </c>
      <c r="B930" s="1"/>
      <c r="C930" s="4" t="str">
        <f t="shared" si="9"/>
        <v>Grooveyard </v>
      </c>
      <c r="D930" s="1"/>
      <c r="E930" s="1"/>
    </row>
    <row r="931">
      <c r="A931" s="1" t="s">
        <v>922</v>
      </c>
      <c r="B931" s="1"/>
      <c r="C931" s="4" t="str">
        <f>HYPERLINK("http://foursquare.com/v/5ef6eff45cb67a0008ec5d6a","Cafe De Saigon ")</f>
        <v>Cafe De Saigon </v>
      </c>
      <c r="D931" s="1"/>
      <c r="E931" s="1"/>
    </row>
    <row r="932">
      <c r="A932" s="1" t="s">
        <v>923</v>
      </c>
      <c r="B932" s="1"/>
      <c r="C932" s="4" t="str">
        <f>HYPERLINK("http://foursquare.com/v/5584d557498e385926fb8c37","Teak Table (ทีค เทเบิล) ")</f>
        <v>Teak Table (ทีค เทเบิล) </v>
      </c>
      <c r="D932" s="1"/>
      <c r="E932" s="1"/>
    </row>
    <row r="933">
      <c r="A933" s="1" t="s">
        <v>924</v>
      </c>
      <c r="B933" s="1"/>
      <c r="C933" s="4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  <c r="D933" s="1"/>
      <c r="E933" s="1"/>
    </row>
    <row r="934">
      <c r="A934" s="1" t="s">
        <v>925</v>
      </c>
      <c r="B934" s="1"/>
      <c r="C934" s="4" t="str">
        <f>HYPERLINK("http://foursquare.com/v/4e812c63b6347681cf28da50","Omelette Bakery Cafe ")</f>
        <v>Omelette Bakery Cafe </v>
      </c>
      <c r="D934" s="1"/>
      <c r="E934" s="1"/>
    </row>
    <row r="935">
      <c r="A935" s="1" t="s">
        <v>926</v>
      </c>
      <c r="B935" s="1"/>
      <c r="C935" s="4" t="str">
        <f>HYPERLINK("http://foursquare.com/v/5d305e95211fba0008f03993","Nern Noom Cafe (เนินนุ่มคาเฟ่) ")</f>
        <v>Nern Noom Cafe (เนินนุ่มคาเฟ่) </v>
      </c>
      <c r="D935" s="1"/>
      <c r="E935" s="1"/>
    </row>
    <row r="936">
      <c r="A936" s="1" t="s">
        <v>927</v>
      </c>
      <c r="B936" s="1"/>
      <c r="C936" s="4" t="str">
        <f>HYPERLINK("http://foursquare.com/v/4baeee6df964a5208ce23be3","Airport Business Park ")</f>
        <v>Airport Business Park </v>
      </c>
      <c r="D936" s="1"/>
      <c r="E936" s="1"/>
    </row>
    <row r="937">
      <c r="A937" s="1" t="s">
        <v>928</v>
      </c>
      <c r="B937" s="1"/>
      <c r="C937" s="4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  <c r="D937" s="1"/>
      <c r="E937" s="1"/>
    </row>
    <row r="938">
      <c r="A938" s="1" t="s">
        <v>929</v>
      </c>
      <c r="B938" s="1"/>
      <c r="C938" s="4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  <c r="D938" s="1"/>
      <c r="E938" s="1"/>
    </row>
    <row r="939">
      <c r="A939" s="1" t="s">
        <v>930</v>
      </c>
      <c r="B939" s="1"/>
      <c r="C939" s="4" t="str">
        <f>HYPERLINK("http://foursquare.com/v/4c4d142a13d120a14f965501","Emporium Department Store (เอ็มโพเรียม ดีพาร์ทเม้นท์สโตร์) ")</f>
        <v>Emporium Department Store (เอ็มโพเรียม ดีพาร์ทเม้นท์สโตร์) </v>
      </c>
      <c r="D939" s="1"/>
      <c r="E939" s="1"/>
    </row>
    <row r="940">
      <c r="A940" s="1" t="s">
        <v>931</v>
      </c>
      <c r="B940" s="1"/>
      <c r="C940" s="4" t="str">
        <f>HYPERLINK("http://foursquare.com/v/54ace09b498eef83f03117cc","Another Hound Café (อนาเธอร์ฮาวด์ คาเฟ่) ")</f>
        <v>Another Hound Café (อนาเธอร์ฮาวด์ คาเฟ่) </v>
      </c>
      <c r="D940" s="1"/>
      <c r="E940" s="1"/>
    </row>
    <row r="941">
      <c r="A941" s="1" t="s">
        <v>932</v>
      </c>
      <c r="B941" s="1"/>
      <c r="C941" s="4" t="str">
        <f>HYPERLINK("http://foursquare.com/v/4b599441f964a5205b8d28e3","Wat That Tong (วัดธาตุทอง) ")</f>
        <v>Wat That Tong (วัดธาตุทอง) </v>
      </c>
      <c r="D941" s="1"/>
      <c r="E941" s="1"/>
    </row>
    <row r="942">
      <c r="A942" s="1" t="s">
        <v>933</v>
      </c>
      <c r="B942" s="1"/>
      <c r="C942" s="4" t="str">
        <f>HYPERLINK("http://foursquare.com/v/5c7a548a5d891b002cb919a0","TOM N TOMS (ทัม แอนด์ ทัมส์) ")</f>
        <v>TOM N TOMS (ทัม แอนด์ ทัมส์) </v>
      </c>
      <c r="D942" s="1"/>
      <c r="E942" s="1"/>
    </row>
    <row r="943">
      <c r="A943" s="1" t="s">
        <v>934</v>
      </c>
      <c r="B943" s="1"/>
      <c r="C943" s="4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  <c r="D943" s="1"/>
      <c r="E943" s="1"/>
    </row>
    <row r="944">
      <c r="A944" s="1" t="s">
        <v>935</v>
      </c>
      <c r="B944" s="1"/>
      <c r="C944" s="4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  <c r="D944" s="1"/>
      <c r="E944" s="1"/>
    </row>
    <row r="945">
      <c r="A945" s="1" t="s">
        <v>936</v>
      </c>
      <c r="B945" s="1"/>
      <c r="C945" s="4" t="str">
        <f>HYPERLINK("http://foursquare.com/v/4df192a122718759f817ddc2","Convention Hall 2 @ Le Meridien ")</f>
        <v>Convention Hall 2 @ Le Meridien </v>
      </c>
      <c r="D945" s="1"/>
      <c r="E945" s="1"/>
    </row>
    <row r="946">
      <c r="A946" s="1" t="s">
        <v>937</v>
      </c>
      <c r="B946" s="1"/>
      <c r="C946" s="4" t="str">
        <f>HYPERLINK("http://foursquare.com/v/52f8413f498e18ee6d07815f","Bangkok Hospital Chiang Mai (โรงพยาบาลกรุงเทพเชียงใหม่) ")</f>
        <v>Bangkok Hospital Chiang Mai (โรงพยาบาลกรุงเทพเชียงใหม่) </v>
      </c>
      <c r="D946" s="1"/>
      <c r="E946" s="1"/>
    </row>
    <row r="947">
      <c r="A947" s="1" t="s">
        <v>938</v>
      </c>
      <c r="B947" s="1"/>
      <c r="C947" s="4" t="str">
        <f>HYPERLINK("http://foursquare.com/v/4e812c63b6347681cf28da50","Omelette Bakery Cafe ")</f>
        <v>Omelette Bakery Cafe </v>
      </c>
      <c r="D947" s="1"/>
      <c r="E947" s="1"/>
    </row>
    <row r="948">
      <c r="A948" s="1" t="s">
        <v>939</v>
      </c>
      <c r="B948" s="1"/>
      <c r="C948" s="4" t="str">
        <f>HYPERLINK("http://foursquare.com/v/571b5beb498e64cbcd9b4720","Honda Safety Riding Park Chiang Mai ")</f>
        <v>Honda Safety Riding Park Chiang Mai </v>
      </c>
      <c r="D948" s="1"/>
      <c r="E948" s="1"/>
    </row>
    <row r="949">
      <c r="A949" s="1" t="s">
        <v>940</v>
      </c>
      <c r="B949" s="1"/>
      <c r="C949" s="4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  <c r="D949" s="1"/>
      <c r="E949" s="1"/>
    </row>
    <row r="950">
      <c r="A950" s="1" t="s">
        <v>941</v>
      </c>
      <c r="B950" s="1"/>
      <c r="C950" s="4" t="str">
        <f>HYPERLINK("http://foursquare.com/v/50ff87c2e4b09cb498012b5a","The Mexican Grill ")</f>
        <v>The Mexican Grill </v>
      </c>
      <c r="D950" s="1"/>
      <c r="E950" s="1"/>
    </row>
    <row r="951">
      <c r="A951" s="1" t="s">
        <v>942</v>
      </c>
      <c r="B951" s="1"/>
      <c r="C951" s="4" t="str">
        <f>HYPERLINK("http://foursquare.com/v/531dad8f498eba29b3ddd52c","Pizzeria Giotto ")</f>
        <v>Pizzeria Giotto </v>
      </c>
      <c r="D951" s="1"/>
      <c r="E951" s="1"/>
    </row>
    <row r="952">
      <c r="A952" s="1" t="s">
        <v>943</v>
      </c>
      <c r="B952" s="1"/>
      <c r="C952" s="4" t="str">
        <f>HYPERLINK("http://foursquare.com/v/571b5beb498e64cbcd9b4720","Honda Safety Riding Park Chiang Mai ")</f>
        <v>Honda Safety Riding Park Chiang Mai </v>
      </c>
      <c r="D952" s="1"/>
      <c r="E952" s="1"/>
    </row>
    <row r="953">
      <c r="A953" s="1" t="s">
        <v>944</v>
      </c>
      <c r="B953" s="1"/>
      <c r="C953" s="4" t="str">
        <f>HYPERLINK("http://foursquare.com/v/58985cb40393cc2d0c948258","BUCOLIQ ")</f>
        <v>BUCOLIQ </v>
      </c>
      <c r="D953" s="1"/>
      <c r="E953" s="1"/>
    </row>
    <row r="954">
      <c r="A954" s="1" t="s">
        <v>945</v>
      </c>
      <c r="B954" s="1"/>
      <c r="C954" s="4" t="str">
        <f>HYPERLINK("http://foursquare.com/v/4cfdf78a7f2db1f750bb3ad4","Abacus Coffee (อาบาคัส คอฟฟี่) ")</f>
        <v>Abacus Coffee (อาบาคัส คอฟฟี่) </v>
      </c>
      <c r="D954" s="1"/>
      <c r="E954" s="1"/>
    </row>
    <row r="955">
      <c r="A955" s="1" t="s">
        <v>945</v>
      </c>
      <c r="B955" s="1"/>
      <c r="C955" s="4" t="str">
        <f>HYPERLINK("http://foursquare.com/v/4bc8e8fc762beee1a4ae3d38","Horizon Village And Resort Chiang Mai ")</f>
        <v>Horizon Village And Resort Chiang Mai </v>
      </c>
      <c r="D955" s="1"/>
      <c r="E955" s="1"/>
    </row>
    <row r="956">
      <c r="A956" s="1" t="s">
        <v>946</v>
      </c>
      <c r="B956" s="1"/>
      <c r="C956" s="4" t="str">
        <f>HYPERLINK("http://foursquare.com/v/4e812c63b6347681cf28da50","Omelette Bakery Cafe ")</f>
        <v>Omelette Bakery Cafe </v>
      </c>
      <c r="D956" s="1"/>
      <c r="E956" s="1"/>
    </row>
    <row r="957">
      <c r="A957" s="1" t="s">
        <v>947</v>
      </c>
      <c r="B957" s="1"/>
      <c r="C957" s="4" t="str">
        <f>HYPERLINK("http://foursquare.com/v/4cc8f141e7926dcbe2745977","ก๋วยเตี๋ยวรสเยี่ยม สูตรไต้หวัน ")</f>
        <v>ก๋วยเตี๋ยวรสเยี่ยม สูตรไต้หวัน </v>
      </c>
      <c r="D957" s="1"/>
      <c r="E957" s="1"/>
    </row>
    <row r="958">
      <c r="A958" s="1" t="s">
        <v>948</v>
      </c>
      <c r="B958" s="1"/>
      <c r="C958" s="4" t="str">
        <f>HYPERLINK("http://foursquare.com/v/4c73348313228cfaa1512d65","The Salad Concept ")</f>
        <v>The Salad Concept </v>
      </c>
      <c r="D958" s="1"/>
      <c r="E958" s="1"/>
    </row>
    <row r="959">
      <c r="A959" s="1" t="s">
        <v>949</v>
      </c>
      <c r="B959" s="1"/>
      <c r="C959" s="4" t="str">
        <f>HYPERLINK("http://foursquare.com/v/4f6330cee4b0ce431be58d6d","Natwat Home Café (ณัฐวัฒน์โฮมคาเฟ่) ")</f>
        <v>Natwat Home Café (ณัฐวัฒน์โฮมคาเฟ่) </v>
      </c>
      <c r="D959" s="1"/>
      <c r="E959" s="1"/>
    </row>
    <row r="960">
      <c r="A960" s="1" t="s">
        <v>950</v>
      </c>
      <c r="B960" s="1"/>
      <c r="C960" s="4" t="str">
        <f>HYPERLINK("http://foursquare.com/v/4ef43f396da1a067a655e219","Health Care Medical Clinic ")</f>
        <v>Health Care Medical Clinic </v>
      </c>
      <c r="D960" s="1"/>
      <c r="E960" s="1"/>
    </row>
    <row r="961">
      <c r="A961" s="1" t="s">
        <v>951</v>
      </c>
      <c r="B961" s="1"/>
      <c r="C961" s="4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  <c r="D961" s="1"/>
      <c r="E961" s="1"/>
    </row>
    <row r="962">
      <c r="A962" s="1" t="s">
        <v>952</v>
      </c>
      <c r="B962" s="1"/>
      <c r="C962" s="4" t="str">
        <f>HYPERLINK("http://foursquare.com/v/528c144f11d2c105b44abe8a","Café de Oasis (คาเฟ่ เดอ โอเอซิส) ")</f>
        <v>Café de Oasis (คาเฟ่ เดอ โอเอซิส) </v>
      </c>
      <c r="D962" s="1"/>
      <c r="E962" s="1"/>
    </row>
    <row r="963">
      <c r="A963" s="1" t="s">
        <v>953</v>
      </c>
      <c r="B963" s="1"/>
      <c r="C963" s="4" t="str">
        <f>HYPERLINK("http://foursquare.com/v/4e812c63b6347681cf28da50","Omelette Bakery Cafe ")</f>
        <v>Omelette Bakery Cafe </v>
      </c>
      <c r="D963" s="1"/>
      <c r="E963" s="1"/>
    </row>
    <row r="964">
      <c r="A964" s="1" t="s">
        <v>954</v>
      </c>
      <c r="B964" s="1"/>
      <c r="C964" s="4" t="str">
        <f>HYPERLINK("http://foursquare.com/v/5c52c50e75eee40039610c8a","Only Coffee ")</f>
        <v>Only Coffee </v>
      </c>
      <c r="D964" s="1"/>
      <c r="E964" s="1"/>
    </row>
    <row r="965">
      <c r="A965" s="1" t="s">
        <v>955</v>
      </c>
      <c r="B965" s="1"/>
      <c r="C965" s="4" t="str">
        <f>HYPERLINK("http://foursquare.com/v/4b5937f2f964a520be8128e3","สำนักงานขนส่งจังหวัดเชียงใหม่ ")</f>
        <v>สำนักงานขนส่งจังหวัดเชียงใหม่ </v>
      </c>
      <c r="D965" s="1"/>
      <c r="E965" s="1"/>
    </row>
    <row r="966">
      <c r="A966" s="1" t="s">
        <v>956</v>
      </c>
      <c r="B966" s="1"/>
      <c r="C966" s="4" t="str">
        <f>HYPERLINK("http://foursquare.com/v/56ecfcd2498ebcce49b381fc","Let It Be ")</f>
        <v>Let It Be </v>
      </c>
      <c r="D966" s="1"/>
      <c r="E966" s="1"/>
    </row>
    <row r="967">
      <c r="A967" s="1" t="s">
        <v>957</v>
      </c>
      <c r="B967" s="1"/>
      <c r="C967" s="4" t="str">
        <f>HYPERLINK("http://foursquare.com/v/5c2c3598033693002c92dbc1","N THRÉE coffee &amp; eatery ")</f>
        <v>N THRÉE coffee &amp; eatery </v>
      </c>
      <c r="D967" s="1"/>
      <c r="E967" s="1"/>
    </row>
    <row r="968">
      <c r="A968" s="1" t="s">
        <v>958</v>
      </c>
      <c r="B968" s="1"/>
      <c r="C968" s="4" t="str">
        <f>HYPERLINK("http://foursquare.com/v/4ccd102c2dc43704d41dcc08","Starbucks (สตาร์บัคส์) ")</f>
        <v>Starbucks (สตาร์บัคส์) </v>
      </c>
      <c r="D968" s="1"/>
      <c r="E968" s="1"/>
    </row>
    <row r="969">
      <c r="A969" s="1" t="s">
        <v>959</v>
      </c>
      <c r="B969" s="1"/>
      <c r="C969" s="4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  <c r="D969" s="1"/>
      <c r="E969" s="1"/>
    </row>
    <row r="970">
      <c r="A970" s="1" t="s">
        <v>960</v>
      </c>
      <c r="B970" s="1"/>
      <c r="C970" s="4" t="str">
        <f>HYPERLINK("http://foursquare.com/v/545f0548498ed0dddfd3b422","ก๋วยเตี๋ยวเรือ อองตอง ")</f>
        <v>ก๋วยเตี๋ยวเรือ อองตอง </v>
      </c>
      <c r="D970" s="1"/>
      <c r="E970" s="1"/>
    </row>
    <row r="971">
      <c r="A971" s="1" t="s">
        <v>961</v>
      </c>
      <c r="B971" s="1"/>
      <c r="C971" s="4" t="str">
        <f>HYPERLINK("http://foursquare.com/v/5cf11ccc1af852002c19d692","Grooveyard ")</f>
        <v>Grooveyard </v>
      </c>
      <c r="D971" s="1"/>
      <c r="E971" s="1"/>
    </row>
    <row r="972">
      <c r="A972" s="1" t="s">
        <v>962</v>
      </c>
      <c r="B972" s="1"/>
      <c r="C972" s="4" t="str">
        <f>HYPERLINK("http://foursquare.com/v/52e21304498ee77ecb808c26","Yayoi (ยาโยอิ) ")</f>
        <v>Yayoi (ยาโยอิ) </v>
      </c>
      <c r="D972" s="1"/>
      <c r="E972" s="1"/>
    </row>
    <row r="973">
      <c r="A973" s="1" t="s">
        <v>963</v>
      </c>
      <c r="B973" s="1"/>
      <c r="C973" s="4" t="str">
        <f>HYPERLINK("http://foursquare.com/v/59fec2e99deb7d0ce9ff3022","Chez Nous -Artisan Baking Atelier ")</f>
        <v>Chez Nous -Artisan Baking Atelier </v>
      </c>
      <c r="D973" s="1"/>
      <c r="E973" s="1"/>
    </row>
    <row r="974">
      <c r="A974" s="1" t="s">
        <v>964</v>
      </c>
      <c r="B974" s="1"/>
      <c r="C974" s="4" t="str">
        <f>HYPERLINK("http://foursquare.com/v/52df9421498e284e36f29263","Isuzu ")</f>
        <v>Isuzu </v>
      </c>
      <c r="D974" s="1"/>
      <c r="E974" s="1"/>
    </row>
    <row r="975">
      <c r="A975" s="1" t="s">
        <v>965</v>
      </c>
      <c r="B975" s="1"/>
      <c r="C975" s="4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  <c r="D975" s="1"/>
      <c r="E975" s="1"/>
    </row>
    <row r="976">
      <c r="A976" s="1" t="s">
        <v>965</v>
      </c>
      <c r="B976" s="1"/>
      <c r="C976" s="4" t="str">
        <f>HYPERLINK("http://foursquare.com/v/4db12a338154905aadbad2f4","Gate 4 (ประตู 4) ")</f>
        <v>Gate 4 (ประตู 4) </v>
      </c>
      <c r="D976" s="1"/>
      <c r="E976" s="1"/>
    </row>
    <row r="977">
      <c r="A977" s="1" t="s">
        <v>966</v>
      </c>
      <c r="B977" s="1"/>
      <c r="C977" s="4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  <c r="D977" s="1"/>
      <c r="E977" s="1"/>
    </row>
    <row r="978">
      <c r="A978" s="1" t="s">
        <v>967</v>
      </c>
      <c r="B978" s="1"/>
      <c r="C978" s="4" t="str">
        <f>HYPERLINK("http://foursquare.com/v/4c74b5dd66be6dcbfc8ebe0f","ARL Makkasan (A6) (ARL มักกะสัน) ")</f>
        <v>ARL Makkasan (A6) (ARL มักกะสัน) </v>
      </c>
      <c r="D978" s="1"/>
      <c r="E978" s="1"/>
    </row>
    <row r="979">
      <c r="A979" s="1" t="s">
        <v>968</v>
      </c>
      <c r="B979" s="1"/>
      <c r="C979" s="4" t="str">
        <f>HYPERLINK("http://foursquare.com/v/5be2a12eda7080002c52fe97","Café Amazon (คาเฟ่ อเมซอน) ")</f>
        <v>Café Amazon (คาเฟ่ อเมซอน) </v>
      </c>
      <c r="D979" s="1"/>
      <c r="E979" s="1"/>
    </row>
    <row r="980">
      <c r="A980" s="1" t="s">
        <v>969</v>
      </c>
      <c r="B980" s="1"/>
      <c r="C980" s="4" t="str">
        <f>HYPERLINK("http://foursquare.com/v/5e639c4539f73e0008120f28","Getfresh ")</f>
        <v>Getfresh </v>
      </c>
      <c r="D980" s="1"/>
      <c r="E980" s="1"/>
    </row>
    <row r="981">
      <c r="A981" s="1" t="s">
        <v>970</v>
      </c>
      <c r="B981" s="1"/>
      <c r="C981" s="4" t="str">
        <f>HYPERLINK("http://foursquare.com/v/4bdec8c96198c9b6dacc14ff","Esplanade Ratchadapisek (เอสพละนาด รัชดาภิเษก) ")</f>
        <v>Esplanade Ratchadapisek (เอสพละนาด รัชดาภิเษก) </v>
      </c>
      <c r="D981" s="1"/>
      <c r="E981" s="1"/>
    </row>
    <row r="982">
      <c r="A982" s="1" t="s">
        <v>971</v>
      </c>
      <c r="B982" s="1"/>
      <c r="C982" s="4" t="str">
        <f>HYPERLINK("http://foursquare.com/v/4b55aaa3f964a52009eb27e3","MRT Phra Ram 9 (BL20) (MRT พระราม 9) ")</f>
        <v>MRT Phra Ram 9 (BL20) (MRT พระราม 9) </v>
      </c>
      <c r="D982" s="1"/>
      <c r="E982" s="1"/>
    </row>
    <row r="983">
      <c r="A983" s="1" t="s">
        <v>971</v>
      </c>
      <c r="B983" s="1"/>
      <c r="C983" s="4" t="str">
        <f>HYPERLINK("http://foursquare.com/v/4ee7f10200397d4697a87834","CentralPlaza Grand Rama 9 (เซ็นทรัลพลาซา แกรนด์ พระราม 9) ")</f>
        <v>CentralPlaza Grand Rama 9 (เซ็นทรัลพลาซา แกรนด์ พระราม 9) </v>
      </c>
      <c r="D983" s="1"/>
      <c r="E983" s="1"/>
    </row>
    <row r="984">
      <c r="A984" s="1" t="s">
        <v>972</v>
      </c>
      <c r="B984" s="1"/>
      <c r="C984" s="4" t="str">
        <f>HYPERLINK("http://foursquare.com/v/4b45b65bf964a5207b0f26e3","BTS Chong Nonsi (S3) (BTS ช่องนนทรี) ")</f>
        <v>BTS Chong Nonsi (S3) (BTS ช่องนนทรี) </v>
      </c>
      <c r="D984" s="1"/>
      <c r="E984" s="1"/>
    </row>
    <row r="985">
      <c r="A985" s="1" t="s">
        <v>973</v>
      </c>
      <c r="B985" s="1"/>
      <c r="C985" s="4" t="str">
        <f>HYPERLINK("http://foursquare.com/v/4edf4a18f9f436d12695ce40","Dean &amp; DeLuca (ดีน แอนด์ เดลูก้า) ")</f>
        <v>Dean &amp; DeLuca (ดีน แอนด์ เดลูก้า) </v>
      </c>
      <c r="D985" s="1"/>
      <c r="E985" s="1"/>
    </row>
    <row r="986">
      <c r="A986" s="1" t="s">
        <v>974</v>
      </c>
      <c r="B986" s="1"/>
      <c r="C986" s="4" t="str">
        <f>HYPERLINK("http://foursquare.com/v/5254dc77498ecd6b7a4b6fdc","The Shoppes Grand Rama 9 (เดอะ ช็อปปส์ แกรนด์ พระราม 9) ")</f>
        <v>The Shoppes Grand Rama 9 (เดอะ ช็อปปส์ แกรนด์ พระราม 9) </v>
      </c>
      <c r="D986" s="1"/>
      <c r="E986" s="1"/>
    </row>
    <row r="987">
      <c r="A987" s="1" t="s">
        <v>975</v>
      </c>
      <c r="B987" s="1"/>
      <c r="C987" s="4" t="str">
        <f>HYPERLINK("http://foursquare.com/v/5d872f6570a68c00089f5268","The Melting Clock ")</f>
        <v>The Melting Clock </v>
      </c>
      <c r="D987" s="1"/>
      <c r="E987" s="1"/>
    </row>
    <row r="988">
      <c r="A988" s="1" t="s">
        <v>976</v>
      </c>
      <c r="B988" s="1"/>
      <c r="C988" s="4" t="str">
        <f>HYPERLINK("http://foursquare.com/v/4b6e2853f964a52081ae2ce3","BITEC (ไบเทค) ")</f>
        <v>BITEC (ไบเทค) </v>
      </c>
      <c r="D988" s="1"/>
      <c r="E988" s="1"/>
    </row>
    <row r="989">
      <c r="A989" s="1" t="s">
        <v>977</v>
      </c>
      <c r="B989" s="1"/>
      <c r="C989" s="4" t="str">
        <f>HYPERLINK("http://foursquare.com/v/4b584060f964a520a44f28e3","BTS National Stadium (W1) (BTS สนามกีฬาแห่งชาติ) ")</f>
        <v>BTS National Stadium (W1) (BTS สนามกีฬาแห่งชาติ) </v>
      </c>
      <c r="D989" s="1"/>
      <c r="E989" s="1"/>
    </row>
    <row r="990">
      <c r="A990" s="1" t="s">
        <v>978</v>
      </c>
      <c r="B990" s="1"/>
      <c r="C990" s="4" t="str">
        <f>HYPERLINK("http://foursquare.com/v/4b506953f964a520832227e3","MBK Center (เอ็ม บี เค เซ็นเตอร์) ")</f>
        <v>MBK Center (เอ็ม บี เค เซ็นเตอร์) </v>
      </c>
      <c r="D990" s="1"/>
      <c r="E990" s="1"/>
    </row>
    <row r="991">
      <c r="A991" s="1" t="s">
        <v>979</v>
      </c>
      <c r="B991" s="1"/>
      <c r="C991" s="4" t="str">
        <f>HYPERLINK("http://foursquare.com/v/4b99411cf964a520da6d35e3","ARL Phaya Thai (A8) (ARL พญาไท) ")</f>
        <v>ARL Phaya Thai (A8) (ARL พญาไท) </v>
      </c>
      <c r="D991" s="1"/>
      <c r="E991" s="1"/>
    </row>
    <row r="992">
      <c r="A992" s="1" t="s">
        <v>980</v>
      </c>
      <c r="B992" s="1"/>
      <c r="C992" s="4" t="str">
        <f>HYPERLINK("http://foursquare.com/v/52df9421498e284e36f29263","Isuzu ")</f>
        <v>Isuzu </v>
      </c>
      <c r="D992" s="1"/>
      <c r="E992" s="1"/>
    </row>
    <row r="993">
      <c r="A993" s="1" t="s">
        <v>981</v>
      </c>
      <c r="B993" s="1"/>
      <c r="C993" s="4" t="str">
        <f>HYPERLINK("http://foursquare.com/v/5f6eb8f18dabce608e3254f8","Phan Fa ")</f>
        <v>Phan Fa </v>
      </c>
      <c r="D993" s="1"/>
      <c r="E993" s="1"/>
    </row>
    <row r="994">
      <c r="A994" s="1" t="s">
        <v>982</v>
      </c>
      <c r="B994" s="1"/>
      <c r="C994" s="4" t="str">
        <f>HYPERLINK("http://foursquare.com/v/5c9f2cd6f193c0002c7d8cb9","Warm Cup ")</f>
        <v>Warm Cup </v>
      </c>
      <c r="D994" s="1"/>
      <c r="E994" s="1"/>
    </row>
    <row r="995">
      <c r="A995" s="1" t="s">
        <v>983</v>
      </c>
      <c r="B995" s="1"/>
      <c r="C995" s="4" t="str">
        <f>HYPERLINK("http://foursquare.com/v/5c2c3598033693002c92dbc1","N THRÉE coffee &amp; eatery ")</f>
        <v>N THRÉE coffee &amp; eatery </v>
      </c>
      <c r="D995" s="1"/>
      <c r="E995" s="1"/>
    </row>
    <row r="996">
      <c r="A996" s="1" t="s">
        <v>984</v>
      </c>
      <c r="B996" s="1"/>
      <c r="C996" s="4" t="str">
        <f>HYPERLINK("http://foursquare.com/v/5add69946fd62622a54794df","ก๋วยเตี๋ยวคำหวาน@ptt แม่ริม ")</f>
        <v>ก๋วยเตี๋ยวคำหวาน@ptt แม่ริม </v>
      </c>
      <c r="D996" s="1"/>
      <c r="E996" s="1"/>
    </row>
    <row r="997">
      <c r="A997" s="1" t="s">
        <v>985</v>
      </c>
      <c r="B997" s="1"/>
      <c r="C997" s="4" t="str">
        <f>HYPERLINK("http://foursquare.com/v/54a7e3b6498e87a65dcaa996","pansawan ")</f>
        <v>pansawan </v>
      </c>
      <c r="D997" s="1"/>
      <c r="E997" s="1"/>
    </row>
    <row r="998">
      <c r="A998" s="1" t="s">
        <v>986</v>
      </c>
      <c r="B998" s="1"/>
      <c r="C998" s="4" t="str">
        <f>HYPERLINK("http://foursquare.com/v/531dad8f498eba29b3ddd52c","Pizzeria Giotto ")</f>
        <v>Pizzeria Giotto </v>
      </c>
      <c r="D998" s="1"/>
      <c r="E998" s="1"/>
    </row>
    <row r="999">
      <c r="A999" s="1" t="s">
        <v>987</v>
      </c>
      <c r="B999" s="1"/>
      <c r="C999" s="4" t="str">
        <f>HYPERLINK("http://foursquare.com/v/51ea20f4498e817979f6c45a","A 2 C U T ")</f>
        <v>A 2 C U T </v>
      </c>
      <c r="D999" s="1"/>
      <c r="E999" s="1"/>
    </row>
    <row r="1000">
      <c r="A1000" s="1" t="s">
        <v>988</v>
      </c>
      <c r="B1000" s="1"/>
      <c r="C1000" s="4" t="str">
        <f>HYPERLINK("http://foursquare.com/v/5e4782bdaae6a700081757ef","กำเบ้อ Gramber Cafe ")</f>
        <v>กำเบ้อ Gramber Cafe </v>
      </c>
      <c r="D1000" s="1"/>
      <c r="E1000" s="1"/>
    </row>
    <row r="1001">
      <c r="A1001" s="1" t="s">
        <v>989</v>
      </c>
      <c r="B1001" s="1"/>
      <c r="C1001" s="4" t="str">
        <f>HYPERLINK("http://foursquare.com/v/4e812c63b6347681cf28da50","Omelette Bakery Cafe ")</f>
        <v>Omelette Bakery Cafe </v>
      </c>
      <c r="D1001" s="1"/>
      <c r="E1001" s="1"/>
    </row>
    <row r="1002">
      <c r="A1002" s="1" t="s">
        <v>990</v>
      </c>
      <c r="B1002" s="1"/>
      <c r="C1002" s="4" t="str">
        <f>HYPERLINK("http://foursquare.com/v/5285715811d2a3e51493a025","Central Department Store (ห้างสรรพสินค้าเซ็นทรัล) ")</f>
        <v>Central Department Store (ห้างสรรพสินค้าเซ็นทรัล) </v>
      </c>
      <c r="D1002" s="1"/>
      <c r="E1002" s="1"/>
    </row>
    <row r="1003">
      <c r="A1003" s="1" t="s">
        <v>991</v>
      </c>
      <c r="B1003" s="1"/>
      <c r="C1003" s="4" t="str">
        <f>HYPERLINK("http://foursquare.com/v/57becb6d498e9235fffaaa02","Lamona View Swimming Pool ")</f>
        <v>Lamona View Swimming Pool </v>
      </c>
      <c r="D1003" s="1"/>
      <c r="E1003" s="1"/>
    </row>
    <row r="1004">
      <c r="A1004" s="1" t="s">
        <v>992</v>
      </c>
      <c r="B1004" s="1"/>
      <c r="C1004" s="4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  <c r="D1004" s="1"/>
      <c r="E1004" s="1"/>
    </row>
    <row r="1005">
      <c r="A1005" s="1" t="s">
        <v>993</v>
      </c>
      <c r="B1005" s="1"/>
      <c r="C1005" s="4" t="str">
        <f>HYPERLINK("http://foursquare.com/v/5d1c328ffa68ea002af5dc63","Mom’s Kitchen ")</f>
        <v>Mom’s Kitchen </v>
      </c>
      <c r="D1005" s="1"/>
      <c r="E1005" s="1"/>
    </row>
    <row r="1006">
      <c r="A1006" s="1" t="s">
        <v>994</v>
      </c>
      <c r="B1006" s="1"/>
      <c r="C1006" s="4" t="str">
        <f>HYPERLINK("http://foursquare.com/v/4d0f2639c3dc3704f5d93074","Bangkok Bank (ธนาคารกรุงเทพ) ")</f>
        <v>Bangkok Bank (ธนาคารกรุงเทพ) </v>
      </c>
      <c r="D1006" s="1"/>
      <c r="E1006" s="1"/>
    </row>
    <row r="1007">
      <c r="A1007" s="1" t="s">
        <v>995</v>
      </c>
      <c r="B1007" s="1"/>
      <c r="C1007" s="4" t="str">
        <f>HYPERLINK("http://foursquare.com/v/56ecfcd2498ebcce49b381fc","Let It Be ")</f>
        <v>Let It Be </v>
      </c>
      <c r="D1007" s="1"/>
      <c r="E1007" s="1"/>
    </row>
    <row r="1008">
      <c r="A1008" s="1" t="s">
        <v>996</v>
      </c>
      <c r="B1008" s="1"/>
      <c r="C1008" s="4" t="str">
        <f>HYPERLINK("http://foursquare.com/v/4c01da81f8492d7f3a965ffa","PTT (ปตท.) ")</f>
        <v>PTT (ปตท.) </v>
      </c>
      <c r="D1008" s="1"/>
      <c r="E1008" s="1"/>
    </row>
    <row r="1009">
      <c r="A1009" s="1" t="s">
        <v>997</v>
      </c>
      <c r="B1009" s="1"/>
      <c r="C1009" s="4" t="str">
        <f>HYPERLINK("http://foursquare.com/v/4cb7e2e6c7228cfaa4c703ce","PTT (ปตท.) ")</f>
        <v>PTT (ปตท.) </v>
      </c>
      <c r="D1009" s="1"/>
      <c r="E1009" s="1"/>
    </row>
    <row r="1010">
      <c r="A1010" s="1" t="s">
        <v>998</v>
      </c>
      <c r="B1010" s="1"/>
      <c r="C1010" s="4" t="str">
        <f>HYPERLINK("http://foursquare.com/v/5b7abb7bdb2aeb002c2a7d08","The Riverie By Kathani Collection Chiang Ria ")</f>
        <v>The Riverie By Kathani Collection Chiang Ria </v>
      </c>
      <c r="D1010" s="1"/>
      <c r="E1010" s="1"/>
    </row>
    <row r="1011">
      <c r="A1011" s="1" t="s">
        <v>999</v>
      </c>
      <c r="B1011" s="1"/>
      <c r="C1011" s="4" t="str">
        <f>HYPERLINK("http://foursquare.com/v/4bc409804cdfc9b67a359821","Dusit Island Resort Chiang Rai (ดุสิตไอส์แลนด์รีสอร์ท) ")</f>
        <v>Dusit Island Resort Chiang Rai (ดุสิตไอส์แลนด์รีสอร์ท) </v>
      </c>
      <c r="D1011" s="1"/>
      <c r="E1011" s="1"/>
    </row>
    <row r="1012">
      <c r="A1012" s="1" t="s">
        <v>1000</v>
      </c>
      <c r="B1012" s="1"/>
      <c r="C1012" s="4" t="str">
        <f>HYPERLINK("http://foursquare.com/v/50dc0a5be4b02de158957d77","Choui Fong Tea Plantation (ไร่ชาฉุยฟง) ")</f>
        <v>Choui Fong Tea Plantation (ไร่ชาฉุยฟง) </v>
      </c>
      <c r="D1012" s="1"/>
      <c r="E1012" s="1"/>
    </row>
    <row r="1013">
      <c r="A1013" s="1" t="s">
        <v>1001</v>
      </c>
      <c r="B1013" s="1"/>
      <c r="C1013" s="4" t="str">
        <f>HYPERLINK("http://foursquare.com/v/5c1f3c83d41bb7003982d6ad","สระขุนน้ำมรกต ")</f>
        <v>สระขุนน้ำมรกต </v>
      </c>
      <c r="D1013" s="1"/>
      <c r="E1013" s="1"/>
    </row>
    <row r="1014">
      <c r="A1014" s="1" t="s">
        <v>1002</v>
      </c>
      <c r="B1014" s="1"/>
      <c r="C1014" s="4" t="str">
        <f>HYPERLINK("http://foursquare.com/v/4f5dc253e4b01219ad395b4f","Tham Luang (ถ้ำหลวง) ")</f>
        <v>Tham Luang (ถ้ำหลวง) </v>
      </c>
      <c r="D1014" s="1"/>
      <c r="E1014" s="1"/>
    </row>
    <row r="1015">
      <c r="A1015" s="1" t="s">
        <v>1003</v>
      </c>
      <c r="B1015" s="1"/>
      <c r="C1015" s="4" t="str">
        <f>HYPERLINK("http://foursquare.com/v/4d7b217e79c4b1f78effe2f2","Khun Nam Nang Non (ขุนน้ำนางนอน) ")</f>
        <v>Khun Nam Nang Non (ขุนน้ำนางนอน) </v>
      </c>
      <c r="D1015" s="1"/>
      <c r="E1015" s="1"/>
    </row>
    <row r="1016">
      <c r="A1016" s="1" t="s">
        <v>1004</v>
      </c>
      <c r="B1016" s="1"/>
      <c r="C1016" s="4" t="str">
        <f>HYPERLINK("http://foursquare.com/v/599ec0c3f96b2c3468c04b22","Hungry Wolfs ")</f>
        <v>Hungry Wolfs </v>
      </c>
      <c r="D1016" s="1"/>
      <c r="E1016" s="1"/>
    </row>
    <row r="1017">
      <c r="A1017" s="1" t="s">
        <v>1005</v>
      </c>
      <c r="B1017" s="1"/>
      <c r="C1017" s="4" t="str">
        <f>HYPERLINK("http://foursquare.com/v/4bc5370141cb76b0932b3e6f","Wat Phra Kaeo (วัดพระแก้ว) ")</f>
        <v>Wat Phra Kaeo (วัดพระแก้ว) </v>
      </c>
      <c r="D1017" s="1"/>
      <c r="E1017" s="1"/>
    </row>
    <row r="1018">
      <c r="A1018" s="1" t="s">
        <v>1006</v>
      </c>
      <c r="B1018" s="1"/>
      <c r="C1018" s="4" t="str">
        <f>HYPERLINK("http://foursquare.com/v/4cb7e2e6c7228cfaa4c703ce","PTT (ปตท.) ")</f>
        <v>PTT (ปตท.) </v>
      </c>
      <c r="D1018" s="1"/>
      <c r="E1018" s="1"/>
    </row>
    <row r="1019">
      <c r="A1019" s="1" t="s">
        <v>1007</v>
      </c>
      <c r="B1019" s="1"/>
      <c r="C1019" s="4" t="str">
        <f>HYPERLINK("http://foursquare.com/v/5a92951bfdb9a72665866e7f","NARIT AstroPark ")</f>
        <v>NARIT AstroPark </v>
      </c>
      <c r="D1019" s="1"/>
      <c r="E1019" s="1"/>
    </row>
    <row r="1020">
      <c r="A1020" s="1" t="s">
        <v>1008</v>
      </c>
      <c r="B1020" s="1"/>
      <c r="C1020" s="4" t="str">
        <f>HYPERLINK("http://foursquare.com/v/4d1c17f5c50e6ea81712d0b8","ก๋วยเตี๋ยวชิวหลี(ก๋วยเตี๋ยวหมูบะช่อ) ")</f>
        <v>ก๋วยเตี๋ยวชิวหลี(ก๋วยเตี๋ยวหมูบะช่อ) </v>
      </c>
      <c r="D1020" s="1"/>
      <c r="E1020" s="1"/>
    </row>
    <row r="1021">
      <c r="A1021" s="1" t="s">
        <v>1009</v>
      </c>
      <c r="B1021" s="1"/>
      <c r="C1021" s="4" t="str">
        <f>HYPERLINK("http://foursquare.com/v/5dbcec7a9a3f6800086f1623","Starbucks (สตาร์บัคส์) ")</f>
        <v>Starbucks (สตาร์บัคส์) </v>
      </c>
      <c r="D1021" s="1"/>
      <c r="E1021" s="1"/>
    </row>
    <row r="1022">
      <c r="A1022" s="1" t="s">
        <v>1010</v>
      </c>
      <c r="B1022" s="1"/>
      <c r="C1022" s="4" t="str">
        <f>HYPERLINK("http://foursquare.com/v/51e00ac4498e6480eb01580f","คาเฟ่ ดินดิน Cafe DinDin ")</f>
        <v>คาเฟ่ ดินดิน Cafe DinDin </v>
      </c>
      <c r="D1022" s="1"/>
      <c r="E1022" s="1"/>
    </row>
    <row r="1023">
      <c r="A1023" s="1" t="s">
        <v>1011</v>
      </c>
      <c r="B1023" s="1"/>
      <c r="C1023" s="4" t="str">
        <f>HYPERLINK("http://foursquare.com/v/4f819951e4b050ced6e6cebd","The River Market (ตลาดแม่น้ำ) ")</f>
        <v>The River Market (ตลาดแม่น้ำ) </v>
      </c>
      <c r="D1023" s="1"/>
      <c r="E1023" s="1"/>
    </row>
    <row r="1024">
      <c r="A1024" s="1" t="s">
        <v>1012</v>
      </c>
      <c r="B1024" s="1"/>
      <c r="C1024" s="4" t="str">
        <f>HYPERLINK("http://foursquare.com/v/52be6456498e6ccdabb84b30","Rimtharn Nanglen (ริมธาร นั่งเล่น) ")</f>
        <v>Rimtharn Nanglen (ริมธาร นั่งเล่น) </v>
      </c>
      <c r="D1024" s="1"/>
      <c r="E1024" s="1"/>
    </row>
    <row r="1025">
      <c r="A1025" s="1" t="s">
        <v>1013</v>
      </c>
      <c r="B1025" s="1"/>
      <c r="C1025" s="4" t="str">
        <f>HYPERLINK("http://foursquare.com/v/53437cef498e597e9d2a105b","and ann coffee ")</f>
        <v>and ann coffee </v>
      </c>
      <c r="D1025" s="1"/>
      <c r="E1025" s="1"/>
    </row>
    <row r="1026">
      <c r="A1026" s="1" t="s">
        <v>1014</v>
      </c>
      <c r="B1026" s="1"/>
      <c r="C1026" s="4" t="str">
        <f>HYPERLINK("http://foursquare.com/v/4bef8aa1f2712d7f3eecfbd8","Huay Tueng Tao (ห้วยตึงเฒ่า) ")</f>
        <v>Huay Tueng Tao (ห้วยตึงเฒ่า) </v>
      </c>
      <c r="D1026" s="1"/>
      <c r="E1026" s="1"/>
    </row>
    <row r="1027">
      <c r="A1027" s="1" t="s">
        <v>1015</v>
      </c>
      <c r="B1027" s="1"/>
      <c r="C1027" s="4" t="str">
        <f>HYPERLINK("http://foursquare.com/v/4d95725ec19fb60cfffe6665","รสหวาน กินง่าย ")</f>
        <v>รสหวาน กินง่าย </v>
      </c>
      <c r="D1027" s="1"/>
      <c r="E1027" s="1"/>
    </row>
    <row r="1028">
      <c r="A1028" s="1" t="s">
        <v>1016</v>
      </c>
      <c r="C1028" s="3" t="str">
        <f>HYPERLINK("http://foursquare.com/v/51a96312498e5a9d360d455c","Food4thought ")</f>
        <v>Food4thought </v>
      </c>
    </row>
    <row r="1029">
      <c r="A1029" s="1" t="s">
        <v>1017</v>
      </c>
      <c r="C1029" s="3" t="str">
        <f>HYPERLINK("http://foursquare.com/v/5c2c3598033693002c92dbc1","N THRÉE coffee &amp; eatery ")</f>
        <v>N THRÉE coffee &amp; eatery </v>
      </c>
    </row>
    <row r="1030">
      <c r="A1030" s="1" t="s">
        <v>1018</v>
      </c>
      <c r="C1030" s="3" t="str">
        <f>HYPERLINK("http://foursquare.com/v/4cba4a5ed78f4688b50dbc73","PTIS International School (Prem) ")</f>
        <v>PTIS International School (Prem) </v>
      </c>
    </row>
    <row r="1031">
      <c r="A1031" s="1" t="s">
        <v>1019</v>
      </c>
      <c r="C1031" s="3" t="str">
        <f>HYPERLINK("http://foursquare.com/v/5f2d47574a0dca2152466a3c","The Duke's Original ")</f>
        <v>The Duke's Original </v>
      </c>
    </row>
    <row r="1032">
      <c r="A1032" s="1" t="s">
        <v>1020</v>
      </c>
      <c r="C1032" s="3" t="str">
        <f>HYPERLINK("http://foursquare.com/v/56ecfcd2498ebcce49b381fc","Let It Be ")</f>
        <v>Let It Be </v>
      </c>
    </row>
    <row r="1033">
      <c r="A1033" s="1" t="s">
        <v>1021</v>
      </c>
      <c r="C1033" s="3" t="str">
        <f>HYPERLINK("http://foursquare.com/v/54387cde498e0061317c19ee","Nana Jungle Chiang Mai ")</f>
        <v>Nana Jungle Chiang Mai </v>
      </c>
    </row>
    <row r="1034">
      <c r="A1034" s="1" t="s">
        <v>1022</v>
      </c>
      <c r="C1034" s="3" t="str">
        <f>HYPERLINK("http://foursquare.com/v/5a3755871b0ea56e2dbbc279","Between Café ")</f>
        <v>Between Café </v>
      </c>
    </row>
    <row r="1035">
      <c r="A1035" s="1" t="s">
        <v>1023</v>
      </c>
      <c r="C1035" s="3" t="str">
        <f>HYPERLINK("http://foursquare.com/v/4bc2b8b24cdfc9b6db7f9621","Chiang Mai Immigration (ตรวจคนเข้าเมือง จ.เชียงใหม่) ")</f>
        <v>Chiang Mai Immigration (ตรวจคนเข้าเมือง จ.เชียงใหม่) </v>
      </c>
    </row>
    <row r="1036">
      <c r="A1036" s="1" t="s">
        <v>1024</v>
      </c>
      <c r="C1036" s="3" t="str">
        <f>HYPERLINK("http://foursquare.com/v/4e812c63b6347681cf28da50","Omelette Bakery Cafe ")</f>
        <v>Omelette Bakery Cafe </v>
      </c>
    </row>
    <row r="1037">
      <c r="A1037" s="1" t="s">
        <v>1025</v>
      </c>
      <c r="C1037" s="3" t="str">
        <f>HYPERLINK("http://foursquare.com/v/50dbcc8ce4b03fcf365c6963","ร้านป้าลอย ")</f>
        <v>ร้านป้าลอย </v>
      </c>
    </row>
    <row r="1038">
      <c r="A1038" s="1" t="s">
        <v>1026</v>
      </c>
      <c r="C1038" s="3" t="str">
        <f>HYPERLINK("http://foursquare.com/v/578b238e498e2cf4c207a84b","Flora Creek Chiangmai ")</f>
        <v>Flora Creek Chiangmai </v>
      </c>
    </row>
    <row r="1039">
      <c r="A1039" s="1" t="s">
        <v>1027</v>
      </c>
      <c r="C1039" s="3" t="str">
        <f>HYPERLINK("http://foursquare.com/v/57fcc731cd107aa00945c7be","DECATHLON ")</f>
        <v>DECATHLON </v>
      </c>
    </row>
    <row r="1040">
      <c r="A1040" s="1" t="s">
        <v>1028</v>
      </c>
      <c r="C1040" s="3" t="str">
        <f>HYPERLINK("http://foursquare.com/v/5439136e498e48b8d4040f54","Myst (มิสท์) ")</f>
        <v>Myst (มิสท์) </v>
      </c>
    </row>
    <row r="1041">
      <c r="A1041" s="1" t="s">
        <v>1029</v>
      </c>
      <c r="C1041" s="3" t="str">
        <f>HYPERLINK("http://foursquare.com/v/4bef8aa1f2712d7f3eecfbd8","Huay Tueng Tao (ห้วยตึงเฒ่า) ")</f>
        <v>Huay Tueng Tao (ห้วยตึงเฒ่า) </v>
      </c>
    </row>
    <row r="1042">
      <c r="A1042" s="1" t="s">
        <v>1030</v>
      </c>
      <c r="C1042" s="3" t="str">
        <f>HYPERLINK("http://foursquare.com/v/4f819951e4b050ced6e6cebd","The River Market (ตลาดแม่น้ำ) ")</f>
        <v>The River Market (ตลาดแม่น้ำ) </v>
      </c>
    </row>
    <row r="1043">
      <c r="A1043" s="1" t="s">
        <v>1031</v>
      </c>
      <c r="C1043" s="3" t="str">
        <f>HYPERLINK("http://foursquare.com/v/4d1d4f5bb69c6dcbb43c5295","โรงเรียนศรีเนรูห์ ")</f>
        <v>โรงเรียนศรีเนรูห์ </v>
      </c>
    </row>
    <row r="1044">
      <c r="A1044" s="1" t="s">
        <v>1032</v>
      </c>
      <c r="C1044" s="3" t="str">
        <f>HYPERLINK("http://foursquare.com/v/54387cde498e0061317c19ee","Nana Jungle Chiang Mai ")</f>
        <v>Nana Jungle Chiang Mai </v>
      </c>
    </row>
    <row r="1045">
      <c r="A1045" s="1" t="s">
        <v>1033</v>
      </c>
      <c r="C1045" s="3" t="str">
        <f>HYPERLINK("http://foursquare.com/v/5334d6e3498e05d9410c30cc","Exotissimo Travel ")</f>
        <v>Exotissimo Travel </v>
      </c>
    </row>
    <row r="1046">
      <c r="A1046" s="1" t="s">
        <v>1034</v>
      </c>
      <c r="C1046" s="3" t="str">
        <f>HYPERLINK("http://foursquare.com/v/4e0458f0fa7643f3a026fc83","Makro (แม็คโคร) ")</f>
        <v>Makro (แม็คโคร) </v>
      </c>
    </row>
    <row r="1047">
      <c r="A1047" s="1" t="s">
        <v>1035</v>
      </c>
      <c r="C1047" s="3" t="str">
        <f>HYPERLINK("http://foursquare.com/v/5cf11ccc1af852002c19d692","Grooveyard ")</f>
        <v>Grooveyard </v>
      </c>
    </row>
    <row r="1048">
      <c r="A1048" s="1" t="s">
        <v>1036</v>
      </c>
      <c r="C1048" s="3" t="str">
        <f>HYPERLINK("http://foursquare.com/v/51e00ac4498e6480eb01580f","คาเฟ่ ดินดิน Cafe DinDin ")</f>
        <v>คาเฟ่ ดินดิน Cafe DinDin </v>
      </c>
    </row>
    <row r="1049">
      <c r="A1049" s="1" t="s">
        <v>1037</v>
      </c>
      <c r="C1049" s="3" t="str">
        <f>HYPERLINK("http://foursquare.com/v/50a216d2e4b0033f82cdeb80","7-Eleven (เซเว่น อีเลฟเว่น) ")</f>
        <v>7-Eleven (เซเว่น อีเลฟเว่น) </v>
      </c>
    </row>
    <row r="1050">
      <c r="A1050" s="1" t="s">
        <v>1038</v>
      </c>
      <c r="C1050" s="3" t="str">
        <f t="shared" ref="C1050:C1051" si="10">HYPERLINK("http://foursquare.com/v/5e05a1cc482d2d0008a68248","Tubpi ")</f>
        <v>Tubpi </v>
      </c>
    </row>
    <row r="1051">
      <c r="A1051" s="1" t="s">
        <v>1039</v>
      </c>
      <c r="C1051" s="3" t="str">
        <f t="shared" si="10"/>
        <v>Tubpi </v>
      </c>
    </row>
    <row r="1052">
      <c r="A1052" s="1" t="s">
        <v>1040</v>
      </c>
      <c r="C1052" s="3" t="str">
        <f>HYPERLINK("http://foursquare.com/v/4eeae9cdb634b469c304e0de","Coffee We 2 ")</f>
        <v>Coffee We 2 </v>
      </c>
    </row>
    <row r="1053">
      <c r="A1053" s="1" t="s">
        <v>1041</v>
      </c>
      <c r="C1053" s="3" t="str">
        <f>HYPERLINK("http://foursquare.com/v/5c2c3598033693002c92dbc1","N THRÉE coffee &amp; eatery ")</f>
        <v>N THRÉE coffee &amp; eatery </v>
      </c>
    </row>
    <row r="1054">
      <c r="A1054" s="1" t="s">
        <v>1042</v>
      </c>
      <c r="C1054" s="3" t="str">
        <f>HYPERLINK("http://foursquare.com/v/4e812c63b6347681cf28da50","Omelette Bakery Cafe ")</f>
        <v>Omelette Bakery Cafe </v>
      </c>
    </row>
    <row r="1055">
      <c r="A1055" s="1" t="s">
        <v>1043</v>
      </c>
      <c r="C1055" s="3" t="str">
        <f>HYPERLINK("http://foursquare.com/v/53437cef498e597e9d2a105b","and ann coffee ")</f>
        <v>and ann coffee </v>
      </c>
    </row>
    <row r="1056">
      <c r="A1056" s="1" t="s">
        <v>1044</v>
      </c>
      <c r="C1056" s="3" t="str">
        <f>HYPERLINK("http://foursquare.com/v/5584d557498e385926fb8c37","Teak Table (ทีค เทเบิล) ")</f>
        <v>Teak Table (ทีค เทเบิล) </v>
      </c>
    </row>
    <row r="1057">
      <c r="A1057" s="1" t="s">
        <v>1045</v>
      </c>
      <c r="C1057" s="3" t="str">
        <f>HYPERLINK("http://foursquare.com/v/4ea7d5b2e3003a42bcb85bf9","ลานกางเต็นท์ดอยปุย ")</f>
        <v>ลานกางเต็นท์ดอยปุย </v>
      </c>
    </row>
    <row r="1058">
      <c r="A1058" s="1" t="s">
        <v>1046</v>
      </c>
      <c r="C1058" s="3" t="str">
        <f>HYPERLINK("http://foursquare.com/v/4d1d39b5d7b0b1f752bdf89e","Yod Doi Pui Visitor Center ")</f>
        <v>Yod Doi Pui Visitor Center </v>
      </c>
    </row>
    <row r="1059">
      <c r="A1059" s="1" t="s">
        <v>1047</v>
      </c>
      <c r="C1059" s="3" t="str">
        <f>HYPERLINK("http://foursquare.com/v/4cde6df4ffcf37042d7d1282","Doi Pui Scenic Point (จุดชมวิวดอยปุย) ")</f>
        <v>Doi Pui Scenic Point (จุดชมวิวดอยปุย) </v>
      </c>
    </row>
    <row r="1060">
      <c r="A1060" s="1" t="s">
        <v>1048</v>
      </c>
      <c r="C1060" s="3" t="str">
        <f>HYPERLINK("http://foursquare.com/v/5591322f498e4c955e6b3abb","Daily One ")</f>
        <v>Daily One </v>
      </c>
    </row>
    <row r="1061">
      <c r="A1061" s="1" t="s">
        <v>1049</v>
      </c>
      <c r="C1061" s="3" t="str">
        <f>HYPERLINK("http://foursquare.com/v/4baca383f964a52004003be3","Baan Suan Mae Rim Restaurant (บ้านสวนแม่ริม) ")</f>
        <v>Baan Suan Mae Rim Restaurant (บ้านสวนแม่ริม) </v>
      </c>
    </row>
    <row r="1062">
      <c r="A1062" s="1" t="s">
        <v>1050</v>
      </c>
      <c r="C1062" s="3" t="str">
        <f>HYPERLINK("http://foursquare.com/v/5a4f5ab9cf72a05abb97ceec","Triplets Eat &amp; Plays ")</f>
        <v>Triplets Eat &amp; Plays </v>
      </c>
    </row>
    <row r="1063">
      <c r="A1063" s="1" t="s">
        <v>1051</v>
      </c>
      <c r="C1063" s="3" t="str">
        <f>HYPERLINK("http://foursquare.com/v/5b25ea56c4df1d002cd991bf","Keep in touch ")</f>
        <v>Keep in touch </v>
      </c>
    </row>
    <row r="1064">
      <c r="A1064" s="1" t="s">
        <v>1052</v>
      </c>
      <c r="C1064" s="3" t="str">
        <f t="shared" ref="C1064:C1065" si="11">HYPERLINK("http://foursquare.com/v/5c2c3598033693002c92dbc1","N THRÉE coffee &amp; eatery ")</f>
        <v>N THRÉE coffee &amp; eatery </v>
      </c>
    </row>
    <row r="1065">
      <c r="A1065" s="1" t="s">
        <v>1053</v>
      </c>
      <c r="C1065" s="3" t="str">
        <f t="shared" si="11"/>
        <v>N THRÉE coffee &amp; eatery </v>
      </c>
    </row>
    <row r="1066">
      <c r="A1066" s="1" t="s">
        <v>1054</v>
      </c>
      <c r="C1066" s="3" t="str">
        <f>HYPERLINK("http://foursquare.com/v/531dad8f498eba29b3ddd52c","Pizzeria Giotto ")</f>
        <v>Pizzeria Giotto </v>
      </c>
    </row>
    <row r="1067">
      <c r="A1067" s="1" t="s">
        <v>1055</v>
      </c>
      <c r="C1067" s="3" t="str">
        <f>HYPERLINK("http://foursquare.com/v/51ea20f4498e817979f6c45a","A 2 C U T ")</f>
        <v>A 2 C U T </v>
      </c>
    </row>
    <row r="1068">
      <c r="A1068" s="1" t="s">
        <v>1056</v>
      </c>
      <c r="C1068" s="3" t="str">
        <f>HYPERLINK("http://foursquare.com/v/52936b3711d236a1a41721ff","Manifreshto ")</f>
        <v>Manifreshto </v>
      </c>
    </row>
    <row r="1069">
      <c r="A1069" s="1" t="s">
        <v>1056</v>
      </c>
      <c r="C1069" s="3" t="str">
        <f t="shared" ref="C1069:C1070" si="12">HYPERLINK("http://foursquare.com/v/55bc5fab498eae66e63533e5","Ristr8to Lab (รีสเตรสโต้ แลป) ")</f>
        <v>Ristr8to Lab (รีสเตรสโต้ แลป) </v>
      </c>
    </row>
    <row r="1070">
      <c r="A1070" s="1" t="s">
        <v>1057</v>
      </c>
      <c r="C1070" s="3" t="str">
        <f t="shared" si="12"/>
        <v>Ristr8to Lab (รีสเตรสโต้ แลป) </v>
      </c>
    </row>
    <row r="1071">
      <c r="A1071" s="1" t="s">
        <v>1058</v>
      </c>
      <c r="C1071" s="3" t="str">
        <f>HYPERLINK("http://foursquare.com/v/52936b3711d236a1a41721ff","Manifreshto ")</f>
        <v>Manifreshto </v>
      </c>
    </row>
    <row r="1072">
      <c r="A1072" s="1" t="s">
        <v>1059</v>
      </c>
      <c r="C1072" s="3" t="str">
        <f>HYPERLINK("http://foursquare.com/v/5916be19e1f0aa603a97b557","Cervidae Café ")</f>
        <v>Cervidae Café </v>
      </c>
    </row>
    <row r="1073">
      <c r="A1073" s="1" t="s">
        <v>1060</v>
      </c>
      <c r="C1073" s="3" t="str">
        <f>HYPERLINK("http://foursquare.com/v/58d656b213af1c20e26df07a","VT Namnueng (วีทีแหนมเนือง) ")</f>
        <v>VT Namnueng (วีทีแหนมเนือง) </v>
      </c>
    </row>
    <row r="1074">
      <c r="A1074" s="1" t="s">
        <v>1061</v>
      </c>
      <c r="C1074" s="3" t="str">
        <f>HYPERLINK("http://foursquare.com/v/4c73348313228cfaa1512d65","The Salad Concept ")</f>
        <v>The Salad Concept </v>
      </c>
    </row>
    <row r="1075">
      <c r="A1075" s="1" t="s">
        <v>1062</v>
      </c>
      <c r="C1075" s="3" t="str">
        <f>HYPERLINK("http://foursquare.com/v/50e140d4e4b0a94f63e0852e","Wawee Coffee (กาแฟวาวี) ")</f>
        <v>Wawee Coffee (กาแฟวาวี) </v>
      </c>
    </row>
    <row r="1076">
      <c r="A1076" s="1" t="s">
        <v>1063</v>
      </c>
      <c r="C1076" s="3" t="str">
        <f>HYPERLINK("http://foursquare.com/v/56ecfcd2498ebcce49b381fc","Let It Be ")</f>
        <v>Let It Be </v>
      </c>
    </row>
    <row r="1077">
      <c r="A1077" s="1" t="s">
        <v>1064</v>
      </c>
      <c r="C1077" s="3" t="str">
        <f>HYPERLINK("http://foursquare.com/v/5fdcb97eaea7827112b5fa69","The Sax Music House ")</f>
        <v>The Sax Music House </v>
      </c>
    </row>
    <row r="1078">
      <c r="A1078" s="1" t="s">
        <v>1065</v>
      </c>
      <c r="C1078" s="3" t="str">
        <f>HYPERLINK("http://foursquare.com/v/58438278d25ded6f325301b6","Hanawa ")</f>
        <v>Hanawa </v>
      </c>
    </row>
    <row r="1079">
      <c r="A1079" s="1" t="s">
        <v>1066</v>
      </c>
      <c r="C1079" s="3" t="str">
        <f>HYPERLINK("http://foursquare.com/v/5e32b2848ea9c10008f67f90","Playground 6 ")</f>
        <v>Playground 6 </v>
      </c>
    </row>
    <row r="1080">
      <c r="A1080" s="1" t="s">
        <v>1067</v>
      </c>
      <c r="C1080" s="3" t="str">
        <f>HYPERLINK("http://foursquare.com/v/4bc50fc122c676b0b78e96d3","Smoothie Blues ")</f>
        <v>Smoothie Blues </v>
      </c>
    </row>
    <row r="1081">
      <c r="A1081" s="1" t="s">
        <v>1068</v>
      </c>
      <c r="C1081" s="3" t="str">
        <f>HYPERLINK("http://foursquare.com/v/5e32b2848ea9c10008f67f90","Playground 6 ")</f>
        <v>Playground 6 </v>
      </c>
    </row>
    <row r="1082">
      <c r="A1082" s="1" t="s">
        <v>1069</v>
      </c>
      <c r="C1082" s="3" t="str">
        <f>HYPERLINK("http://foursquare.com/v/4b63df19f964a52026952ae3","MIX (มิกซ์) ")</f>
        <v>MIX (มิกซ์) </v>
      </c>
    </row>
    <row r="1083">
      <c r="A1083" s="1" t="s">
        <v>1070</v>
      </c>
      <c r="C1083" s="3" t="str">
        <f>HYPERLINK("http://foursquare.com/v/4e812c63b6347681cf28da50","Omelette Bakery Cafe ")</f>
        <v>Omelette Bakery Cafe </v>
      </c>
    </row>
    <row r="1084">
      <c r="A1084" s="1" t="s">
        <v>1071</v>
      </c>
      <c r="C1084" s="3" t="str">
        <f>HYPERLINK("http://foursquare.com/v/4d09c0e064716ea887a6dc10","Bai Orchid &amp; Butterfly ")</f>
        <v>Bai Orchid &amp; Butterfly </v>
      </c>
    </row>
    <row r="1085">
      <c r="A1085" s="1" t="s">
        <v>1072</v>
      </c>
      <c r="C1085" s="3" t="str">
        <f>HYPERLINK("http://foursquare.com/v/5dff68cc69909e00086b8783","Jim’s Burger ")</f>
        <v>Jim’s Burger </v>
      </c>
    </row>
    <row r="1086">
      <c r="A1086" s="1" t="s">
        <v>1073</v>
      </c>
      <c r="C1086" s="3" t="str">
        <f>HYPERLINK("http://foursquare.com/v/4e1bcc4ab61cb7bbd0d632ca","HugYou (ฮักยู) ลำปางหนาวมาก ")</f>
        <v>HugYou (ฮักยู) ลำปางหนาวมาก </v>
      </c>
    </row>
    <row r="1087">
      <c r="A1087" s="1" t="s">
        <v>1074</v>
      </c>
      <c r="B1087" s="1" t="s">
        <v>1075</v>
      </c>
      <c r="C1087" s="3" t="str">
        <f>HYPERLINK("http://foursquare.com/v/53e6fe52498ec3e13b7a5849","Tak Treehouse ")</f>
        <v>Tak Treehouse </v>
      </c>
    </row>
    <row r="1088">
      <c r="A1088" s="1" t="s">
        <v>1076</v>
      </c>
      <c r="B1088" s="1"/>
      <c r="C1088" s="3" t="str">
        <f>HYPERLINK("http://foursquare.com/v/4e05bcef62e100e58164a71e","Oasis Bar&amp;Restauntrent ")</f>
        <v>Oasis Bar&amp;Restauntrent </v>
      </c>
    </row>
    <row r="1089">
      <c r="A1089" s="1" t="s">
        <v>1077</v>
      </c>
      <c r="B1089" s="1"/>
      <c r="C1089" s="3" t="str">
        <f>HYPERLINK("http://foursquare.com/v/4e19b79388777e96477c58e5","PTT (ปตท.) ")</f>
        <v>PTT (ปตท.) </v>
      </c>
    </row>
    <row r="1090">
      <c r="A1090" s="1" t="s">
        <v>1078</v>
      </c>
      <c r="B1090" s="1"/>
      <c r="C1090" s="3" t="str">
        <f>HYPERLINK("http://foursquare.com/v/4bebc7e562c0c928b880e2d4","Bang Saen Beach (หาดบางแสน) ")</f>
        <v>Bang Saen Beach (หาดบางแสน) </v>
      </c>
    </row>
    <row r="1091">
      <c r="A1091" s="1" t="s">
        <v>1079</v>
      </c>
      <c r="B1091" s="1"/>
      <c r="C1091" s="3" t="str">
        <f>HYPERLINK("http://foursquare.com/v/5df0bb8ee6d04800087f01dd","Red Temp Coffee ")</f>
        <v>Red Temp Coffee </v>
      </c>
    </row>
    <row r="1092">
      <c r="A1092" s="1" t="s">
        <v>1080</v>
      </c>
      <c r="B1092" s="1"/>
      <c r="C1092" s="3" t="str">
        <f>HYPERLINK("http://foursquare.com/v/4bb97aa7cf2fc9b64f97a002","Taaruephe (ท่าเรือเพ) ")</f>
        <v>Taaruephe (ท่าเรือเพ) </v>
      </c>
    </row>
    <row r="1093">
      <c r="A1093" s="1" t="s">
        <v>1081</v>
      </c>
      <c r="B1093" s="1"/>
      <c r="C1093" s="3" t="str">
        <f>HYPERLINK("http://foursquare.com/v/4b9345d7f964a520193e34e3","Koh Samet Pier (ท่าเรือเกาะเสม็ด) ")</f>
        <v>Koh Samet Pier (ท่าเรือเกาะเสม็ด) </v>
      </c>
    </row>
    <row r="1094">
      <c r="A1094" s="1" t="s">
        <v>1082</v>
      </c>
      <c r="B1094" s="1"/>
      <c r="C1094" s="3" t="str">
        <f>HYPERLINK("http://foursquare.com/v/4f9271bde4b00fe65e5a192a","Sea Horse Bungalow 2 ")</f>
        <v>Sea Horse Bungalow 2 </v>
      </c>
    </row>
    <row r="1095">
      <c r="A1095" s="1" t="s">
        <v>1083</v>
      </c>
      <c r="B1095" s="1"/>
      <c r="C1095" s="3" t="str">
        <f>HYPERLINK("http://foursquare.com/v/4c010159de3376b0011ef9a4","Nice &amp; Easy bar ")</f>
        <v>Nice &amp; Easy bar </v>
      </c>
    </row>
    <row r="1096">
      <c r="A1096" s="1" t="s">
        <v>1084</v>
      </c>
      <c r="B1096" s="1"/>
      <c r="C1096" s="3" t="str">
        <f>HYPERLINK("http://foursquare.com/v/4ed773d1775b4437aa3c4076","Tubtim Resort (ทับทิมรีสอร์ท) ")</f>
        <v>Tubtim Resort (ทับทิมรีสอร์ท) </v>
      </c>
    </row>
    <row r="1097">
      <c r="A1097" s="1" t="s">
        <v>1085</v>
      </c>
      <c r="B1097" s="1"/>
      <c r="C1097" s="3" t="str">
        <f>HYPERLINK("http://foursquare.com/v/4ed777a0be7b356716a9c958","Silver Sand Beach (หาดซิลเวอร์แซนด์) ")</f>
        <v>Silver Sand Beach (หาดซิลเวอร์แซนด์) </v>
      </c>
    </row>
    <row r="1098">
      <c r="A1098" s="1" t="s">
        <v>1086</v>
      </c>
      <c r="B1098" s="1"/>
      <c r="C1098" s="3" t="str">
        <f>HYPERLINK("http://foursquare.com/v/4d7a40c1ecf7a35d487b85f4","Silversand Bar ")</f>
        <v>Silversand Bar </v>
      </c>
    </row>
    <row r="1099">
      <c r="A1099" s="1" t="s">
        <v>1087</v>
      </c>
      <c r="B1099" s="1"/>
      <c r="C1099" s="3" t="str">
        <f>HYPERLINK("http://foursquare.com/v/4ed773d1775b4437aa3c4076","Tubtim Resort (ทับทิมรีสอร์ท) ")</f>
        <v>Tubtim Resort (ทับทิมรีสอร์ท) </v>
      </c>
    </row>
    <row r="1100">
      <c r="A1100" s="1" t="s">
        <v>1088</v>
      </c>
      <c r="B1100" s="1"/>
      <c r="C1100" s="3" t="str">
        <f>HYPERLINK("http://foursquare.com/v/59dae5f1dab4b158b7eb1620","Samed Island, Thailand ")</f>
        <v>Samed Island, Thailand </v>
      </c>
    </row>
    <row r="1101">
      <c r="A1101" s="1" t="s">
        <v>1089</v>
      </c>
      <c r="B1101" s="1"/>
      <c r="C1101" s="3" t="str">
        <f>HYPERLINK("http://foursquare.com/v/4b9345d7f964a520193e34e3","Koh Samet Pier (ท่าเรือเกาะเสม็ด) ")</f>
        <v>Koh Samet Pier (ท่าเรือเกาะเสม็ด) </v>
      </c>
    </row>
    <row r="1102">
      <c r="A1102" s="1" t="s">
        <v>1090</v>
      </c>
      <c r="B1102" s="1"/>
      <c r="C1102" s="3" t="str">
        <f>HYPERLINK("http://foursquare.com/v/4bb97aa7cf2fc9b64f97a002","Taaruephe (ท่าเรือเพ) ")</f>
        <v>Taaruephe (ท่าเรือเพ) </v>
      </c>
    </row>
    <row r="1103">
      <c r="A1103" s="1" t="s">
        <v>1091</v>
      </c>
      <c r="B1103" s="1"/>
      <c r="C1103" s="3" t="str">
        <f>HYPERLINK("http://foursquare.com/v/51fe244f498eb5bc49c161ea","King Kong (คิงคอง) ")</f>
        <v>King Kong (คิงคอง) </v>
      </c>
    </row>
    <row r="1104">
      <c r="A1104" s="1" t="s">
        <v>1092</v>
      </c>
      <c r="B1104" s="1"/>
      <c r="C1104" s="3" t="str">
        <f>HYPERLINK("http://foursquare.com/v/5edb3c5d79f44f00084480fc","Tim Hortons (ทิม ฮอร์ตันส์) ")</f>
        <v>Tim Hortons (ทิม ฮอร์ตันส์) </v>
      </c>
    </row>
    <row r="1105">
      <c r="A1105" s="1" t="s">
        <v>1093</v>
      </c>
      <c r="B1105" s="1"/>
      <c r="C1105" s="3" t="str">
        <f t="shared" ref="C1105:C1106" si="13">HYPERLINK("http://foursquare.com/v/4b481f88f964a520b14826e3","K Village (เค วิลเลจ) ")</f>
        <v>K Village (เค วิลเลจ) </v>
      </c>
    </row>
    <row r="1106">
      <c r="A1106" s="1" t="s">
        <v>1094</v>
      </c>
      <c r="B1106" s="1"/>
      <c r="C1106" s="3" t="str">
        <f t="shared" si="13"/>
        <v>K Village (เค วิลเลจ) </v>
      </c>
    </row>
    <row r="1107">
      <c r="A1107" s="1" t="s">
        <v>1095</v>
      </c>
      <c r="B1107" s="1"/>
      <c r="C1107" s="3" t="str">
        <f>HYPERLINK("http://foursquare.com/v/4cbe5b880cc4b7136301ecf7","Modern Town ")</f>
        <v>Modern Town </v>
      </c>
    </row>
    <row r="1108">
      <c r="A1108" s="1" t="s">
        <v>1096</v>
      </c>
      <c r="B1108" s="1"/>
      <c r="C1108" s="3" t="str">
        <f>HYPERLINK("http://foursquare.com/v/574fd97e498e94b04f588b1f","Smiling Albino Adventures ")</f>
        <v>Smiling Albino Adventures </v>
      </c>
    </row>
    <row r="1109">
      <c r="A1109" s="1" t="s">
        <v>1097</v>
      </c>
      <c r="B1109" s="1"/>
      <c r="C1109" s="3" t="str">
        <f>HYPERLINK("http://foursquare.com/v/4b73929ff964a5207db42de3","Ayutthaya Grand Hotel ")</f>
        <v>Ayutthaya Grand Hotel </v>
      </c>
    </row>
    <row r="1110">
      <c r="A1110" s="1" t="s">
        <v>1098</v>
      </c>
      <c r="B1110" s="1"/>
      <c r="C1110" s="3" t="str">
        <f>HYPERLINK("http://foursquare.com/v/4c5bc87a7735c9b654918a72","Grand Market (ตลาดแกรนด์) ")</f>
        <v>Grand Market (ตลาดแกรนด์) </v>
      </c>
    </row>
    <row r="1111">
      <c r="A1111" s="1" t="s">
        <v>1099</v>
      </c>
      <c r="B1111" s="1"/>
      <c r="C1111" s="3" t="str">
        <f>HYPERLINK("http://foursquare.com/v/4d874a3ce83fa143d1b0a0a1","PTT (ปตท.) ")</f>
        <v>PTT (ปตท.) </v>
      </c>
    </row>
    <row r="1112">
      <c r="A1112" s="1" t="s">
        <v>1100</v>
      </c>
      <c r="B1112" s="1"/>
      <c r="C1112" s="3" t="str">
        <f>HYPERLINK("http://foursquare.com/v/4e22841ed1647406321222bb","Tak Province ")</f>
        <v>Tak Province </v>
      </c>
    </row>
    <row r="1113">
      <c r="A1113" s="1" t="s">
        <v>1101</v>
      </c>
      <c r="B1113" s="1"/>
      <c r="C1113" s="3" t="str">
        <f>HYPERLINK("http://foursquare.com/v/5c2c3598033693002c92dbc1","N THRÉE coffee &amp; eatery ")</f>
        <v>N THRÉE coffee &amp; eatery </v>
      </c>
    </row>
    <row r="1114">
      <c r="A1114" s="1" t="s">
        <v>1102</v>
      </c>
      <c r="B1114" s="1"/>
      <c r="C1114" s="3" t="str">
        <f>HYPERLINK("http://foursquare.com/v/5f2d47574a0dca2152466a3c","The Duke's Original ")</f>
        <v>The Duke's Original </v>
      </c>
    </row>
    <row r="1115">
      <c r="A1115" s="1" t="s">
        <v>1103</v>
      </c>
      <c r="B1115" s="1"/>
      <c r="C1115" s="3" t="str">
        <f>HYPERLINK("http://foursquare.com/v/5c2c3598033693002c92dbc1","N THRÉE coffee &amp; eatery ")</f>
        <v>N THRÉE coffee &amp; eatery </v>
      </c>
    </row>
    <row r="1116">
      <c r="A1116" s="1" t="s">
        <v>1104</v>
      </c>
      <c r="B1116" s="1"/>
      <c r="C1116" s="3" t="str">
        <f>HYPERLINK("http://foursquare.com/v/4bc50fc122c676b0b78e96d3","Smoothie Blues ")</f>
        <v>Smoothie Blues </v>
      </c>
    </row>
    <row r="1117">
      <c r="A1117" s="1" t="s">
        <v>1105</v>
      </c>
      <c r="B1117" s="1"/>
      <c r="C1117" s="3" t="str">
        <f>HYPERLINK("http://foursquare.com/v/5fdcb97eaea7827112b5fa69","The Sax Music House ")</f>
        <v>The Sax Music House </v>
      </c>
    </row>
    <row r="1118">
      <c r="A1118" s="1" t="s">
        <v>1106</v>
      </c>
      <c r="B1118" s="1"/>
      <c r="C1118" s="3" t="str">
        <f>HYPERLINK("http://foursquare.com/v/5f79bf365481ad2b6b1c329d","Kin Organic Soymilk &amp; Burger ")</f>
        <v>Kin Organic Soymilk &amp; Burger </v>
      </c>
    </row>
    <row r="1119">
      <c r="A1119" s="1" t="s">
        <v>1107</v>
      </c>
      <c r="B1119" s="1"/>
      <c r="C1119" s="3" t="str">
        <f>HYPERLINK("http://foursquare.com/v/5cf11ccc1af852002c19d692","Grooveyard ")</f>
        <v>Grooveyard </v>
      </c>
    </row>
    <row r="1120">
      <c r="A1120" s="1" t="s">
        <v>1108</v>
      </c>
      <c r="B1120" s="1"/>
      <c r="C1120" s="3" t="str">
        <f>HYPERLINK("http://foursquare.com/v/5284ceac11d213f83837150b","Wine Connection (ไวน์คอนเนคชั่น) ")</f>
        <v>Wine Connection (ไวน์คอนเนคชั่น) </v>
      </c>
    </row>
    <row r="1121">
      <c r="A1121" s="1" t="s">
        <v>1109</v>
      </c>
      <c r="B1121" s="1"/>
      <c r="C1121" s="3" t="str">
        <f>HYPERLINK("http://foursquare.com/v/5ce66e70d552c7002cb62e47","Life. ")</f>
        <v>Life. </v>
      </c>
    </row>
    <row r="1122">
      <c r="A1122" s="1" t="s">
        <v>1110</v>
      </c>
      <c r="B1122" s="1"/>
      <c r="C1122" s="3" t="str">
        <f t="shared" ref="C1122:C1123" si="14">HYPERLINK("http://foursquare.com/v/5e4782bdaae6a700081757ef","กำเบ้อ Gramber Cafe ")</f>
        <v>กำเบ้อ Gramber Cafe </v>
      </c>
    </row>
    <row r="1123">
      <c r="A1123" s="1" t="s">
        <v>1111</v>
      </c>
      <c r="B1123" s="1"/>
      <c r="C1123" s="3" t="str">
        <f t="shared" si="14"/>
        <v>กำเบ้อ Gramber Cafe </v>
      </c>
    </row>
    <row r="1124">
      <c r="A1124" s="1" t="s">
        <v>1112</v>
      </c>
      <c r="B1124" s="1"/>
      <c r="C1124" s="3" t="str">
        <f>HYPERLINK("http://foursquare.com/v/4d995513af3d236abe1b51c7","XCentre ")</f>
        <v>XCentre </v>
      </c>
    </row>
    <row r="1125">
      <c r="A1125" s="1" t="s">
        <v>1113</v>
      </c>
      <c r="B1125" s="1"/>
      <c r="C1125" s="3" t="str">
        <f>HYPERLINK("http://foursquare.com/v/5dff68cc69909e00086b8783","Jim’s Burger ")</f>
        <v>Jim’s Burger </v>
      </c>
    </row>
    <row r="1126">
      <c r="A1126" s="1" t="s">
        <v>1114</v>
      </c>
      <c r="B1126" s="1"/>
      <c r="C1126" s="3" t="str">
        <f>HYPERLINK("http://foursquare.com/v/4df2d97a62e1288ed30221db","Toyota Chiangmai (โตโยต้า เชียงใหม่) ")</f>
        <v>Toyota Chiangmai (โตโยต้า เชียงใหม่) </v>
      </c>
    </row>
    <row r="1127">
      <c r="A1127" s="1" t="s">
        <v>1115</v>
      </c>
      <c r="B1127" s="1"/>
      <c r="C1127" s="3" t="str">
        <f>HYPERLINK("http://foursquare.com/v/5fdcb97eaea7827112b5fa69","The Sax Music House ")</f>
        <v>The Sax Music House </v>
      </c>
    </row>
    <row r="1128">
      <c r="A1128" s="1" t="s">
        <v>1116</v>
      </c>
      <c r="B1128" s="1"/>
      <c r="C1128" s="3" t="str">
        <f>HYPERLINK("http://foursquare.com/v/5cf11ccc1af852002c19d692","Grooveyard ")</f>
        <v>Grooveyard </v>
      </c>
    </row>
    <row r="1129">
      <c r="A1129" s="1" t="s">
        <v>1117</v>
      </c>
      <c r="B1129" s="1"/>
      <c r="C1129" s="3" t="str">
        <f>HYPERLINK("http://foursquare.com/v/4d0210cc582454817cea48ac","Xanadu ")</f>
        <v>Xanadu </v>
      </c>
    </row>
    <row r="1130">
      <c r="A1130" s="1" t="s">
        <v>1118</v>
      </c>
      <c r="B1130" s="1"/>
      <c r="C1130" s="3" t="str">
        <f>HYPERLINK("http://foursquare.com/v/4e0458f0fa7643f3a026fc83","Makro (แม็คโคร) ")</f>
        <v>Makro (แม็คโคร) </v>
      </c>
    </row>
    <row r="1131">
      <c r="A1131" s="1" t="s">
        <v>1119</v>
      </c>
      <c r="B1131" s="1"/>
      <c r="C1131" s="3" t="str">
        <f>HYPERLINK("http://foursquare.com/v/4d95725ec19fb60cfffe6665","รสหวาน กินง่าย ")</f>
        <v>รสหวาน กินง่าย </v>
      </c>
    </row>
    <row r="1132">
      <c r="A1132" s="1" t="s">
        <v>1120</v>
      </c>
      <c r="B1132" s="1"/>
      <c r="C1132" s="3" t="str">
        <f>HYPERLINK("http://foursquare.com/v/4f83effbe4b08afde213064f","ก๋วยเตี๋ยวเรือรังสิต แม่ริม ")</f>
        <v>ก๋วยเตี๋ยวเรือรังสิต แม่ริม </v>
      </c>
    </row>
    <row r="1133">
      <c r="A1133" s="1" t="s">
        <v>1121</v>
      </c>
      <c r="B1133" s="1"/>
      <c r="C1133" s="3" t="str">
        <f>HYPERLINK("http://foursquare.com/v/55695a90498efad9469931ce","Phoenix Adventure Park ")</f>
        <v>Phoenix Adventure Park </v>
      </c>
    </row>
    <row r="1134">
      <c r="A1134" s="1" t="s">
        <v>1122</v>
      </c>
      <c r="B1134" s="1"/>
      <c r="C1134" s="3" t="str">
        <f>HYPERLINK("http://foursquare.com/v/528c144f11d2c105b44abe8a","Café de Oasis (คาเฟ่ เดอ โอเอซิส) ")</f>
        <v>Café de Oasis (คาเฟ่ เดอ โอเอซิส) </v>
      </c>
    </row>
    <row r="1135">
      <c r="A1135" s="1" t="s">
        <v>1123</v>
      </c>
      <c r="B1135" s="1"/>
      <c r="C1135" s="3" t="str">
        <f>HYPERLINK("http://foursquare.com/v/5ee2fc525b9a110e34b2ce43","Rim Nara Cafe &amp; Bistro ")</f>
        <v>Rim Nara Cafe &amp; Bistro </v>
      </c>
    </row>
    <row r="1136">
      <c r="A1136" s="1" t="s">
        <v>1124</v>
      </c>
      <c r="B1136" s="1"/>
      <c r="C1136" s="3" t="str">
        <f>HYPERLINK("http://foursquare.com/v/5cf11ccc1af852002c19d692","Grooveyard ")</f>
        <v>Grooveyard </v>
      </c>
    </row>
    <row r="1137">
      <c r="A1137" s="1" t="s">
        <v>1125</v>
      </c>
      <c r="B1137" s="1"/>
      <c r="C1137" s="3" t="str">
        <f>HYPERLINK("http://foursquare.com/v/5f69997ca3396c117c6dca33","River Rock Cafe Hill ")</f>
        <v>River Rock Cafe Hill </v>
      </c>
    </row>
    <row r="1138">
      <c r="A1138" s="1" t="s">
        <v>1126</v>
      </c>
      <c r="B1138" s="1"/>
      <c r="C1138" s="3" t="str">
        <f>HYPERLINK("http://foursquare.com/v/56ecfcd2498ebcce49b381fc","Let It Be ")</f>
        <v>Let It Be </v>
      </c>
    </row>
    <row r="1139">
      <c r="A1139" s="1" t="s">
        <v>1127</v>
      </c>
      <c r="B1139" s="1"/>
      <c r="C1139" s="3" t="str">
        <f>HYPERLINK("http://foursquare.com/v/4c2ee894a0ced13ad5b90f6e","HomePro (โฮมโปร) ")</f>
        <v>HomePro (โฮมโปร) </v>
      </c>
    </row>
    <row r="1140">
      <c r="A1140" s="1" t="s">
        <v>1128</v>
      </c>
      <c r="B1140" s="1"/>
      <c r="C1140" s="3" t="str">
        <f>HYPERLINK("http://foursquare.com/v/50e140d4e4b0a94f63e0852e","Wawee Coffee (กาแฟวาวี) ")</f>
        <v>Wawee Coffee (กาแฟวาวี) </v>
      </c>
    </row>
    <row r="1141">
      <c r="A1141" s="1" t="s">
        <v>1128</v>
      </c>
      <c r="B1141" s="1"/>
      <c r="C1141" s="3" t="str">
        <f>HYPERLINK("http://foursquare.com/v/4be78a73c5220f477fcda8ca","Bread Brasserie ")</f>
        <v>Bread Brasserie </v>
      </c>
    </row>
    <row r="1142">
      <c r="A1142" s="1" t="s">
        <v>1129</v>
      </c>
      <c r="B1142" s="1"/>
      <c r="C1142" s="3" t="str">
        <f>HYPERLINK("http://foursquare.com/v/5cf11ccc1af852002c19d692","Grooveyard ")</f>
        <v>Grooveyard </v>
      </c>
    </row>
    <row r="1143">
      <c r="A1143" s="1" t="s">
        <v>1130</v>
      </c>
      <c r="B1143" s="1"/>
      <c r="C1143" s="3" t="str">
        <f>HYPERLINK("http://foursquare.com/v/591ec791b8fd9d18dbaa4730","MICU3 รพ.นครพิงค์ ")</f>
        <v>MICU3 รพ.นครพิงค์ </v>
      </c>
    </row>
    <row r="1144">
      <c r="A1144" s="1" t="s">
        <v>1131</v>
      </c>
      <c r="B1144" s="1"/>
      <c r="C1144" s="3" t="str">
        <f>HYPERLINK("http://foursquare.com/v/5c2c3598033693002c92dbc1","N THRÉE coffee &amp; eatery ")</f>
        <v>N THRÉE coffee &amp; eatery </v>
      </c>
    </row>
    <row r="1145">
      <c r="A1145" s="1" t="s">
        <v>1132</v>
      </c>
      <c r="B1145" s="1"/>
      <c r="C1145" s="3" t="str">
        <f>HYPERLINK("http://foursquare.com/v/4f2a35bde4b00df25c7b3900","Domestic Departures ")</f>
        <v>Domestic Departures </v>
      </c>
    </row>
    <row r="1146">
      <c r="A1146" s="1" t="s">
        <v>1133</v>
      </c>
      <c r="B1146" s="1"/>
      <c r="C1146" s="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147">
      <c r="A1147" s="1" t="s">
        <v>1134</v>
      </c>
      <c r="B1147" s="1"/>
      <c r="C1147" s="3" t="str">
        <f>HYPERLINK("http://foursquare.com/v/4f98ca42e4b028100302dbde","Megabangna (เมกาบางนา) ")</f>
        <v>Megabangna (เมกาบางนา) </v>
      </c>
    </row>
    <row r="1148">
      <c r="A1148" s="1" t="s">
        <v>1135</v>
      </c>
      <c r="B1148" s="1"/>
      <c r="C1148" s="3" t="str">
        <f>HYPERLINK("http://foursquare.com/v/4b9cce4bf964a5207e7c36e3","Novotel Suvarnabhumi Airport Hotel (โรงแรมโนโวเทล สุวรรณภูมิ) ")</f>
        <v>Novotel Suvarnabhumi Airport Hotel (โรงแรมโนโวเทล สุวรรณภูมิ) </v>
      </c>
    </row>
    <row r="1149">
      <c r="A1149" s="1" t="s">
        <v>1136</v>
      </c>
      <c r="B1149" s="1"/>
      <c r="C1149" s="3" t="str">
        <f>HYPERLINK("http://foursquare.com/v/5d039d38bb8d36002cda0698","Som Tam Nua (ส้มตำนัว) ")</f>
        <v>Som Tam Nua (ส้มตำนัว) </v>
      </c>
    </row>
    <row r="1150">
      <c r="A1150" s="1" t="s">
        <v>1137</v>
      </c>
      <c r="B1150" s="1"/>
      <c r="C1150" s="3" t="str">
        <f>HYPERLINK("http://foursquare.com/v/5dca34746f3d030007c4b552","Robinson Lifestyle Ladkrabang (โรบินสัน ไลฟ์สไตล์ ลาดกระบัง) ")</f>
        <v>Robinson Lifestyle Ladkrabang (โรบินสัน ไลฟ์สไตล์ ลาดกระบัง) </v>
      </c>
    </row>
    <row r="1151">
      <c r="A1151" s="1" t="s">
        <v>1138</v>
      </c>
      <c r="B1151" s="1"/>
      <c r="C1151" s="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152">
      <c r="A1152" s="1" t="s">
        <v>1139</v>
      </c>
      <c r="B1152" s="1"/>
      <c r="C1152" s="3" t="str">
        <f>HYPERLINK("http://foursquare.com/v/4ad6cea1f964a520480821e3","Narita International Airport (NRT) (成田国際空港) ")</f>
        <v>Narita International Airport (NRT) (成田国際空港) </v>
      </c>
    </row>
    <row r="1153">
      <c r="A1153" s="1" t="s">
        <v>1140</v>
      </c>
      <c r="B1153" s="1"/>
      <c r="C1153" s="3" t="str">
        <f>HYPERLINK("http://foursquare.com/v/57dbb5b7498e779b7cf537d4","XFINITY Store by Comcast ")</f>
        <v>XFINITY Store by Comcast </v>
      </c>
    </row>
    <row r="1154">
      <c r="A1154" s="1" t="s">
        <v>1141</v>
      </c>
      <c r="B1154" s="1"/>
      <c r="C1154" s="3" t="str">
        <f>HYPERLINK("http://foursquare.com/v/4b7df10df964a52050db2fe3","Pasta &amp; Co ")</f>
        <v>Pasta &amp; Co </v>
      </c>
    </row>
    <row r="1155">
      <c r="A1155" s="1" t="s">
        <v>1142</v>
      </c>
      <c r="B1155" s="1"/>
      <c r="C1155" s="3" t="str">
        <f>HYPERLINK("http://foursquare.com/v/52869068498e3289da673edf","Starbucks ")</f>
        <v>Starbucks </v>
      </c>
    </row>
    <row r="1156">
      <c r="A1156" s="1" t="s">
        <v>1143</v>
      </c>
      <c r="B1156" s="1"/>
      <c r="C1156" s="3" t="str">
        <f>HYPERLINK("http://foursquare.com/v/4c05bb53191f20a1ee96e314","Zeeks Pizza ")</f>
        <v>Zeeks Pizza </v>
      </c>
    </row>
    <row r="1157">
      <c r="A1157" s="1" t="s">
        <v>1144</v>
      </c>
      <c r="B1157" s="1"/>
      <c r="C1157" s="3" t="str">
        <f>HYPERLINK("http://foursquare.com/v/488db78ff964a52055511fe3","Bellevue Downtown Park ")</f>
        <v>Bellevue Downtown Park </v>
      </c>
    </row>
    <row r="1158">
      <c r="A1158" s="1" t="s">
        <v>1145</v>
      </c>
      <c r="B1158" s="1"/>
      <c r="C1158" s="3" t="str">
        <f>HYPERLINK("http://foursquare.com/v/5cc4aca33731ee002c87976b","Bird Pepper Thai Kitchen ")</f>
        <v>Bird Pepper Thai Kitchen </v>
      </c>
    </row>
    <row r="1159">
      <c r="A1159" s="1" t="s">
        <v>1146</v>
      </c>
      <c r="B1159" s="1"/>
      <c r="C1159" s="3" t="str">
        <f>HYPERLINK("http://foursquare.com/v/4fb308ffe4b035d022e3515b","Safeway Pharmacy ")</f>
        <v>Safeway Pharmacy </v>
      </c>
    </row>
    <row r="1160">
      <c r="A1160" s="1" t="s">
        <v>1147</v>
      </c>
      <c r="B1160" s="1"/>
      <c r="C1160" s="3" t="str">
        <f>HYPERLINK("http://foursquare.com/v/50ac0ffb6ebbe077009826c5","QFC ")</f>
        <v>QFC </v>
      </c>
    </row>
    <row r="1161">
      <c r="A1161" s="1" t="s">
        <v>1148</v>
      </c>
      <c r="B1161" s="1"/>
      <c r="C1161" s="3" t="str">
        <f>HYPERLINK("http://foursquare.com/v/4a6e52d8f964a52081d41fe3","The Home Depot ")</f>
        <v>The Home Depot </v>
      </c>
    </row>
    <row r="1162">
      <c r="A1162" s="1" t="s">
        <v>1149</v>
      </c>
      <c r="B1162" s="1"/>
      <c r="C1162" s="3" t="str">
        <f>HYPERLINK("http://foursquare.com/v/5a0fd192a4ba7c5fbffd967d","Tesla ")</f>
        <v>Tesla </v>
      </c>
    </row>
    <row r="1163">
      <c r="A1163" s="1" t="s">
        <v>1150</v>
      </c>
      <c r="B1163" s="1"/>
      <c r="C1163" s="3" t="str">
        <f>HYPERLINK("http://foursquare.com/v/4b1ee864f964a520672124e3","Point on Yarrow Bay ")</f>
        <v>Point on Yarrow Bay </v>
      </c>
    </row>
    <row r="1164">
      <c r="A1164" s="1" t="s">
        <v>1151</v>
      </c>
      <c r="B1164" s="1"/>
      <c r="C1164" s="3" t="str">
        <f>HYPERLINK("http://foursquare.com/v/4bd4b0e6cfa7b7132aa724da","Wells Medina Nursery ")</f>
        <v>Wells Medina Nursery </v>
      </c>
    </row>
    <row r="1165">
      <c r="A1165" s="1" t="s">
        <v>1152</v>
      </c>
      <c r="B1165" s="1"/>
      <c r="C1165" s="3" t="str">
        <f>HYPERLINK("http://foursquare.com/v/5e164c09d150a8000874712c","Department Of Licensing - Redmond ")</f>
        <v>Department Of Licensing - Redmond </v>
      </c>
    </row>
    <row r="1166">
      <c r="A1166" s="1" t="s">
        <v>1153</v>
      </c>
      <c r="B1166" s="1"/>
      <c r="C1166" s="3" t="str">
        <f>HYPERLINK("http://foursquare.com/v/4b325f4ff964a520df0925e3","The UPS Store ")</f>
        <v>The UPS Store </v>
      </c>
    </row>
    <row r="1167">
      <c r="A1167" s="1" t="s">
        <v>1154</v>
      </c>
      <c r="B1167" s="1"/>
      <c r="C1167" s="3" t="str">
        <f>HYPERLINK("http://foursquare.com/v/54c44a16498e259a3c2d018f","H-Mart ")</f>
        <v>H-Mart </v>
      </c>
    </row>
    <row r="1168">
      <c r="A1168" s="1" t="s">
        <v>1155</v>
      </c>
      <c r="B1168" s="1"/>
      <c r="C1168" s="3" t="str">
        <f>HYPERLINK("http://foursquare.com/v/4b9c370ff964a520bd5536e3","Bellevue Highlands Park ")</f>
        <v>Bellevue Highlands Park </v>
      </c>
    </row>
    <row r="1169">
      <c r="A1169" s="1" t="s">
        <v>1156</v>
      </c>
      <c r="B1169" s="1"/>
      <c r="C1169" s="3" t="str">
        <f>HYPERLINK("http://foursquare.com/v/5ca4e75c625a66002ce523e7","Target Bellevue ")</f>
        <v>Target Bellevue </v>
      </c>
    </row>
    <row r="1170">
      <c r="A1170" s="1" t="s">
        <v>1157</v>
      </c>
      <c r="B1170" s="1"/>
      <c r="C1170" s="3" t="str">
        <f>HYPERLINK("http://foursquare.com/v/4bf846d64a67c928b31e25cf","Yarrow Point ")</f>
        <v>Yarrow Point </v>
      </c>
    </row>
    <row r="1171">
      <c r="A1171" s="1" t="s">
        <v>1158</v>
      </c>
      <c r="B1171" s="1"/>
      <c r="C1171" s="3" t="str">
        <f>HYPERLINK("http://foursquare.com/v/50ac0ffb6ebbe077009826c5","QFC ")</f>
        <v>QFC </v>
      </c>
    </row>
    <row r="1172">
      <c r="A1172" s="1" t="s">
        <v>1159</v>
      </c>
      <c r="B1172" s="1"/>
      <c r="C1172" s="3" t="str">
        <f>HYPERLINK("http://foursquare.com/v/4b9c370ff964a520bd5536e3","Bellevue Highlands Park ")</f>
        <v>Bellevue Highlands Park </v>
      </c>
    </row>
    <row r="1173">
      <c r="A1173" s="1" t="s">
        <v>1160</v>
      </c>
      <c r="B1173" s="1"/>
      <c r="C1173" s="3" t="str">
        <f>HYPERLINK("http://foursquare.com/v/43519800f964a520bd281fe3","IKEA ")</f>
        <v>IKEA </v>
      </c>
    </row>
    <row r="1174">
      <c r="A1174" s="1" t="s">
        <v>1161</v>
      </c>
      <c r="B1174" s="1"/>
      <c r="C1174" s="3" t="str">
        <f>HYPERLINK("http://foursquare.com/v/4beca7ef2cf820a12314b91c","Bellevue Farmers Market - Thursdays ")</f>
        <v>Bellevue Farmers Market - Thursdays </v>
      </c>
    </row>
    <row r="1175">
      <c r="A1175" s="1" t="s">
        <v>1162</v>
      </c>
      <c r="B1175" s="1"/>
      <c r="C1175" s="3" t="str">
        <f>HYPERLINK("http://foursquare.com/v/4d0c1c2d95c1a1cdf760fafe","Bellevue Skate Park ")</f>
        <v>Bellevue Skate Park </v>
      </c>
    </row>
    <row r="1176">
      <c r="A1176" s="1" t="s">
        <v>1163</v>
      </c>
      <c r="B1176" s="1"/>
      <c r="C1176" s="3" t="str">
        <f>HYPERLINK("http://foursquare.com/v/55c28ddd498e97e050c21cb9","Mod Pizza ")</f>
        <v>Mod Pizza </v>
      </c>
    </row>
    <row r="1177">
      <c r="A1177" s="1" t="s">
        <v>1164</v>
      </c>
      <c r="B1177" s="1"/>
      <c r="C1177" s="3" t="str">
        <f>HYPERLINK("http://foursquare.com/v/4c5a3ef6d3aee21e256f6a55","Hidden Valley Park ")</f>
        <v>Hidden Valley Park </v>
      </c>
    </row>
    <row r="1178">
      <c r="A1178" s="1" t="s">
        <v>1165</v>
      </c>
      <c r="B1178" s="1"/>
      <c r="C1178" s="3" t="str">
        <f>HYPERLINK("http://foursquare.com/v/4e864de02fb6973599935659","Ashton Bellevue ")</f>
        <v>Ashton Bellevue </v>
      </c>
    </row>
    <row r="1179">
      <c r="A1179" s="1" t="s">
        <v>1166</v>
      </c>
      <c r="B1179" s="1"/>
      <c r="C1179" s="3" t="str">
        <f>HYPERLINK("http://foursquare.com/v/56c660f2cd102a8ae06a0a1d","Georgia Zumdieck Park ")</f>
        <v>Georgia Zumdieck Park </v>
      </c>
    </row>
    <row r="1180">
      <c r="A1180" s="1" t="s">
        <v>1167</v>
      </c>
      <c r="B1180" s="1"/>
      <c r="C1180" s="3" t="str">
        <f>HYPERLINK("http://foursquare.com/v/4c5a3ef6d3aee21e256f6a55","Hidden Valley Park ")</f>
        <v>Hidden Valley Park </v>
      </c>
    </row>
    <row r="1181">
      <c r="A1181" s="1" t="s">
        <v>1168</v>
      </c>
      <c r="B1181" s="1"/>
      <c r="C1181" s="3" t="str">
        <f>HYPERLINK("http://foursquare.com/v/4bcb5fc3cc8cd13aef42bfcf","Meydenbauer Bay Park ")</f>
        <v>Meydenbauer Bay Park </v>
      </c>
    </row>
    <row r="1182">
      <c r="A1182" s="1" t="s">
        <v>1169</v>
      </c>
      <c r="B1182" s="1"/>
      <c r="C1182" s="3" t="str">
        <f>HYPERLINK("http://foursquare.com/v/4bfb0d8cbbb7c928c2a50743","Clyde Beach Park ")</f>
        <v>Clyde Beach Park </v>
      </c>
    </row>
    <row r="1183">
      <c r="A1183" s="1" t="s">
        <v>1170</v>
      </c>
      <c r="B1183" s="1"/>
      <c r="C1183" s="3" t="str">
        <f>HYPERLINK("http://foursquare.com/v/4d0c1c2d95c1a1cdf760fafe","Bellevue Skate Park ")</f>
        <v>Bellevue Skate Park </v>
      </c>
    </row>
    <row r="1184">
      <c r="A1184" s="1" t="s">
        <v>1171</v>
      </c>
      <c r="B1184" s="1"/>
      <c r="C1184" s="3" t="str">
        <f>HYPERLINK("http://foursquare.com/v/4a9ed0d8f964a5204a3b20e3","Edmonds Ferry Terminal ")</f>
        <v>Edmonds Ferry Terminal </v>
      </c>
    </row>
    <row r="1185">
      <c r="A1185" s="1" t="s">
        <v>1171</v>
      </c>
      <c r="B1185" s="1"/>
      <c r="C1185" s="3" t="str">
        <f>HYPERLINK("http://foursquare.com/v/4bded54be75c0f4742edc803","Edmonds-Kingston Ferry ")</f>
        <v>Edmonds-Kingston Ferry </v>
      </c>
    </row>
    <row r="1186">
      <c r="A1186" s="1" t="s">
        <v>1172</v>
      </c>
      <c r="B1186" s="1"/>
      <c r="C1186" s="3" t="str">
        <f>HYPERLINK("http://foursquare.com/v/51aa681c498e705deb0818fa","Kingston-Edmonds Ferry ")</f>
        <v>Kingston-Edmonds Ferry </v>
      </c>
    </row>
    <row r="1187">
      <c r="A1187" s="1" t="s">
        <v>1173</v>
      </c>
      <c r="B1187" s="1"/>
      <c r="C1187" s="3" t="str">
        <f>HYPERLINK("http://foursquare.com/v/546c1e54498e70143cb4850a","B&amp;B Family Lavender Farm ")</f>
        <v>B&amp;B Family Lavender Farm </v>
      </c>
    </row>
    <row r="1188">
      <c r="A1188" s="1" t="s">
        <v>1174</v>
      </c>
      <c r="B1188" s="1"/>
      <c r="C1188" s="3" t="str">
        <f>HYPERLINK("http://foursquare.com/v/4bf83d6ab182c9b60520775a","Hi-Way 101 Diner ")</f>
        <v>Hi-Way 101 Diner </v>
      </c>
    </row>
    <row r="1189">
      <c r="A1189" s="1" t="s">
        <v>1175</v>
      </c>
      <c r="B1189" s="1"/>
      <c r="C1189" s="3" t="str">
        <f>HYPERLINK("http://foursquare.com/v/50089af2e4b08aad427ee52d","Lost Mountain Lavender Farm ")</f>
        <v>Lost Mountain Lavender Farm </v>
      </c>
    </row>
    <row r="1190">
      <c r="A1190" s="1" t="s">
        <v>1176</v>
      </c>
      <c r="B1190" s="1"/>
      <c r="C1190" s="3" t="str">
        <f>HYPERLINK("http://foursquare.com/v/4b5b50ddf964a52000f428e3","Ediz Hook ")</f>
        <v>Ediz Hook </v>
      </c>
    </row>
    <row r="1191">
      <c r="A1191" s="1" t="s">
        <v>1177</v>
      </c>
      <c r="B1191" s="1"/>
      <c r="C1191" s="3" t="str">
        <f>HYPERLINK("http://foursquare.com/v/4cf989b0feec6dcbf1b73936","Hollywood Beach ")</f>
        <v>Hollywood Beach </v>
      </c>
    </row>
    <row r="1192">
      <c r="A1192" s="1" t="s">
        <v>1178</v>
      </c>
      <c r="B1192" s="1"/>
      <c r="C1192" s="3" t="str">
        <f>HYPERLINK("http://foursquare.com/v/5f9ccebb503ff3532600a45d","Pho New Saigon ")</f>
        <v>Pho New Saigon </v>
      </c>
    </row>
    <row r="1193">
      <c r="A1193" s="1" t="s">
        <v>1179</v>
      </c>
      <c r="B1193" s="1"/>
      <c r="C1193" s="3" t="str">
        <f>HYPERLINK("http://foursquare.com/v/597687e579f6c704d9c4a90f","Tesla Supercharger ")</f>
        <v>Tesla Supercharger </v>
      </c>
    </row>
    <row r="1194">
      <c r="A1194" s="1" t="s">
        <v>1180</v>
      </c>
      <c r="B1194" s="1"/>
      <c r="C1194" s="3" t="str">
        <f>HYPERLINK("http://foursquare.com/v/59ad79d4c824ae769249ea92","Scratch Kitchen 360 ")</f>
        <v>Scratch Kitchen 360 </v>
      </c>
    </row>
    <row r="1195">
      <c r="A1195" s="1" t="s">
        <v>1181</v>
      </c>
      <c r="B1195" s="1"/>
      <c r="C1195" s="3" t="str">
        <f>HYPERLINK("http://foursquare.com/v/43519800f964a520bd281fe3","IKEA ")</f>
        <v>IKEA </v>
      </c>
    </row>
    <row r="1196">
      <c r="A1196" s="1" t="s">
        <v>1182</v>
      </c>
      <c r="B1196" s="1"/>
      <c r="C1196" s="3" t="str">
        <f>HYPERLINK("http://foursquare.com/v/51c49ee0498e79713182dfa7","Cactus ")</f>
        <v>Cactus </v>
      </c>
    </row>
    <row r="1197">
      <c r="A1197" s="1" t="s">
        <v>1183</v>
      </c>
      <c r="B1197" s="1"/>
      <c r="C1197" s="3" t="str">
        <f>HYPERLINK("http://foursquare.com/v/4a837b31f964a52043fb1fe3","Fred Meyer ")</f>
        <v>Fred Meyer </v>
      </c>
    </row>
    <row r="1198">
      <c r="A1198" s="1" t="s">
        <v>1184</v>
      </c>
      <c r="B1198" s="1"/>
      <c r="C1198" s="3" t="str">
        <f>HYPERLINK("http://foursquare.com/v/4c09a47ebbc676b0f69f48d5","Chase Bank ")</f>
        <v>Chase Bank </v>
      </c>
    </row>
    <row r="1199">
      <c r="A1199" s="1" t="s">
        <v>1185</v>
      </c>
      <c r="B1199" s="1"/>
      <c r="C1199" s="3" t="str">
        <f>HYPERLINK("http://foursquare.com/v/4c05bb53191f20a1ee96e314","Zeeks Pizza ")</f>
        <v>Zeeks Pizza </v>
      </c>
    </row>
    <row r="1200">
      <c r="A1200" s="1" t="s">
        <v>1186</v>
      </c>
      <c r="B1200" s="1"/>
      <c r="C1200" s="3" t="str">
        <f>HYPERLINK("http://foursquare.com/v/4b1ee864f964a520672124e3","Point on Yarrow Bay ")</f>
        <v>Point on Yarrow Bay </v>
      </c>
    </row>
    <row r="1201">
      <c r="A1201" s="1" t="s">
        <v>1187</v>
      </c>
      <c r="B1201" s="1"/>
      <c r="C1201" s="3" t="str">
        <f>HYPERLINK("http://foursquare.com/v/4a99e5eff964a520053120e3","Camlann Medieval Village ")</f>
        <v>Camlann Medieval Village </v>
      </c>
    </row>
    <row r="1202">
      <c r="A1202" s="1" t="s">
        <v>1188</v>
      </c>
      <c r="B1202" s="1"/>
      <c r="C1202" s="3" t="str">
        <f>HYPERLINK("http://foursquare.com/v/5ee181e694aa89349acbf086","Di Fiora ")</f>
        <v>Di Fiora </v>
      </c>
    </row>
    <row r="1203">
      <c r="A1203" s="1" t="s">
        <v>1189</v>
      </c>
      <c r="B1203" s="1"/>
      <c r="C1203" s="3" t="str">
        <f>HYPERLINK("http://foursquare.com/v/4a010c08f964a520d1701fe3","KCLS Bellevue Library ")</f>
        <v>KCLS Bellevue Library </v>
      </c>
    </row>
    <row r="1204">
      <c r="A1204" s="1" t="s">
        <v>1190</v>
      </c>
      <c r="B1204" s="1"/>
      <c r="C1204" s="3" t="str">
        <f>HYPERLINK("http://foursquare.com/v/5c8ea7c4deb4950025602e3d","Willowmoor Park ")</f>
        <v>Willowmoor Park </v>
      </c>
    </row>
    <row r="1205">
      <c r="A1205" s="1" t="s">
        <v>1191</v>
      </c>
      <c r="B1205" s="1"/>
      <c r="C1205" s="3" t="str">
        <f>HYPERLINK("http://foursquare.com/v/5e826360247c5f000877ef64","Bangkok Crisps Thai Market ")</f>
        <v>Bangkok Crisps Thai Market </v>
      </c>
    </row>
    <row r="1206">
      <c r="A1206" s="1" t="s">
        <v>1192</v>
      </c>
      <c r="B1206" s="1"/>
      <c r="C1206" s="3" t="str">
        <f>HYPERLINK("http://foursquare.com/v/4d0c1c2d95c1a1cdf760fafe","Bellevue Skate Park ")</f>
        <v>Bellevue Skate Park </v>
      </c>
    </row>
    <row r="1207">
      <c r="A1207" s="1" t="s">
        <v>1193</v>
      </c>
      <c r="B1207" s="1"/>
      <c r="C1207" s="3" t="str">
        <f>HYPERLINK("http://foursquare.com/v/4b3fdca3f964a520bfb025e3","Kasala Outlet ")</f>
        <v>Kasala Outlet </v>
      </c>
    </row>
    <row r="1208">
      <c r="A1208" s="1" t="s">
        <v>1194</v>
      </c>
      <c r="B1208" s="1"/>
      <c r="C1208" s="3" t="str">
        <f>HYPERLINK("http://foursquare.com/v/44f9b193f964a5206c381fe3","Outdoor Research Retail Store ")</f>
        <v>Outdoor Research Retail Store </v>
      </c>
    </row>
    <row r="1209">
      <c r="A1209" s="1" t="s">
        <v>1195</v>
      </c>
      <c r="B1209" s="1"/>
      <c r="C1209" s="3" t="str">
        <f>HYPERLINK("http://foursquare.com/v/43eb42adf964a520332f1fe3","Seward Park ")</f>
        <v>Seward Park </v>
      </c>
    </row>
    <row r="1210">
      <c r="A1210" s="1" t="s">
        <v>1196</v>
      </c>
      <c r="B1210" s="1"/>
      <c r="C1210" s="3" t="str">
        <f>HYPERLINK("http://foursquare.com/v/57ae5eb8cd1052076719ffa2","STEP Academy ")</f>
        <v>STEP Academy </v>
      </c>
    </row>
    <row r="1211">
      <c r="A1211" s="1" t="s">
        <v>1197</v>
      </c>
      <c r="B1211" s="1"/>
      <c r="C1211" s="3" t="str">
        <f>HYPERLINK("http://foursquare.com/v/488db78ff964a52055511fe3","Bellevue Downtown Park ")</f>
        <v>Bellevue Downtown Park </v>
      </c>
    </row>
    <row r="1212">
      <c r="A1212" s="1" t="s">
        <v>1198</v>
      </c>
      <c r="B1212" s="1"/>
      <c r="C1212" s="3" t="str">
        <f>HYPERLINK("http://foursquare.com/v/4d0c1c2d95c1a1cdf760fafe","Bellevue Skate Park ")</f>
        <v>Bellevue Skate Park </v>
      </c>
    </row>
    <row r="1213">
      <c r="A1213" s="1" t="s">
        <v>1199</v>
      </c>
      <c r="B1213" s="1"/>
      <c r="C1213" s="3" t="str">
        <f>HYPERLINK("http://foursquare.com/v/4a9c9435f964a520983720e3","Houghton Beach Park ")</f>
        <v>Houghton Beach Park </v>
      </c>
    </row>
    <row r="1214">
      <c r="A1214" s="1" t="s">
        <v>1200</v>
      </c>
      <c r="B1214" s="1"/>
      <c r="C1214" s="3" t="str">
        <f>HYPERLINK("http://foursquare.com/v/4a010c08f964a520d1701fe3","KCLS Bellevue Library ")</f>
        <v>KCLS Bellevue Library </v>
      </c>
    </row>
    <row r="1215">
      <c r="A1215" s="1" t="s">
        <v>1201</v>
      </c>
      <c r="B1215" s="1"/>
      <c r="C1215" s="3" t="str">
        <f>HYPERLINK("http://foursquare.com/v/4b4f9bbdf964a520530d27e3","Bellevue Family Medicine ")</f>
        <v>Bellevue Family Medicine </v>
      </c>
    </row>
    <row r="1216">
      <c r="A1216" s="1" t="s">
        <v>1202</v>
      </c>
      <c r="B1216" s="1"/>
      <c r="C1216" s="3" t="str">
        <f>HYPERLINK("http://foursquare.com/v/4c4c66e8959220a1644ff710","Enatai Beach ")</f>
        <v>Enatai Beach </v>
      </c>
    </row>
    <row r="1217">
      <c r="A1217" s="1" t="s">
        <v>1203</v>
      </c>
      <c r="B1217" s="1"/>
      <c r="C1217" s="3" t="str">
        <f>HYPERLINK("http://foursquare.com/v/58533b29bf1a6d7227d674cd","US Post Office ")</f>
        <v>US Post Office </v>
      </c>
    </row>
    <row r="1218">
      <c r="A1218" s="1" t="s">
        <v>1204</v>
      </c>
      <c r="B1218" s="1"/>
      <c r="C1218" s="3" t="str">
        <f>HYPERLINK("http://foursquare.com/v/4a99fc5ff964a520563120e3","QFC ")</f>
        <v>QFC </v>
      </c>
    </row>
    <row r="1219">
      <c r="A1219" s="1" t="s">
        <v>1205</v>
      </c>
      <c r="B1219" s="1"/>
      <c r="C1219" s="3" t="str">
        <f>HYPERLINK("http://foursquare.com/v/4ac23711f964a520399820e3","Bellevue Botanical Garden ")</f>
        <v>Bellevue Botanical Garden </v>
      </c>
    </row>
    <row r="1220">
      <c r="A1220" s="1" t="s">
        <v>1206</v>
      </c>
      <c r="B1220" s="1"/>
      <c r="C1220" s="3" t="str">
        <f>HYPERLINK("http://foursquare.com/v/43f9b9aaf964a520d12f1fe3","Pacific Science Center ")</f>
        <v>Pacific Science Center </v>
      </c>
    </row>
    <row r="1221">
      <c r="A1221" s="1" t="s">
        <v>1207</v>
      </c>
      <c r="B1221" s="1"/>
      <c r="C1221" s="3" t="str">
        <f>HYPERLINK("http://foursquare.com/v/4a5be77df964a520f6bb1fe3","JOANN Fabrics and Crafts ")</f>
        <v>JOANN Fabrics and Crafts </v>
      </c>
    </row>
    <row r="1222">
      <c r="A1222" s="1" t="s">
        <v>1207</v>
      </c>
      <c r="B1222" s="1"/>
      <c r="C1222" s="3" t="str">
        <f>HYPERLINK("http://foursquare.com/v/4a18b0d3f964a520dc791fe3","Ballard Commons Park ")</f>
        <v>Ballard Commons Park </v>
      </c>
    </row>
    <row r="1223">
      <c r="A1223" s="1" t="s">
        <v>1208</v>
      </c>
      <c r="B1223" s="1"/>
      <c r="C1223" s="3" t="str">
        <f>HYPERLINK("http://foursquare.com/v/45f4185ef964a520f7431fe3","The Other Coast Cafe ")</f>
        <v>The Other Coast Cafe </v>
      </c>
    </row>
    <row r="1224">
      <c r="A1224" s="1" t="s">
        <v>1209</v>
      </c>
      <c r="B1224" s="1"/>
      <c r="C1224" s="3" t="str">
        <f>HYPERLINK("http://foursquare.com/v/4beca7ef2cf820a12314b91c","Bellevue Farmers Market - Thursdays ")</f>
        <v>Bellevue Farmers Market - Thursdays </v>
      </c>
    </row>
    <row r="1225">
      <c r="A1225" s="1" t="s">
        <v>1210</v>
      </c>
      <c r="B1225" s="1"/>
      <c r="C1225" s="3" t="str">
        <f>HYPERLINK("http://foursquare.com/v/4e162b09c65be9c55e830c3e","Chesterfield Beach Park ")</f>
        <v>Chesterfield Beach Park </v>
      </c>
    </row>
    <row r="1226">
      <c r="A1226" s="1" t="s">
        <v>1211</v>
      </c>
      <c r="B1226" s="1"/>
      <c r="C1226" s="3" t="str">
        <f>HYPERLINK("http://foursquare.com/v/4cdb004b4006a1433d84d5b2","Atammayatarama Buddhist Monastery ")</f>
        <v>Atammayatarama Buddhist Monastery </v>
      </c>
    </row>
    <row r="1227">
      <c r="A1227" s="1" t="s">
        <v>1212</v>
      </c>
      <c r="B1227" s="1"/>
      <c r="C1227" s="3" t="str">
        <f>HYPERLINK("http://foursquare.com/v/4d719380d976236a8111f978","Pho Vina ")</f>
        <v>Pho Vina </v>
      </c>
    </row>
    <row r="1228">
      <c r="A1228" s="1" t="s">
        <v>1213</v>
      </c>
      <c r="B1228" s="1"/>
      <c r="C1228" s="3" t="str">
        <f>HYPERLINK("http://foursquare.com/v/4edaa0a10039e227b7ab7c6c","The Source at Luther Burbank Park ")</f>
        <v>The Source at Luther Burbank Park </v>
      </c>
    </row>
    <row r="1229">
      <c r="A1229" s="1" t="s">
        <v>1214</v>
      </c>
      <c r="B1229" s="1"/>
      <c r="C1229" s="3" t="str">
        <f>HYPERLINK("http://foursquare.com/v/4ca51e62931bb60c553787e2","Enatai Park ")</f>
        <v>Enatai Park </v>
      </c>
    </row>
    <row r="1230">
      <c r="A1230" s="1" t="s">
        <v>1215</v>
      </c>
      <c r="B1230" s="1"/>
      <c r="C1230" s="3" t="str">
        <f>HYPERLINK("http://foursquare.com/v/4b25241cf964a520c76c24e3","Asian Food Center ")</f>
        <v>Asian Food Center </v>
      </c>
    </row>
    <row r="1231">
      <c r="A1231" s="1" t="s">
        <v>1216</v>
      </c>
      <c r="B1231" s="1"/>
      <c r="C1231" s="3" t="str">
        <f>HYPERLINK("http://foursquare.com/v/4dbddcaf43a1d8504bb0ea4b","Cascara Circle Park ")</f>
        <v>Cascara Circle Park </v>
      </c>
    </row>
    <row r="1232">
      <c r="A1232" s="1" t="s">
        <v>1217</v>
      </c>
      <c r="B1232" s="1"/>
      <c r="C1232" s="3" t="str">
        <f>HYPERLINK("http://foursquare.com/v/5259c674498e7f80d8ecbe5b","92nd Street Park ")</f>
        <v>92nd Street Park </v>
      </c>
    </row>
    <row r="1233">
      <c r="A1233" s="1" t="s">
        <v>1218</v>
      </c>
      <c r="B1233" s="1"/>
      <c r="C1233" s="3" t="str">
        <f>HYPERLINK("http://foursquare.com/v/4ac1a30df964a520959720e3","North Kirkland Community Center &amp; Park ")</f>
        <v>North Kirkland Community Center &amp; Park </v>
      </c>
    </row>
    <row r="1234">
      <c r="A1234" s="1" t="s">
        <v>1219</v>
      </c>
      <c r="B1234" s="1"/>
      <c r="C1234" s="3" t="str">
        <f>HYPERLINK("http://foursquare.com/v/490d85a7f964a52063521fe3","Luther Burbank Park ")</f>
        <v>Luther Burbank Park </v>
      </c>
    </row>
    <row r="1235">
      <c r="A1235" s="1" t="s">
        <v>1220</v>
      </c>
      <c r="B1235" s="1"/>
      <c r="C1235" s="3" t="str">
        <f>HYPERLINK("http://foursquare.com/v/5bbfe2ee968f31002ce96a57","Kaiser Permanente Parking Garage ")</f>
        <v>Kaiser Permanente Parking Garage </v>
      </c>
    </row>
    <row r="1236">
      <c r="A1236" s="1" t="s">
        <v>1221</v>
      </c>
      <c r="B1236" s="1"/>
      <c r="C1236" s="3" t="str">
        <f>HYPERLINK("http://foursquare.com/v/51743ee2e4b054415eada432","Blue Parking Lot - Washington State Fair ")</f>
        <v>Blue Parking Lot - Washington State Fair </v>
      </c>
    </row>
    <row r="1237">
      <c r="A1237" s="1" t="s">
        <v>1222</v>
      </c>
      <c r="B1237" s="1"/>
      <c r="C1237" s="3" t="str">
        <f>HYPERLINK("http://foursquare.com/v/52336ed211d26cb3298292c3","Livestock Barn M - Washington State Fair ")</f>
        <v>Livestock Barn M - Washington State Fair </v>
      </c>
    </row>
    <row r="1238">
      <c r="A1238" s="1" t="s">
        <v>1223</v>
      </c>
      <c r="B1238" s="1"/>
      <c r="C1238" s="3" t="str">
        <f>HYPERLINK("http://foursquare.com/v/4aa9ac64f964a520cd5420e3","Trader Joe's ")</f>
        <v>Trader Joe's </v>
      </c>
    </row>
    <row r="1239">
      <c r="A1239" s="1" t="s">
        <v>1224</v>
      </c>
      <c r="B1239" s="1"/>
      <c r="C1239" s="3" t="str">
        <f>HYPERLINK("http://foursquare.com/v/4a010c08f964a520d1701fe3","KCLS Bellevue Library ")</f>
        <v>KCLS Bellevue Library </v>
      </c>
    </row>
    <row r="1240">
      <c r="A1240" s="1" t="s">
        <v>1225</v>
      </c>
      <c r="B1240" s="1"/>
      <c r="C1240" s="3" t="str">
        <f>HYPERLINK("http://foursquare.com/v/4a41c902f964a5209aa51fe3","Uwajimaya ")</f>
        <v>Uwajimaya </v>
      </c>
    </row>
    <row r="1241">
      <c r="A1241" s="1" t="s">
        <v>1226</v>
      </c>
      <c r="B1241" s="1"/>
      <c r="C1241" s="3" t="str">
        <f>HYPERLINK("http://foursquare.com/v/4a91cc00f964a520d91b20e3","Lake Sammamish State Park ")</f>
        <v>Lake Sammamish State Park </v>
      </c>
    </row>
    <row r="1242">
      <c r="A1242" s="1" t="s">
        <v>1227</v>
      </c>
      <c r="B1242" s="1"/>
      <c r="C1242" s="3" t="str">
        <f t="shared" ref="C1242:C1243" si="15">HYPERLINK("http://foursquare.com/v/4a010c08f964a520d1701fe3","KCLS Bellevue Library ")</f>
        <v>KCLS Bellevue Library </v>
      </c>
    </row>
    <row r="1243">
      <c r="A1243" s="1" t="s">
        <v>1228</v>
      </c>
      <c r="B1243" s="1"/>
      <c r="C1243" s="3" t="str">
        <f t="shared" si="15"/>
        <v>KCLS Bellevue Library </v>
      </c>
    </row>
    <row r="1244">
      <c r="A1244" s="1" t="s">
        <v>1229</v>
      </c>
      <c r="B1244" s="1"/>
      <c r="C1244" s="3" t="str">
        <f>HYPERLINK("http://foursquare.com/v/59444b89da70806450e850b9","W Bellevue ")</f>
        <v>W Bellevue </v>
      </c>
    </row>
    <row r="1245">
      <c r="A1245" s="1" t="s">
        <v>1230</v>
      </c>
      <c r="B1245" s="1"/>
      <c r="C1245" s="3" t="str">
        <f>HYPERLINK("http://foursquare.com/v/50ac0ffb6ebbe077009826c5","QFC ")</f>
        <v>QFC </v>
      </c>
    </row>
    <row r="1246">
      <c r="A1246" s="1" t="s">
        <v>1231</v>
      </c>
      <c r="B1246" s="1"/>
      <c r="C1246" s="3" t="str">
        <f>HYPERLINK("http://foursquare.com/v/45f555cef964a5200e441fe3","Seattle-Tacoma International Airport (SEA) ")</f>
        <v>Seattle-Tacoma International Airport (SEA) </v>
      </c>
    </row>
    <row r="1247">
      <c r="A1247" s="1" t="s">
        <v>1232</v>
      </c>
      <c r="B1247" s="1"/>
      <c r="C1247" s="3" t="str">
        <f>HYPERLINK("http://foursquare.com/v/572e44a1498eb6298194d6b8","The Club at SEA ")</f>
        <v>The Club at SEA </v>
      </c>
    </row>
    <row r="1248">
      <c r="A1248" s="1" t="s">
        <v>1233</v>
      </c>
      <c r="B1248" s="1"/>
      <c r="C1248" s="3" t="str">
        <f>HYPERLINK("http://foursquare.com/v/4aa9dde9f964a520755520e3","Milwaukee Mitchell International Airport (MKE) ")</f>
        <v>Milwaukee Mitchell International Airport (MKE) </v>
      </c>
    </row>
    <row r="1249">
      <c r="A1249" s="1" t="s">
        <v>1234</v>
      </c>
      <c r="B1249" s="1"/>
      <c r="C1249" s="3" t="str">
        <f>HYPERLINK("http://foursquare.com/v/4c376f352c8020a176038900","Cedar Valley Cheese Store ")</f>
        <v>Cedar Valley Cheese Store </v>
      </c>
    </row>
    <row r="1250">
      <c r="A1250" s="1" t="s">
        <v>1235</v>
      </c>
      <c r="B1250" s="1"/>
      <c r="C1250" s="3" t="str">
        <f>HYPERLINK("http://foursquare.com/v/4adb6477f964a520e22621e3","Apple Bayshore ")</f>
        <v>Apple Bayshore </v>
      </c>
    </row>
    <row r="1251">
      <c r="A1251" s="1" t="s">
        <v>1236</v>
      </c>
      <c r="B1251" s="1"/>
      <c r="C1251" s="3" t="str">
        <f>HYPERLINK("http://foursquare.com/v/4e39dbaafa766e76ed3c7584","Bayshore Fountain ")</f>
        <v>Bayshore Fountain </v>
      </c>
    </row>
    <row r="1252">
      <c r="A1252" s="1" t="s">
        <v>1237</v>
      </c>
      <c r="B1252" s="1"/>
      <c r="C1252" s="3" t="str">
        <f>HYPERLINK("http://foursquare.com/v/519b7fa61d9f0811e958c8ae","Potbelly Sandwich Shop ")</f>
        <v>Potbelly Sandwich Shop </v>
      </c>
    </row>
    <row r="1253">
      <c r="A1253" s="1" t="s">
        <v>1238</v>
      </c>
      <c r="B1253" s="1"/>
      <c r="C1253" s="3" t="str">
        <f>HYPERLINK("http://foursquare.com/v/609b632430f78255e7872318","Mitchell Field ")</f>
        <v>Mitchell Field </v>
      </c>
    </row>
    <row r="1254">
      <c r="A1254" s="1" t="s">
        <v>1239</v>
      </c>
      <c r="B1254" s="1"/>
      <c r="C1254" s="3" t="str">
        <f>HYPERLINK("http://foursquare.com/v/4b8ea6fdf964a5209d2e33e3","Yakima Fruit Market ")</f>
        <v>Yakima Fruit Market </v>
      </c>
    </row>
    <row r="1255">
      <c r="A1255" s="1" t="s">
        <v>1240</v>
      </c>
      <c r="B1255" s="1"/>
      <c r="C1255" s="3" t="str">
        <f>HYPERLINK("http://foursquare.com/v/5bbfe2ee968f31002ce96a57","Kaiser Permanente Parking Garage ")</f>
        <v>Kaiser Permanente Parking Garage </v>
      </c>
    </row>
    <row r="1256">
      <c r="A1256" s="1" t="s">
        <v>1241</v>
      </c>
      <c r="B1256" s="1"/>
      <c r="C1256" s="3" t="str">
        <f>HYPERLINK("http://foursquare.com/v/4a010c08f964a520d1701fe3","KCLS Bellevue Library ")</f>
        <v>KCLS Bellevue Library </v>
      </c>
    </row>
    <row r="1257">
      <c r="A1257" s="1" t="s">
        <v>1242</v>
      </c>
      <c r="B1257" s="1"/>
      <c r="C1257" s="3" t="str">
        <f>HYPERLINK("http://foursquare.com/v/421a7600f964a5209a1f1fe3","Julia's in Wallingford ")</f>
        <v>Julia's in Wallingford </v>
      </c>
    </row>
    <row r="1258">
      <c r="A1258" s="1" t="s">
        <v>1243</v>
      </c>
      <c r="B1258" s="1"/>
      <c r="C1258" s="3" t="str">
        <f>HYPERLINK("http://foursquare.com/v/57dde06c498e779b8196ab42","Ezell's Famous Chicken ")</f>
        <v>Ezell's Famous Chicken </v>
      </c>
    </row>
    <row r="1259">
      <c r="A1259" s="1" t="s">
        <v>1244</v>
      </c>
      <c r="B1259" s="1"/>
      <c r="C1259" s="3" t="str">
        <f>HYPERLINK("http://foursquare.com/v/54275fb7498ea888468fe70b","Tavern Hall ")</f>
        <v>Tavern Hall </v>
      </c>
    </row>
    <row r="1260">
      <c r="A1260" s="1" t="s">
        <v>1245</v>
      </c>
      <c r="B1260" s="1"/>
      <c r="C1260" s="3" t="str">
        <f>HYPERLINK("http://foursquare.com/v/40b3de00f964a52041001fe3","The Goose Pub &amp; Eatery ")</f>
        <v>The Goose Pub &amp; Eatery </v>
      </c>
    </row>
    <row r="1261">
      <c r="A1261" s="1" t="s">
        <v>1246</v>
      </c>
      <c r="B1261" s="1"/>
      <c r="C1261" s="3" t="str">
        <f>HYPERLINK("http://foursquare.com/v/4fb12860e4b0f4503b2078b1","UW Medical Center Hospital Expansion ")</f>
        <v>UW Medical Center Hospital Expansion </v>
      </c>
    </row>
    <row r="1262">
      <c r="A1262" s="1" t="s">
        <v>1247</v>
      </c>
      <c r="B1262" s="1"/>
      <c r="C1262" s="3" t="str">
        <f>HYPERLINK("http://foursquare.com/v/4b99d38ff964a520869335e3","Rainier BBQ &amp; Restaurant ")</f>
        <v>Rainier BBQ &amp; Restaurant </v>
      </c>
    </row>
    <row r="1263">
      <c r="A1263" s="1" t="s">
        <v>1248</v>
      </c>
      <c r="B1263" s="1"/>
      <c r="C1263" s="3" t="str">
        <f>HYPERLINK("http://foursquare.com/v/43ea3fd4f964a520292f1fe3","Stevens Pass Ski Area ")</f>
        <v>Stevens Pass Ski Area </v>
      </c>
    </row>
    <row r="1264">
      <c r="A1264" s="1" t="s">
        <v>1249</v>
      </c>
      <c r="B1264" s="1"/>
      <c r="C1264" s="3" t="str">
        <f>HYPERLINK("http://foursquare.com/v/59adb26b8a6f173536335297","Yodelin Broth ")</f>
        <v>Yodelin Broth </v>
      </c>
    </row>
    <row r="1265">
      <c r="A1265" s="1" t="s">
        <v>1250</v>
      </c>
      <c r="B1265" s="1"/>
      <c r="C1265" s="3" t="str">
        <f>HYPERLINK("http://foursquare.com/v/5b8b4938835c9a0039e7f65f","Tesla Supercharger ")</f>
        <v>Tesla Supercharger </v>
      </c>
    </row>
    <row r="1266">
      <c r="A1266" s="1" t="s">
        <v>1251</v>
      </c>
      <c r="B1266" s="1"/>
      <c r="C1266" s="3" t="str">
        <f>HYPERLINK("http://foursquare.com/v/58335140dfa6ff47799bfdbf","Capital One Café ")</f>
        <v>Capital One Café </v>
      </c>
    </row>
    <row r="1267">
      <c r="A1267" s="1" t="s">
        <v>1252</v>
      </c>
      <c r="B1267" s="1"/>
      <c r="C1267" s="3" t="str">
        <f>HYPERLINK("http://foursquare.com/v/4f88a0bce4b0abaa01f029fe","Cedar River Trail Park ")</f>
        <v>Cedar River Trail Park </v>
      </c>
    </row>
    <row r="1268">
      <c r="A1268" s="1" t="s">
        <v>1253</v>
      </c>
      <c r="B1268" s="1"/>
      <c r="C1268" s="3" t="str">
        <f>HYPERLINK("http://foursquare.com/v/53067974498e6a7af0de49a1","Pho Ever ")</f>
        <v>Pho Ever </v>
      </c>
    </row>
    <row r="1269">
      <c r="A1269" s="1" t="s">
        <v>1254</v>
      </c>
      <c r="B1269" s="1"/>
      <c r="C1269" s="3" t="str">
        <f>HYPERLINK("http://foursquare.com/v/58014b2638fa472b0c386df7","Trader Joe's ")</f>
        <v>Trader Joe's </v>
      </c>
    </row>
    <row r="1270">
      <c r="A1270" s="1" t="s">
        <v>1255</v>
      </c>
      <c r="B1270" s="1"/>
      <c r="C1270" s="3" t="str">
        <f>HYPERLINK("http://foursquare.com/v/578b01f0498e37a834305f2f","IKEA Bistro ")</f>
        <v>IKEA Bistro </v>
      </c>
    </row>
    <row r="1271">
      <c r="A1271" s="1" t="s">
        <v>1256</v>
      </c>
      <c r="B1271" s="1"/>
      <c r="C1271" s="3" t="str">
        <f>HYPERLINK("http://foursquare.com/v/5cfd9fc53fcee8002ca86b11","Como ")</f>
        <v>Como </v>
      </c>
    </row>
    <row r="1272">
      <c r="A1272" s="1" t="s">
        <v>1257</v>
      </c>
      <c r="B1272" s="1"/>
      <c r="C1272" s="3" t="str">
        <f>HYPERLINK("http://foursquare.com/v/412fcb00f964a5202d0d1fe3","REI ")</f>
        <v>REI </v>
      </c>
    </row>
    <row r="1273">
      <c r="A1273" s="1" t="s">
        <v>1258</v>
      </c>
      <c r="B1273" s="1"/>
      <c r="C1273" s="3" t="str">
        <f>HYPERLINK("http://foursquare.com/v/55d10712498ed192538e8bef","Dairyland ")</f>
        <v>Dairyland </v>
      </c>
    </row>
    <row r="1274">
      <c r="A1274" s="1" t="s">
        <v>1259</v>
      </c>
      <c r="B1274" s="1"/>
      <c r="C1274" s="3" t="str">
        <f>HYPERLINK("http://foursquare.com/v/60ac5ce31f6be2578be63dad","Cedar + Elm ")</f>
        <v>Cedar + Elm </v>
      </c>
    </row>
    <row r="1275">
      <c r="A1275" s="1" t="s">
        <v>1260</v>
      </c>
      <c r="B1275" s="1"/>
      <c r="C1275" s="3" t="str">
        <f t="shared" ref="C1275:C1276" si="16">HYPERLINK("http://foursquare.com/v/4afda457f964a5206b2922e3","Crystal Mountain Ski Area ")</f>
        <v>Crystal Mountain Ski Area </v>
      </c>
    </row>
    <row r="1276">
      <c r="A1276" s="1" t="s">
        <v>1261</v>
      </c>
      <c r="B1276" s="1"/>
      <c r="C1276" s="3" t="str">
        <f t="shared" si="16"/>
        <v>Crystal Mountain Ski Area </v>
      </c>
    </row>
    <row r="1277">
      <c r="A1277" s="1" t="s">
        <v>1262</v>
      </c>
      <c r="B1277" s="1"/>
      <c r="C1277" s="3" t="str">
        <f>HYPERLINK("http://foursquare.com/v/5352ba87498e73b594ae2d38","Hokkaido Ramen Santouka ")</f>
        <v>Hokkaido Ramen Santouka </v>
      </c>
    </row>
    <row r="1278">
      <c r="A1278" s="1" t="s">
        <v>1263</v>
      </c>
      <c r="B1278" s="1"/>
      <c r="C1278" s="3" t="str">
        <f t="shared" ref="C1278:C1279" si="17">HYPERLINK("http://foursquare.com/v/4e04b1612271233b767e01d7","Z-Ultimate Self Defense Studios ")</f>
        <v>Z-Ultimate Self Defense Studios </v>
      </c>
    </row>
    <row r="1279">
      <c r="A1279" s="1" t="s">
        <v>1264</v>
      </c>
      <c r="B1279" s="1"/>
      <c r="C1279" s="3" t="str">
        <f t="shared" si="17"/>
        <v>Z-Ultimate Self Defense Studios </v>
      </c>
    </row>
    <row r="1280">
      <c r="A1280" s="1" t="s">
        <v>1265</v>
      </c>
      <c r="B1280" s="1"/>
      <c r="C1280" s="3" t="str">
        <f>HYPERLINK("http://foursquare.com/v/4cf6a38e2d032c0f1e0375d3","Summit Central ")</f>
        <v>Summit Central </v>
      </c>
    </row>
    <row r="1281">
      <c r="A1281" s="1" t="s">
        <v>1266</v>
      </c>
      <c r="B1281" s="1"/>
      <c r="C1281" s="3" t="str">
        <f>HYPERLINK("http://foursquare.com/v/4eed738102d514a36a151057","Central Fire Pit ")</f>
        <v>Central Fire Pit </v>
      </c>
    </row>
    <row r="1282">
      <c r="A1282" s="1" t="s">
        <v>1266</v>
      </c>
      <c r="B1282" s="1"/>
      <c r="C1282" s="3" t="str">
        <f>HYPERLINK("http://foursquare.com/v/4cf6a38e2d032c0f1e0375d3","Summit Central ")</f>
        <v>Summit Central </v>
      </c>
    </row>
    <row r="1283">
      <c r="A1283" s="1" t="s">
        <v>1267</v>
      </c>
      <c r="B1283" s="1"/>
      <c r="C1283" s="3" t="str">
        <f>HYPERLINK("http://foursquare.com/v/5401304f498e43e77e1af4f9","AutoZone ")</f>
        <v>AutoZone </v>
      </c>
    </row>
    <row r="1284">
      <c r="A1284" s="1" t="s">
        <v>1268</v>
      </c>
      <c r="B1284" s="1"/>
      <c r="C1284" s="3" t="str">
        <f>HYPERLINK("http://foursquare.com/v/60e0f56c26f0b0007381a663","National Nordic Museum Gift Shop ")</f>
        <v>National Nordic Museum Gift Shop </v>
      </c>
    </row>
    <row r="1285">
      <c r="A1285" s="1" t="s">
        <v>1269</v>
      </c>
      <c r="B1285" s="1"/>
      <c r="C1285" s="3" t="str">
        <f>HYPERLINK("http://foursquare.com/v/45f555cef964a5200e441fe3","Seattle-Tacoma International Airport (SEA) ")</f>
        <v>Seattle-Tacoma International Airport (SEA) </v>
      </c>
    </row>
    <row r="1286">
      <c r="A1286" s="1" t="s">
        <v>1270</v>
      </c>
      <c r="B1286" s="1"/>
      <c r="C1286" s="3" t="str">
        <f>HYPERLINK("http://foursquare.com/v/4493522af964a5207c341fe3","Oakland International Airport (OAK) ")</f>
        <v>Oakland International Airport (OAK) </v>
      </c>
    </row>
    <row r="1287">
      <c r="A1287" s="1" t="s">
        <v>1271</v>
      </c>
      <c r="B1287" s="1"/>
      <c r="C1287" s="3" t="str">
        <f>HYPERLINK("http://foursquare.com/v/4aed9bb3f964a520d5cd21e3","Palm Springs International Airport (PSP) ")</f>
        <v>Palm Springs International Airport (PSP) </v>
      </c>
    </row>
    <row r="1288">
      <c r="A1288" s="1" t="s">
        <v>1272</v>
      </c>
      <c r="B1288" s="1"/>
      <c r="C1288" s="3" t="str">
        <f>HYPERLINK("http://foursquare.com/v/501323ecc84c561e8ccf4caa","Smokin' Burgers &amp; Lounge ")</f>
        <v>Smokin' Burgers &amp; Lounge </v>
      </c>
    </row>
    <row r="1289">
      <c r="A1289" s="1" t="s">
        <v>1272</v>
      </c>
      <c r="B1289" s="1"/>
      <c r="C1289" s="3" t="str">
        <f>HYPERLINK("http://foursquare.com/v/4b110960f964a520a47723e3","Ralphs ")</f>
        <v>Ralphs </v>
      </c>
    </row>
    <row r="1290">
      <c r="A1290" s="1" t="s">
        <v>1273</v>
      </c>
      <c r="B1290" s="1"/>
      <c r="C1290" s="3" t="str">
        <f>HYPERLINK("http://foursquare.com/v/4cbccd164352a1cd4f35a0f5","Oasis Visitor Center, Joshua Tree National Park ")</f>
        <v>Oasis Visitor Center, Joshua Tree National Park </v>
      </c>
    </row>
    <row r="1291">
      <c r="A1291" s="1" t="s">
        <v>1274</v>
      </c>
      <c r="B1291" s="1"/>
      <c r="C1291" s="3" t="str">
        <f>HYPERLINK("http://foursquare.com/v/4cf6f5d655e137047a04d0b6","Joshua Tree Saloon ")</f>
        <v>Joshua Tree Saloon </v>
      </c>
    </row>
    <row r="1292">
      <c r="A1292" s="1" t="s">
        <v>1275</v>
      </c>
      <c r="B1292" s="1"/>
      <c r="C1292" s="3" t="str">
        <f>HYPERLINK("http://foursquare.com/v/4c60a0a513791b8dfe1f50af","Rib Co ")</f>
        <v>Rib Co </v>
      </c>
    </row>
    <row r="1293">
      <c r="A1293" s="1" t="s">
        <v>1276</v>
      </c>
      <c r="B1293" s="1"/>
      <c r="C1293" s="3" t="str">
        <f>HYPERLINK("http://foursquare.com/v/4c3caae54bc9a593affcd271","Palm Springs Auto Wash ")</f>
        <v>Palm Springs Auto Wash </v>
      </c>
    </row>
    <row r="1294">
      <c r="A1294" s="1" t="s">
        <v>1277</v>
      </c>
      <c r="B1294" s="1"/>
      <c r="C1294" s="3" t="str">
        <f>HYPERLINK("http://foursquare.com/v/4b77e196f964a52070ad2ee3","SHAG The Store ")</f>
        <v>SHAG The Store </v>
      </c>
    </row>
    <row r="1295">
      <c r="A1295" s="1" t="s">
        <v>1278</v>
      </c>
      <c r="B1295" s="1"/>
      <c r="C1295" s="3" t="str">
        <f t="shared" ref="C1295:C1296" si="18">HYPERLINK("http://foursquare.com/v/4e8d1c1ad5fbbbb6b2f4c063","Cafeteria 15L ")</f>
        <v>Cafeteria 15L </v>
      </c>
    </row>
    <row r="1296">
      <c r="A1296" s="1" t="s">
        <v>1279</v>
      </c>
      <c r="B1296" s="1"/>
      <c r="C1296" s="3" t="str">
        <f t="shared" si="18"/>
        <v>Cafeteria 15L </v>
      </c>
    </row>
    <row r="1297">
      <c r="A1297" s="1" t="s">
        <v>1280</v>
      </c>
      <c r="B1297" s="1"/>
      <c r="C1297" s="3" t="str">
        <f>HYPERLINK("http://foursquare.com/v/49f40719f964a520f76a1fe3","Sacramento International Airport (SMF) ")</f>
        <v>Sacramento International Airport (SMF) </v>
      </c>
    </row>
    <row r="1298">
      <c r="A1298" s="1" t="s">
        <v>1281</v>
      </c>
      <c r="B1298" s="1"/>
      <c r="C1298" s="3" t="str">
        <f>HYPERLINK("http://foursquare.com/v/45f555cef964a5200e441fe3","Seattle-Tacoma International Airport (SEA) ")</f>
        <v>Seattle-Tacoma International Airport (SEA) </v>
      </c>
    </row>
    <row r="1299">
      <c r="A1299" s="1" t="s">
        <v>1282</v>
      </c>
      <c r="B1299" s="1"/>
      <c r="C1299" s="3" t="str">
        <f>HYPERLINK("http://foursquare.com/v/4cf6a38e2d032c0f1e0375d3","Summit Central ")</f>
        <v>Summit Central </v>
      </c>
    </row>
    <row r="1300">
      <c r="A1300" s="1" t="s">
        <v>1283</v>
      </c>
      <c r="B1300" s="1"/>
      <c r="C1300" s="3" t="str">
        <f>HYPERLINK("http://foursquare.com/v/4ae3642cf964a520659421e3","Museum of History &amp; Industry (MOHAI) ")</f>
        <v>Museum of History &amp; Industry (MOHAI) </v>
      </c>
    </row>
    <row r="1301">
      <c r="A1301" s="1" t="s">
        <v>1284</v>
      </c>
      <c r="B1301" s="1"/>
      <c r="C1301" s="3" t="str">
        <f>HYPERLINK("http://foursquare.com/v/57773d27cd10013c3adc04c9","White Swan ")</f>
        <v>White Swan </v>
      </c>
    </row>
    <row r="1302">
      <c r="A1302" s="1" t="s">
        <v>1285</v>
      </c>
      <c r="B1302" s="1"/>
      <c r="C1302" s="3" t="str">
        <f>HYPERLINK("http://foursquare.com/v/5c688f6fc0f163002ca74994","Five Stones Coffee Co ")</f>
        <v>Five Stones Coffee Co </v>
      </c>
    </row>
    <row r="1303">
      <c r="A1303" s="1" t="s">
        <v>1286</v>
      </c>
      <c r="B1303" s="1"/>
      <c r="C1303" s="3" t="str">
        <f>HYPERLINK("http://foursquare.com/v/4a41c902f964a5209aa51fe3","Uwajimaya ")</f>
        <v>Uwajimaya </v>
      </c>
    </row>
    <row r="1304">
      <c r="A1304" s="1" t="s">
        <v>1287</v>
      </c>
      <c r="B1304" s="1"/>
      <c r="C1304" s="3" t="str">
        <f>HYPERLINK("http://foursquare.com/v/5bf229370802d4002c1d66f9","Tesla Supercharger ")</f>
        <v>Tesla Supercharger </v>
      </c>
    </row>
    <row r="1305">
      <c r="A1305" s="1" t="s">
        <v>1288</v>
      </c>
      <c r="B1305" s="1"/>
      <c r="C1305" s="3" t="str">
        <f>HYPERLINK("http://foursquare.com/v/4aa76f34f964a520d64c20e3","Cypress Mountain Ski Area ")</f>
        <v>Cypress Mountain Ski Area </v>
      </c>
    </row>
    <row r="1306">
      <c r="A1306" s="1" t="s">
        <v>1289</v>
      </c>
      <c r="B1306" s="1"/>
      <c r="C1306" s="3" t="str">
        <f>HYPERLINK("http://foursquare.com/v/4bb6570f6edc76b02ac8301c","Crazy Raven Bar &amp; Grill ")</f>
        <v>Crazy Raven Bar &amp; Grill </v>
      </c>
    </row>
    <row r="1307">
      <c r="A1307" s="1" t="s">
        <v>1290</v>
      </c>
      <c r="B1307" s="1"/>
      <c r="C1307" s="3" t="str">
        <f>HYPERLINK("http://foursquare.com/v/4bd88c2851170f47af9933e4","Quilchena Park ")</f>
        <v>Quilchena Park </v>
      </c>
    </row>
    <row r="1308">
      <c r="A1308" s="1" t="s">
        <v>1291</v>
      </c>
      <c r="B1308" s="1"/>
      <c r="C1308" s="3" t="str">
        <f>HYPERLINK("http://foursquare.com/v/4b33ffc7f964a520ac2325e3","Save-On-Foods ")</f>
        <v>Save-On-Foods </v>
      </c>
    </row>
    <row r="1309">
      <c r="A1309" s="1" t="s">
        <v>1292</v>
      </c>
      <c r="B1309" s="1"/>
      <c r="C1309" s="3" t="str">
        <f>HYPERLINK("http://foursquare.com/v/4aab139cf964a520d05820e3","Peace Arch Border Crossing ")</f>
        <v>Peace Arch Border Crossing </v>
      </c>
    </row>
    <row r="1310">
      <c r="A1310" s="1" t="s">
        <v>1293</v>
      </c>
      <c r="B1310" s="1"/>
      <c r="C1310" s="3" t="str">
        <f>HYPERLINK("http://foursquare.com/v/4cf6a38e2d032c0f1e0375d3","Summit Central ")</f>
        <v>Summit Central </v>
      </c>
    </row>
    <row r="1311">
      <c r="A1311" s="1" t="s">
        <v>1294</v>
      </c>
      <c r="B1311" s="1"/>
      <c r="C1311" s="3" t="str">
        <f>HYPERLINK("http://foursquare.com/v/4b46800cf964a520b32226e3","Discount Tire ")</f>
        <v>Discount Tire </v>
      </c>
    </row>
    <row r="1312">
      <c r="A1312" s="1" t="s">
        <v>1295</v>
      </c>
      <c r="B1312" s="1"/>
      <c r="C1312" s="3" t="str">
        <f>HYPERLINK("http://foursquare.com/v/4a6e52d8f964a52081d41fe3","The Home Depot ")</f>
        <v>The Home Depot </v>
      </c>
    </row>
    <row r="1313">
      <c r="A1313" s="1" t="s">
        <v>1296</v>
      </c>
      <c r="B1313" s="1"/>
      <c r="C1313" s="3" t="str">
        <f>HYPERLINK("http://foursquare.com/v/5de064654cfa7400080ff6b7","Tesla Supercharger ")</f>
        <v>Tesla Supercharger </v>
      </c>
    </row>
    <row r="1314">
      <c r="A1314" s="1" t="s">
        <v>1297</v>
      </c>
      <c r="B1314" s="1"/>
      <c r="C1314" s="3" t="str">
        <f>HYPERLINK("http://foursquare.com/v/4afda457f964a5206b2922e3","Crystal Mountain Ski Area ")</f>
        <v>Crystal Mountain Ski Area </v>
      </c>
    </row>
    <row r="1315">
      <c r="A1315" s="1" t="s">
        <v>1298</v>
      </c>
      <c r="B1315" s="1"/>
      <c r="C1315" s="3" t="str">
        <f>HYPERLINK("http://foursquare.com/v/4ff1e87ce4b08abf25382a72","Crystal Mountain Summit ")</f>
        <v>Crystal Mountain Summit </v>
      </c>
    </row>
    <row r="1316">
      <c r="A1316" s="1" t="s">
        <v>1299</v>
      </c>
      <c r="B1316" s="1"/>
      <c r="C1316" s="3" t="str">
        <f>HYPERLINK("http://foursquare.com/v/4f322c5519836c91c7bd5de4","Alpine Inn Restaurant ")</f>
        <v>Alpine Inn Restaurant </v>
      </c>
    </row>
    <row r="1317">
      <c r="A1317" s="1" t="s">
        <v>1300</v>
      </c>
      <c r="B1317" s="1"/>
      <c r="C1317" s="3" t="str">
        <f>HYPERLINK("http://foursquare.com/v/4d9e1e1e48b6224be9a5349f","CM Mt. Rainier Gondola ")</f>
        <v>CM Mt. Rainier Gondola </v>
      </c>
    </row>
    <row r="1318">
      <c r="A1318" s="1" t="s">
        <v>1301</v>
      </c>
      <c r="B1318" s="1"/>
      <c r="C1318" s="3" t="str">
        <f>HYPERLINK("http://foursquare.com/v/43519800f964a520bd281fe3","IKEA ")</f>
        <v>IKEA </v>
      </c>
    </row>
    <row r="1319">
      <c r="A1319" s="1" t="s">
        <v>1302</v>
      </c>
      <c r="B1319" s="1"/>
      <c r="C1319" s="3" t="str">
        <f>HYPERLINK("http://foursquare.com/v/4b5a5b90f964a520b9bf28e3","Mod Pizza ")</f>
        <v>Mod Pizza </v>
      </c>
    </row>
    <row r="1320">
      <c r="A1320" s="1" t="s">
        <v>1303</v>
      </c>
      <c r="B1320" s="1"/>
      <c r="C1320" s="3" t="str">
        <f>HYPERLINK("http://foursquare.com/v/4d979dde97d06ea8d7f6200b","Silver Fir ")</f>
        <v>Silver Fir </v>
      </c>
    </row>
    <row r="1321">
      <c r="A1321" s="1" t="s">
        <v>1304</v>
      </c>
      <c r="B1321" s="1"/>
      <c r="C1321" s="3" t="str">
        <f>HYPERLINK("http://foursquare.com/v/57d448c2498e0e681bc51152","Kelsey Creek Farm ")</f>
        <v>Kelsey Creek Farm </v>
      </c>
    </row>
    <row r="1322">
      <c r="A1322" s="1" t="s">
        <v>1305</v>
      </c>
      <c r="B1322" s="1"/>
      <c r="C1322" s="3" t="str">
        <f>HYPERLINK("http://foursquare.com/v/51733297498e0949c29e0838","Roozengaarde Tulip Farm ")</f>
        <v>Roozengaarde Tulip Farm </v>
      </c>
    </row>
    <row r="1323">
      <c r="A1323" s="1" t="s">
        <v>1306</v>
      </c>
      <c r="B1323" s="1"/>
      <c r="C1323" s="3" t="str">
        <f>HYPERLINK("http://foursquare.com/v/4b155088f964a520beb023e3","T-Mobile Park ")</f>
        <v>T-Mobile Park </v>
      </c>
    </row>
    <row r="1324">
      <c r="A1324" s="1" t="s">
        <v>1307</v>
      </c>
      <c r="B1324" s="1"/>
      <c r="C1324" s="3" t="str">
        <f>HYPERLINK("http://foursquare.com/v/4bca551368f976b00f415f83","Terrace Club ")</f>
        <v>Terrace Club </v>
      </c>
    </row>
    <row r="1325">
      <c r="A1325" s="1" t="s">
        <v>1308</v>
      </c>
      <c r="B1325" s="1"/>
      <c r="C1325" s="3" t="str">
        <f>HYPERLINK("http://foursquare.com/v/4bad2ed2f964a520aa363be3","Juel Community Park ")</f>
        <v>Juel Community Park </v>
      </c>
    </row>
    <row r="1326">
      <c r="A1326" s="1" t="s">
        <v>1309</v>
      </c>
      <c r="B1326" s="1"/>
      <c r="C1326" s="3" t="str">
        <f>HYPERLINK("http://foursquare.com/v/4b4f6ed3f964a520650627e3","Kaiser Permanente Hospital ")</f>
        <v>Kaiser Permanente Hospital </v>
      </c>
    </row>
    <row r="1327">
      <c r="A1327" s="1" t="s">
        <v>1310</v>
      </c>
      <c r="B1327" s="1"/>
      <c r="C1327" s="3" t="str">
        <f>HYPERLINK("http://foursquare.com/v/4bc63f38db8fa593cb069c37","Lake Hills Park ")</f>
        <v>Lake Hills Park </v>
      </c>
    </row>
    <row r="1328">
      <c r="A1328" s="1" t="s">
        <v>1311</v>
      </c>
      <c r="B1328" s="1"/>
      <c r="C1328" s="3" t="str">
        <f>HYPERLINK("http://foursquare.com/v/5a6caa177564f7473f085795","Tesla Supercharger ")</f>
        <v>Tesla Supercharger </v>
      </c>
    </row>
    <row r="1329">
      <c r="A1329" s="1" t="s">
        <v>1312</v>
      </c>
      <c r="B1329" s="1"/>
      <c r="C1329" s="3" t="str">
        <f>HYPERLINK("http://foursquare.com/v/4a9817ddf964a5206f2a20e3","Mercer Slough Environmental Education Center ")</f>
        <v>Mercer Slough Environmental Education Center </v>
      </c>
    </row>
    <row r="1330">
      <c r="A1330" s="1" t="s">
        <v>1313</v>
      </c>
      <c r="B1330" s="1"/>
      <c r="C1330" s="3" t="str">
        <f>HYPERLINK("http://foursquare.com/v/55d5077f498ee25b6a3ebf37","The Cloud Room ")</f>
        <v>The Cloud Room </v>
      </c>
    </row>
    <row r="1331">
      <c r="A1331" s="1" t="s">
        <v>1314</v>
      </c>
      <c r="B1331" s="1"/>
      <c r="C1331" s="3" t="str">
        <f>HYPERLINK("http://foursquare.com/v/4b76dec5f964a520c9652ee3","Robinswood Park ")</f>
        <v>Robinswood Park </v>
      </c>
    </row>
    <row r="1332">
      <c r="A1332" s="1" t="s">
        <v>1315</v>
      </c>
      <c r="B1332" s="1"/>
      <c r="C1332" s="3" t="str">
        <f>HYPERLINK("http://foursquare.com/v/4d4c907ae4fd6ea8c700c561","Phantom Lake ")</f>
        <v>Phantom Lake </v>
      </c>
    </row>
    <row r="1333">
      <c r="A1333" s="1" t="s">
        <v>1316</v>
      </c>
      <c r="B1333" s="1"/>
      <c r="C1333" s="3" t="str">
        <f>HYPERLINK("http://foursquare.com/v/5c9e5829e97dfb002c9e70d0","Vertex Arena ")</f>
        <v>Vertex Arena </v>
      </c>
    </row>
    <row r="1334">
      <c r="A1334" s="1" t="s">
        <v>1317</v>
      </c>
      <c r="B1334" s="1"/>
      <c r="C1334" s="3" t="str">
        <f>HYPERLINK("http://foursquare.com/v/4a90bfc5f964a520591920e3","Nibbana -  A Thai Cookery ")</f>
        <v>Nibbana -  A Thai Cookery </v>
      </c>
    </row>
    <row r="1335">
      <c r="A1335" s="1" t="s">
        <v>1318</v>
      </c>
      <c r="B1335" s="1"/>
      <c r="C1335" s="3" t="str">
        <f>HYPERLINK("http://foursquare.com/v/50992b08e4b071356dc73c1a","WallyPark Valet Parking Only ")</f>
        <v>WallyPark Valet Parking Only </v>
      </c>
    </row>
    <row r="1336">
      <c r="A1336" s="1" t="s">
        <v>1319</v>
      </c>
      <c r="B1336" s="1"/>
      <c r="C1336" s="3" t="str">
        <f>HYPERLINK("http://foursquare.com/v/45f555cef964a5200e441fe3","Seattle-Tacoma International Airport (SEA) ")</f>
        <v>Seattle-Tacoma International Airport (SEA) </v>
      </c>
    </row>
    <row r="1337">
      <c r="A1337" s="1" t="s">
        <v>1320</v>
      </c>
      <c r="B1337" s="1"/>
      <c r="C1337" s="3" t="str">
        <f>HYPERLINK("http://foursquare.com/v/4a5a77a4f964a52062ba1fe3","Chicago O'Hare International Airport (ORD) ")</f>
        <v>Chicago O'Hare International Airport (ORD) </v>
      </c>
    </row>
    <row r="1338">
      <c r="A1338" s="1" t="s">
        <v>1321</v>
      </c>
      <c r="B1338" s="1"/>
      <c r="C1338" s="3" t="str">
        <f>HYPERLINK("http://foursquare.com/v/4c6c23cad68a9c74587a666b","Asian International Market ")</f>
        <v>Asian International Market </v>
      </c>
    </row>
    <row r="1339">
      <c r="A1339" s="1" t="s">
        <v>1322</v>
      </c>
      <c r="B1339" s="1"/>
      <c r="C1339" s="3" t="str">
        <f>HYPERLINK("http://foursquare.com/v/4b570473f964a520012328e3","Thai Bar-B-Que ")</f>
        <v>Thai Bar-B-Que </v>
      </c>
    </row>
    <row r="1340">
      <c r="A1340" s="1" t="s">
        <v>1323</v>
      </c>
      <c r="B1340" s="1"/>
      <c r="C1340" s="3" t="str">
        <f>HYPERLINK("http://foursquare.com/v/4c1cf378eac020a1c54f47c2","ALDI ")</f>
        <v>ALDI </v>
      </c>
    </row>
    <row r="1341">
      <c r="A1341" s="1" t="s">
        <v>1324</v>
      </c>
      <c r="B1341" s="1"/>
      <c r="C1341" s="3" t="str">
        <f>HYPERLINK("http://foursquare.com/v/4c2fd915a0ced13a4952116e","KOHN&amp;apos;S CITGO ")</f>
        <v>KOHN&amp;apos;S CITGO </v>
      </c>
    </row>
    <row r="1342">
      <c r="A1342" s="1" t="s">
        <v>1325</v>
      </c>
      <c r="B1342" s="1"/>
      <c r="C1342" s="3" t="str">
        <f>HYPERLINK("http://foursquare.com/v/4c181de7838020a1cbc5e361","Big Joes ")</f>
        <v>Big Joes </v>
      </c>
    </row>
    <row r="1343">
      <c r="A1343" s="1" t="s">
        <v>1326</v>
      </c>
      <c r="B1343" s="1"/>
      <c r="C1343" s="3" t="str">
        <f>HYPERLINK("http://foursquare.com/v/4dce757822718eed7a37ddee","Froedtert St. Joseph's Hospital ")</f>
        <v>Froedtert St. Joseph's Hospital </v>
      </c>
    </row>
    <row r="1344">
      <c r="A1344" s="1" t="s">
        <v>1327</v>
      </c>
      <c r="B1344" s="1"/>
      <c r="C1344" s="3" t="str">
        <f>HYPERLINK("http://foursquare.com/v/4adf9776f964a520e87b21e3","Target ")</f>
        <v>Target </v>
      </c>
    </row>
    <row r="1345">
      <c r="A1345" s="1" t="s">
        <v>1328</v>
      </c>
      <c r="B1345" s="1"/>
      <c r="C1345" s="3" t="str">
        <f>HYPERLINK("http://foursquare.com/v/50d50734e4b019a9cfbf8a94","Vietnamese Noodles ")</f>
        <v>Vietnamese Noodles </v>
      </c>
    </row>
    <row r="1346">
      <c r="A1346" s="1" t="s">
        <v>1329</v>
      </c>
      <c r="B1346" s="1"/>
      <c r="C1346" s="3" t="str">
        <f>HYPERLINK("http://foursquare.com/v/4d7aae4715ae8eecd1f5390b","Menards ")</f>
        <v>Menards </v>
      </c>
    </row>
    <row r="1347">
      <c r="A1347" s="1" t="s">
        <v>1330</v>
      </c>
      <c r="B1347" s="1"/>
      <c r="C1347" s="3" t="str">
        <f>HYPERLINK("http://foursquare.com/v/4dce757822718eed7a37ddee","Froedtert St. Joseph's Hospital ")</f>
        <v>Froedtert St. Joseph's Hospital </v>
      </c>
    </row>
    <row r="1348">
      <c r="A1348" s="1" t="s">
        <v>1331</v>
      </c>
      <c r="B1348" s="1"/>
      <c r="C1348" s="3" t="str">
        <f>HYPERLINK("http://foursquare.com/v/51deeca5498ea7fe6ee38058","Mauthe Lake Beach ")</f>
        <v>Mauthe Lake Beach </v>
      </c>
    </row>
    <row r="1349">
      <c r="A1349" s="1" t="s">
        <v>1332</v>
      </c>
      <c r="B1349" s="1"/>
      <c r="C1349" s="3" t="str">
        <f>HYPERLINK("http://foursquare.com/v/4bd1fafc41b9ef3b850efde5","Pirate's Cove Adventure Golf ")</f>
        <v>Pirate's Cove Adventure Golf </v>
      </c>
    </row>
    <row r="1350">
      <c r="A1350" s="1" t="s">
        <v>1333</v>
      </c>
      <c r="B1350" s="1"/>
      <c r="C1350" s="3" t="str">
        <f>HYPERLINK("http://foursquare.com/v/51c227cf498e3891043a8825","MACS- Macaroni And Cheese Shop ")</f>
        <v>MACS- Macaroni And Cheese Shop </v>
      </c>
    </row>
    <row r="1351">
      <c r="A1351" s="1" t="s">
        <v>1334</v>
      </c>
      <c r="B1351" s="1"/>
      <c r="C1351" s="3" t="str">
        <f>HYPERLINK("http://foursquare.com/v/4e502950c65bb313ba911257","Krazy Mirror Maze ")</f>
        <v>Krazy Mirror Maze </v>
      </c>
    </row>
    <row r="1352">
      <c r="A1352" s="1" t="s">
        <v>1334</v>
      </c>
      <c r="B1352" s="1"/>
      <c r="C1352" s="3" t="str">
        <f>HYPERLINK("http://foursquare.com/v/5d4bc0abac2ecd0007d2bdbd","Noah's Ark Waterpark ")</f>
        <v>Noah's Ark Waterpark </v>
      </c>
    </row>
    <row r="1353">
      <c r="A1353" s="1" t="s">
        <v>1335</v>
      </c>
      <c r="B1353" s="1"/>
      <c r="C1353" s="3" t="str">
        <f>HYPERLINK("http://foursquare.com/v/4c2fdb037cc0c9b68286ec9a","River Hill Park ")</f>
        <v>River Hill Park </v>
      </c>
    </row>
    <row r="1354">
      <c r="A1354" s="1" t="s">
        <v>1336</v>
      </c>
      <c r="B1354" s="1"/>
      <c r="C1354" s="3" t="str">
        <f>HYPERLINK("http://foursquare.com/v/4ee223365c5cfd21337ed647","Campbellsport, WI ")</f>
        <v>Campbellsport, WI </v>
      </c>
    </row>
    <row r="1355">
      <c r="A1355" s="1" t="s">
        <v>1337</v>
      </c>
      <c r="B1355" s="1"/>
      <c r="C1355" s="3" t="str">
        <f>HYPERLINK("http://foursquare.com/v/4bd7434509ecb713677c467c","Coach USA Airport Express ")</f>
        <v>Coach USA Airport Express </v>
      </c>
    </row>
    <row r="1356">
      <c r="A1356" s="1" t="s">
        <v>1338</v>
      </c>
      <c r="B1356" s="1"/>
      <c r="C1356" s="3" t="str">
        <f>HYPERLINK("http://foursquare.com/v/4a5a77a4f964a52062ba1fe3","Chicago O'Hare International Airport (ORD) ")</f>
        <v>Chicago O'Hare International Airport (ORD) </v>
      </c>
    </row>
    <row r="1357">
      <c r="A1357" s="1" t="s">
        <v>1339</v>
      </c>
      <c r="B1357" s="1"/>
      <c r="C1357" s="3" t="str">
        <f>HYPERLINK("http://foursquare.com/v/45f555cef964a5200e441fe3","Seattle-Tacoma International Airport (SEA) ")</f>
        <v>Seattle-Tacoma International Airport (SEA) </v>
      </c>
    </row>
    <row r="1358">
      <c r="A1358" s="1" t="s">
        <v>1340</v>
      </c>
      <c r="B1358" s="1"/>
      <c r="C1358" s="3" t="str">
        <f>HYPERLINK("http://foursquare.com/v/4310fe80f964a52053271fe3","Alki Beach Park ")</f>
        <v>Alki Beach Park </v>
      </c>
    </row>
    <row r="1359">
      <c r="A1359" s="1" t="s">
        <v>1341</v>
      </c>
      <c r="B1359" s="1"/>
      <c r="C1359" s="3" t="str">
        <f>HYPERLINK("http://foursquare.com/v/4c05bb53191f20a1ee96e314","Zeeks Pizza ")</f>
        <v>Zeeks Pizza </v>
      </c>
    </row>
    <row r="1360">
      <c r="A1360" s="1" t="s">
        <v>1342</v>
      </c>
      <c r="B1360" s="1"/>
      <c r="C1360" s="3" t="str">
        <f>HYPERLINK("http://foursquare.com/v/4b0f05e0f964a5204a5e23e3","Wilburton Hill Park ")</f>
        <v>Wilburton Hill Park </v>
      </c>
    </row>
    <row r="1361">
      <c r="A1361" s="1" t="s">
        <v>1343</v>
      </c>
      <c r="B1361" s="1"/>
      <c r="C1361" s="3" t="str">
        <f>HYPERLINK("http://foursquare.com/v/5a6caa177564f7473f085795","Tesla Supercharger ")</f>
        <v>Tesla Supercharger </v>
      </c>
    </row>
    <row r="1362">
      <c r="A1362" s="1" t="s">
        <v>1344</v>
      </c>
      <c r="B1362" s="1"/>
      <c r="C1362" s="3" t="str">
        <f>HYPERLINK("http://foursquare.com/v/4b0de6a6f964a520565223e3","Mukilteo Ferry Terminal ")</f>
        <v>Mukilteo Ferry Terminal </v>
      </c>
    </row>
    <row r="1363">
      <c r="A1363" s="1" t="s">
        <v>1345</v>
      </c>
      <c r="B1363" s="1"/>
      <c r="C1363" s="3" t="str">
        <f>HYPERLINK("http://foursquare.com/v/4bc369354cdfc9b62c4f9721","Fort Ebey State Park ")</f>
        <v>Fort Ebey State Park </v>
      </c>
    </row>
    <row r="1364">
      <c r="A1364" s="1" t="s">
        <v>1346</v>
      </c>
      <c r="B1364" s="1"/>
      <c r="C1364" s="3" t="str">
        <f>HYPERLINK("http://foursquare.com/v/504a2217e4b0c65efb683a9b","Mukilteo/Clinton Ferry Boat ")</f>
        <v>Mukilteo/Clinton Ferry Boat </v>
      </c>
    </row>
    <row r="1365">
      <c r="A1365" s="1" t="s">
        <v>1347</v>
      </c>
      <c r="B1365" s="1"/>
      <c r="C1365" s="3" t="str">
        <f>HYPERLINK("http://foursquare.com/v/5a6caa177564f7473f085795","Tesla Supercharger ")</f>
        <v>Tesla Supercharger </v>
      </c>
    </row>
    <row r="1366">
      <c r="A1366" s="1" t="s">
        <v>1348</v>
      </c>
      <c r="B1366" s="1"/>
      <c r="C1366" s="3" t="str">
        <f>HYPERLINK("http://foursquare.com/v/52869068498e3289da673edf","Starbucks ")</f>
        <v>Starbucks </v>
      </c>
    </row>
    <row r="1367">
      <c r="A1367" s="1" t="s">
        <v>1349</v>
      </c>
      <c r="B1367" s="1"/>
      <c r="C1367" s="3" t="str">
        <f>HYPERLINK("http://foursquare.com/v/4a010c08f964a520d1701fe3","KCLS Bellevue Library ")</f>
        <v>KCLS Bellevue Library </v>
      </c>
    </row>
    <row r="1368">
      <c r="A1368" s="1" t="s">
        <v>1350</v>
      </c>
      <c r="B1368" s="1"/>
      <c r="C1368" s="3" t="str">
        <f>HYPERLINK("http://foursquare.com/v/49ed7b0af964a520ec671fe3","Kelsey Creek Park ")</f>
        <v>Kelsey Creek Park </v>
      </c>
    </row>
    <row r="1369">
      <c r="A1369" s="1" t="s">
        <v>1351</v>
      </c>
      <c r="B1369" s="1"/>
      <c r="C1369" s="3" t="str">
        <f>HYPERLINK("http://foursquare.com/v/45f555cef964a5200e441fe3","Seattle-Tacoma International Airport (SEA) ")</f>
        <v>Seattle-Tacoma International Airport (SEA) </v>
      </c>
    </row>
    <row r="1370">
      <c r="A1370" s="1" t="s">
        <v>1352</v>
      </c>
      <c r="B1370" s="1"/>
      <c r="C1370" s="3" t="str">
        <f>HYPERLINK("http://foursquare.com/v/4b0bd124f964a520e03323e3","Singapore Changi Airport (SIN) ")</f>
        <v>Singapore Changi Airport (SIN) </v>
      </c>
    </row>
    <row r="1371">
      <c r="A1371" s="1" t="s">
        <v>1353</v>
      </c>
      <c r="B1371" s="1"/>
      <c r="C1371" s="3" t="str">
        <f>HYPERLINK("http://foursquare.com/v/52a3fd7d11d2f586ee26daa9","Capri by Fraser Hotel Residences ")</f>
        <v>Capri by Fraser Hotel Residences </v>
      </c>
    </row>
    <row r="1372">
      <c r="A1372" s="1" t="s">
        <v>1354</v>
      </c>
      <c r="B1372" s="1"/>
      <c r="C1372" s="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373">
      <c r="A1373" s="1" t="s">
        <v>1355</v>
      </c>
      <c r="B1373" s="1"/>
      <c r="C1373" s="3" t="str">
        <f>HYPERLINK("http://foursquare.com/v/5f3aa167933f477de07aa205","Shell ")</f>
        <v>Shell </v>
      </c>
    </row>
    <row r="1374">
      <c r="A1374" s="1" t="s">
        <v>1356</v>
      </c>
      <c r="B1374" s="1"/>
      <c r="C1374" s="3" t="str">
        <f>HYPERLINK("http://foursquare.com/v/4d770524586ef04d3507e2f0","Vimarn Samed Resort Koh-Samed ")</f>
        <v>Vimarn Samed Resort Koh-Samed </v>
      </c>
    </row>
    <row r="1375">
      <c r="A1375" s="1" t="s">
        <v>1357</v>
      </c>
      <c r="B1375" s="1"/>
      <c r="C1375" s="3" t="str">
        <f>HYPERLINK("http://foursquare.com/v/4bdf17c57ea362b5b75243c4","Samed Cabana Resort Koh Samet ")</f>
        <v>Samed Cabana Resort Koh Samet </v>
      </c>
    </row>
    <row r="1376">
      <c r="A1376" s="1" t="s">
        <v>1358</v>
      </c>
      <c r="B1376" s="1"/>
      <c r="C1376" s="3" t="str">
        <f>HYPERLINK("http://foursquare.com/v/4d08427900e6b1f7b7c50cd7","Vong Deuan Beach (อ่าววงเดือน) ")</f>
        <v>Vong Deuan Beach (อ่าววงเดือน) </v>
      </c>
    </row>
    <row r="1377">
      <c r="A1377" s="1" t="s">
        <v>1359</v>
      </c>
      <c r="B1377" s="1"/>
      <c r="C1377" s="3" t="str">
        <f>HYPERLINK("http://foursquare.com/v/4f1186f4e4b0d59e200dadb5","Green Place Restaurant ")</f>
        <v>Green Place Restaurant </v>
      </c>
    </row>
    <row r="1378">
      <c r="A1378" s="1" t="s">
        <v>1360</v>
      </c>
      <c r="B1378" s="1"/>
      <c r="C1378" s="3" t="str">
        <f>HYPERLINK("http://foursquare.com/v/4d567844a747b60cf9a5282b","Ploytalay Restaurant (พลอยทะเล) ")</f>
        <v>Ploytalay Restaurant (พลอยทะเล) </v>
      </c>
    </row>
    <row r="1379">
      <c r="A1379" s="1" t="s">
        <v>1361</v>
      </c>
      <c r="B1379" s="1"/>
      <c r="C1379" s="3" t="str">
        <f>HYPERLINK("http://foursquare.com/v/4d71e9e6bce5721e7753c615","Sawasdee CoCo (สวัสดี โคโค่) ")</f>
        <v>Sawasdee CoCo (สวัสดี โคโค่) </v>
      </c>
    </row>
    <row r="1380">
      <c r="A1380" s="1" t="s">
        <v>1362</v>
      </c>
      <c r="B1380" s="1"/>
      <c r="C1380" s="3" t="str">
        <f>HYPERLINK("http://foursquare.com/v/4ed8bbbe9a5286d91d4125d1","Summer Day Resort ")</f>
        <v>Summer Day Resort </v>
      </c>
    </row>
    <row r="1381">
      <c r="A1381" s="1" t="s">
        <v>1363</v>
      </c>
      <c r="B1381" s="1"/>
      <c r="C1381" s="3" t="str">
        <f>HYPERLINK("http://foursquare.com/v/4b9345d7f964a520193e34e3","Koh Samet Pier (ท่าเรือเกาะเสม็ด) ")</f>
        <v>Koh Samet Pier (ท่าเรือเกาะเสม็ด) </v>
      </c>
    </row>
    <row r="1382">
      <c r="A1382" s="1" t="s">
        <v>1364</v>
      </c>
      <c r="B1382" s="1"/>
      <c r="C1382" s="3" t="str">
        <f>HYPERLINK("http://foursquare.com/v/4ea6d8c78b814c68ad105ad3","ลาบอุบล ป้าแดง 5 ")</f>
        <v>ลาบอุบล ป้าแดง 5 </v>
      </c>
    </row>
    <row r="1383">
      <c r="A1383" s="1" t="s">
        <v>1365</v>
      </c>
      <c r="B1383" s="1"/>
      <c r="C1383" s="3" t="str">
        <f>HYPERLINK("http://foursquare.com/v/5842a1f4158bbb64675a7945","Starbucks (สตาร์บัคส์) ")</f>
        <v>Starbucks (สตาร์บัคส์) </v>
      </c>
    </row>
    <row r="1384">
      <c r="A1384" s="1" t="s">
        <v>1366</v>
      </c>
      <c r="B1384" s="1"/>
      <c r="C1384" s="3" t="str">
        <f>HYPERLINK("http://foursquare.com/v/5a363d5cbd897e22bedd9901","Scruffy Murphy's ")</f>
        <v>Scruffy Murphy's </v>
      </c>
    </row>
    <row r="1385">
      <c r="A1385" s="1" t="s">
        <v>1367</v>
      </c>
      <c r="B1385" s="1"/>
      <c r="C1385" s="3" t="str">
        <f>HYPERLINK("http://foursquare.com/v/4c556aa3f5f3d13a28d1bafb","7-Eleven (เซเว่น อีเลฟเว่น) ")</f>
        <v>7-Eleven (เซเว่น อีเลฟเว่น) </v>
      </c>
    </row>
    <row r="1386">
      <c r="A1386" s="1" t="s">
        <v>1368</v>
      </c>
      <c r="B1386" s="1"/>
      <c r="C1386" s="3" t="str">
        <f>HYPERLINK("http://foursquare.com/v/4b9c5461f964a520056036e3","Wat Sangkhathan (วัดสังฆทาน) ")</f>
        <v>Wat Sangkhathan (วัดสังฆทาน) </v>
      </c>
    </row>
    <row r="1387">
      <c r="A1387" s="1" t="s">
        <v>1369</v>
      </c>
      <c r="B1387" s="1"/>
      <c r="C1387" s="3" t="str">
        <f>HYPERLINK("http://foursquare.com/v/4da3d423bf22a143daf4d0f8","Wat Tanod (วัดโตนด) ")</f>
        <v>Wat Tanod (วัดโตนด) </v>
      </c>
    </row>
    <row r="1388">
      <c r="A1388" s="1" t="s">
        <v>1370</v>
      </c>
      <c r="B1388" s="1"/>
      <c r="C1388" s="3" t="str">
        <f>HYPERLINK("http://foursquare.com/v/4e36bef718a82fdd6583d08b","มัสยิดท่าอิฐ ")</f>
        <v>มัสยิดท่าอิฐ </v>
      </c>
    </row>
    <row r="1389">
      <c r="A1389" s="1" t="s">
        <v>1371</v>
      </c>
      <c r="B1389" s="1"/>
      <c r="C1389" s="3" t="str">
        <f>HYPERLINK("http://foursquare.com/v/52b6b2f9498e8a763d41dcf2","Chit Beer (ชิตเบียร์) ")</f>
        <v>Chit Beer (ชิตเบียร์) </v>
      </c>
    </row>
    <row r="1390">
      <c r="A1390" s="1" t="s">
        <v>1372</v>
      </c>
      <c r="B1390" s="1"/>
      <c r="C1390" s="3" t="str">
        <f>HYPERLINK("http://foursquare.com/v/5087d1d3e4b064587677a6c6","Baan Ice (บ้านไอซ์) ")</f>
        <v>Baan Ice (บ้านไอซ์) </v>
      </c>
    </row>
    <row r="1391">
      <c r="A1391" s="1" t="s">
        <v>1373</v>
      </c>
      <c r="B1391" s="1"/>
      <c r="C1391" s="3" t="str">
        <f>HYPERLINK("http://foursquare.com/v/4ed61242e5faf148a73e524e","PTT (ปตท.) ")</f>
        <v>PTT (ปตท.) </v>
      </c>
    </row>
    <row r="1392">
      <c r="A1392" s="1" t="s">
        <v>1374</v>
      </c>
      <c r="B1392" s="1"/>
      <c r="C1392" s="3" t="str">
        <f>HYPERLINK("http://foursquare.com/v/5ca73b23492822002dadc972","PT ")</f>
        <v>PT </v>
      </c>
    </row>
    <row r="1393">
      <c r="A1393" s="1" t="s">
        <v>1375</v>
      </c>
      <c r="B1393" s="1"/>
      <c r="C1393" s="3" t="str">
        <f>HYPERLINK("http://foursquare.com/v/62c7c94483888c07fed09da6","Goodbeans.Cafe ")</f>
        <v>Goodbeans.Cafe </v>
      </c>
    </row>
    <row r="1394">
      <c r="A1394" s="1" t="s">
        <v>1376</v>
      </c>
      <c r="B1394" s="1"/>
      <c r="C1394" s="3" t="str">
        <f>HYPERLINK("http://foursquare.com/v/618ba7ea9b1f9713995f045d","Kaen (แก่น) ")</f>
        <v>Kaen (แก่น) </v>
      </c>
    </row>
    <row r="1395">
      <c r="A1395" s="1" t="s">
        <v>1377</v>
      </c>
      <c r="B1395" s="1"/>
      <c r="C1395" s="3" t="str">
        <f>HYPERLINK("http://foursquare.com/v/4bc0366d920eb713b1b1182c","Glacier Hotel (โรงแรมกลาเซียร์) ")</f>
        <v>Glacier Hotel (โรงแรมกลาเซียร์) </v>
      </c>
    </row>
    <row r="1396">
      <c r="A1396" s="1" t="s">
        <v>1378</v>
      </c>
      <c r="B1396" s="1"/>
      <c r="C1396" s="3" t="str">
        <f>HYPERLINK("http://foursquare.com/v/4d69efbede28224b720f4abe","PTT Jiffy (ปตท.) ")</f>
        <v>PTT Jiffy (ปตท.) </v>
      </c>
    </row>
    <row r="1397">
      <c r="A1397" s="1" t="s">
        <v>1379</v>
      </c>
      <c r="B1397" s="1"/>
      <c r="C1397" s="3" t="str">
        <f>HYPERLINK("http://foursquare.com/v/4cf909da3875b1f7001f973c","Rain Forest Resort ")</f>
        <v>Rain Forest Resort </v>
      </c>
    </row>
    <row r="1398">
      <c r="A1398" s="1" t="s">
        <v>1380</v>
      </c>
      <c r="B1398" s="1"/>
      <c r="C1398" s="3" t="str">
        <f>HYPERLINK("http://foursquare.com/v/5e057f2584645f00081ecbf1","Esso ")</f>
        <v>Esso </v>
      </c>
    </row>
    <row r="1399">
      <c r="A1399" s="1" t="s">
        <v>1381</v>
      </c>
      <c r="B1399" s="1"/>
      <c r="C1399" s="3" t="str">
        <f>HYPERLINK("http://foursquare.com/v/4e812c63b6347681cf28da50","Omelette Bakery Cafe ")</f>
        <v>Omelette Bakery Cafe </v>
      </c>
    </row>
    <row r="1400">
      <c r="A1400" s="1" t="s">
        <v>1382</v>
      </c>
      <c r="B1400" s="1"/>
      <c r="C1400" s="3" t="str">
        <f>HYPERLINK("http://foursquare.com/v/56ecfcd2498ebcce49b381fc","Let It Be ")</f>
        <v>Let It Be </v>
      </c>
    </row>
    <row r="1401">
      <c r="A1401" s="1" t="s">
        <v>1383</v>
      </c>
      <c r="B1401" s="1"/>
      <c r="C1401" s="3" t="str">
        <f>HYPERLINK("http://foursquare.com/v/5584d557498e385926fb8c37","Teak Table (ทีค เทเบิล) ")</f>
        <v>Teak Table (ทีค เทเบิล) </v>
      </c>
    </row>
    <row r="1402">
      <c r="A1402" s="1" t="s">
        <v>1384</v>
      </c>
      <c r="B1402" s="1"/>
      <c r="C1402" s="3" t="str">
        <f>HYPERLINK("http://foursquare.com/v/4b7cddc8f964a520d0a72fe3","Duangtawan Hotel (โรงแรมเซ็นทาราดวงตะวัน) ")</f>
        <v>Duangtawan Hotel (โรงแรมเซ็นทาราดวงตะวัน) </v>
      </c>
    </row>
    <row r="1403">
      <c r="A1403" s="1" t="s">
        <v>1385</v>
      </c>
      <c r="B1403" s="1"/>
      <c r="C1403" s="3" t="str">
        <f>HYPERLINK("http://foursquare.com/v/5285715811d2a3e51493a025","Central Department Store (ห้างสรรพสินค้าเซ็นทรัล) ")</f>
        <v>Central Department Store (ห้างสรรพสินค้าเซ็นทรัล) </v>
      </c>
    </row>
    <row r="1404">
      <c r="A1404" s="1" t="s">
        <v>1386</v>
      </c>
      <c r="B1404" s="1"/>
      <c r="C1404" s="3" t="str">
        <f>HYPERLINK("http://foursquare.com/v/5c9887486fd6260039bb0431","Mi ")</f>
        <v>Mi </v>
      </c>
    </row>
    <row r="1405">
      <c r="A1405" s="1" t="s">
        <v>1387</v>
      </c>
      <c r="B1405" s="1"/>
      <c r="C1405" s="3" t="str">
        <f>HYPERLINK("http://foursquare.com/v/5284ceac11d213f83837150b","Wine Connection (ไวน์คอนเนคชั่น) ")</f>
        <v>Wine Connection (ไวน์คอนเนคชั่น) </v>
      </c>
    </row>
    <row r="1406">
      <c r="A1406" s="1" t="s">
        <v>1388</v>
      </c>
      <c r="B1406" s="1"/>
      <c r="C1406" s="3" t="str">
        <f>HYPERLINK("http://foursquare.com/v/4e812c63b6347681cf28da50","Omelette Bakery Cafe ")</f>
        <v>Omelette Bakery Cafe </v>
      </c>
    </row>
    <row r="1407">
      <c r="A1407" s="1" t="s">
        <v>1389</v>
      </c>
      <c r="B1407" s="1"/>
      <c r="C1407" s="3" t="str">
        <f>HYPERLINK("http://foursquare.com/v/5ee2fc525b9a110e34b2ce43","Rim Nara Cafe &amp; Bistro ")</f>
        <v>Rim Nara Cafe &amp; Bistro </v>
      </c>
    </row>
    <row r="1408">
      <c r="A1408" s="1" t="s">
        <v>1390</v>
      </c>
      <c r="B1408" s="1"/>
      <c r="C1408" s="3" t="str">
        <f>HYPERLINK("http://foursquare.com/v/4e812c63b6347681cf28da50","Omelette Bakery Cafe ")</f>
        <v>Omelette Bakery Cafe </v>
      </c>
    </row>
    <row r="1409">
      <c r="A1409" s="1" t="s">
        <v>1391</v>
      </c>
      <c r="B1409" s="1"/>
      <c r="C1409" s="3" t="str">
        <f>HYPERLINK("http://foursquare.com/v/5cf11ccc1af852002c19d692","Grooveyard ")</f>
        <v>Grooveyard </v>
      </c>
    </row>
    <row r="1410">
      <c r="A1410" s="1" t="s">
        <v>1392</v>
      </c>
      <c r="B1410" s="1"/>
      <c r="C1410" s="3" t="str">
        <f>HYPERLINK("http://foursquare.com/v/55c5d9fe498e95c958736bdd","The Duke's ")</f>
        <v>The Duke's </v>
      </c>
    </row>
    <row r="1411">
      <c r="A1411" s="1" t="s">
        <v>1393</v>
      </c>
      <c r="B1411" s="1"/>
      <c r="C1411" s="3" t="str">
        <f>HYPERLINK("http://foursquare.com/v/52f8413f498e18ee6d07815f","Bangkok Hospital Chiang Mai (โรงพยาบาลกรุงเทพเชียงใหม่) ")</f>
        <v>Bangkok Hospital Chiang Mai (โรงพยาบาลกรุงเทพเชียงใหม่) </v>
      </c>
    </row>
    <row r="1412">
      <c r="A1412" s="1" t="s">
        <v>1394</v>
      </c>
      <c r="B1412" s="1"/>
      <c r="C1412" s="3" t="str">
        <f>HYPERLINK("http://foursquare.com/v/4e812c63b6347681cf28da50","Omelette Bakery Cafe ")</f>
        <v>Omelette Bakery Cafe </v>
      </c>
    </row>
    <row r="1413">
      <c r="A1413" s="1" t="s">
        <v>1395</v>
      </c>
      <c r="B1413" s="1"/>
      <c r="C1413" s="3" t="str">
        <f>HYPERLINK("http://foursquare.com/v/4b8e687ff964a520422133e3","Chiang Mai International Airport (CNX) (ท่าอากาศยานเชียงใหม่) ")</f>
        <v>Chiang Mai International Airport (CNX) (ท่าอากาศยานเชียงใหม่) </v>
      </c>
    </row>
    <row r="1414">
      <c r="A1414" s="1" t="s">
        <v>1396</v>
      </c>
      <c r="B1414" s="1"/>
      <c r="C1414" s="3" t="str">
        <f>HYPERLINK("http://foursquare.com/v/4b2df07cf964a5201bdc24e3","Don Mueang International Airport (DMK) (ท่าอากาศยานดอนเมือง) ")</f>
        <v>Don Mueang International Airport (DMK) (ท่าอากาศยานดอนเมือง) </v>
      </c>
    </row>
    <row r="1415">
      <c r="A1415" s="1" t="s">
        <v>1397</v>
      </c>
      <c r="B1415" s="1"/>
      <c r="C1415" s="3" t="str">
        <f>HYPERLINK("http://foursquare.com/v/4b41d1b4f964a52029c925e3","Unlimit Mac Repair (บริษัท อันลิมิตแมค จำกัด) ")</f>
        <v>Unlimit Mac Repair (บริษัท อันลิมิตแมค จำกัด) </v>
      </c>
    </row>
    <row r="1416">
      <c r="A1416" s="1" t="s">
        <v>1398</v>
      </c>
      <c r="B1416" s="1"/>
      <c r="C1416" s="3" t="str">
        <f>HYPERLINK("http://foursquare.com/v/5e351f67f32d700008d05296","Tha Arun (ท่าอรุณ) ")</f>
        <v>Tha Arun (ท่าอรุณ) </v>
      </c>
    </row>
    <row r="1417">
      <c r="A1417" s="1" t="s">
        <v>1399</v>
      </c>
      <c r="B1417" s="1"/>
      <c r="C1417" s="3" t="str">
        <f>HYPERLINK("http://foursquare.com/v/4b5ac862f964a52072d428e3","Wat Hua Lampong (วัดหัวลําโพง) ")</f>
        <v>Wat Hua Lampong (วัดหัวลําโพง) </v>
      </c>
    </row>
    <row r="1418">
      <c r="A1418" s="1" t="s">
        <v>1400</v>
      </c>
      <c r="B1418" s="1"/>
      <c r="C1418" s="3" t="str">
        <f>HYPERLINK("http://foursquare.com/v/4b0587fdf964a52057ab22e3","The British Club Bangkok (สมาคมสโมสรอังกฤษกรุงเทพ) ")</f>
        <v>The British Club Bangkok (สมาคมสโมสรอังกฤษกรุงเทพ) </v>
      </c>
    </row>
    <row r="1419">
      <c r="A1419" s="1" t="s">
        <v>1401</v>
      </c>
      <c r="B1419" s="1"/>
      <c r="C1419" s="3" t="str">
        <f>HYPERLINK("http://foursquare.com/v/4af833a6f964a5205a0b22e3","Suvarnabhumi Airport (BKK) (ท่าอากาศยานสุวรรณภูมิ) ")</f>
        <v>Suvarnabhumi Airport (BKK) (ท่าอากาศยานสุวรรณภูมิ) </v>
      </c>
    </row>
    <row r="1420">
      <c r="A1420" s="1" t="s">
        <v>1402</v>
      </c>
      <c r="B1420" s="1"/>
      <c r="C1420" s="3" t="str">
        <f>HYPERLINK("http://foursquare.com/v/4b1baa07f964a52084fc23e3","Terminal 3 ")</f>
        <v>Terminal 3 </v>
      </c>
    </row>
    <row r="1421">
      <c r="A1421" s="1" t="s">
        <v>1403</v>
      </c>
      <c r="B1421" s="1"/>
      <c r="C1421" s="3" t="str">
        <f>HYPERLINK("http://foursquare.com/v/4b79687cf964a520f5f72ee3","Butterfly Garden ")</f>
        <v>Butterfly Garden </v>
      </c>
    </row>
    <row r="1422">
      <c r="A1422" s="1" t="s">
        <v>1403</v>
      </c>
      <c r="B1422" s="1"/>
      <c r="C1422" s="3" t="str">
        <f>HYPERLINK("http://foursquare.com/v/4bf1cad952bda59336fbb1b7","Ambassador Transit Lounge ")</f>
        <v>Ambassador Transit Lounge </v>
      </c>
    </row>
    <row r="1423">
      <c r="A1423" s="1" t="s">
        <v>1404</v>
      </c>
      <c r="B1423" s="1"/>
      <c r="C1423" s="3" t="str">
        <f>HYPERLINK("http://foursquare.com/v/45f555cef964a5200e441fe3","Seattle-Tacoma International Airport (SEA) ")</f>
        <v>Seattle-Tacoma International Airport (SEA) </v>
      </c>
    </row>
    <row r="1424">
      <c r="A1424" s="1" t="s">
        <v>1405</v>
      </c>
      <c r="B1424" s="1"/>
      <c r="C1424" s="3" t="str">
        <f>HYPERLINK("http://foursquare.com/v/6039e57986a2054d4b305a8f","Dough Zone Dumpling House ")</f>
        <v>Dough Zone Dumpling House </v>
      </c>
    </row>
    <row r="1425">
      <c r="A1425" s="1" t="s">
        <v>1406</v>
      </c>
      <c r="B1425" s="1"/>
      <c r="C1425" s="3" t="str">
        <f>HYPERLINK("http://foursquare.com/v/4b4f9bbdf964a520530d27e3","Bellevue Family Medicine ")</f>
        <v>Bellevue Family Medicine </v>
      </c>
    </row>
    <row r="1426">
      <c r="A1426" s="1" t="s">
        <v>1407</v>
      </c>
      <c r="B1426" s="1"/>
      <c r="C1426" s="3" t="str">
        <f>HYPERLINK("http://foursquare.com/v/4bfb0d8cbbb7c928c2a50743","Clyde Beach Park ")</f>
        <v>Clyde Beach Park </v>
      </c>
    </row>
    <row r="1427">
      <c r="A1427" s="1" t="s">
        <v>1408</v>
      </c>
      <c r="B1427" s="1"/>
      <c r="C1427" s="3" t="str">
        <f>HYPERLINK("http://foursquare.com/v/4d98fa0c744f370412f3fc57","Rockport Pub ")</f>
        <v>Rockport Pub </v>
      </c>
    </row>
    <row r="1428">
      <c r="A1428" s="1" t="s">
        <v>1409</v>
      </c>
      <c r="B1428" s="1"/>
      <c r="C1428" s="3" t="str">
        <f>HYPERLINK("http://foursquare.com/v/4c38a0c193db0f4774e02192","Marblemount Diner ")</f>
        <v>Marblemount Diner </v>
      </c>
    </row>
    <row r="1429">
      <c r="A1429" s="1" t="s">
        <v>1410</v>
      </c>
      <c r="B1429" s="1"/>
      <c r="C1429" s="3" t="str">
        <f>HYPERLINK("http://foursquare.com/v/55baa458498e24a7839addea","Skagit Information Center ")</f>
        <v>Skagit Information Center </v>
      </c>
    </row>
    <row r="1430">
      <c r="A1430" s="1" t="s">
        <v>1411</v>
      </c>
      <c r="B1430" s="1"/>
      <c r="C1430" s="3" t="str">
        <f>HYPERLINK("http://foursquare.com/v/51d5d75f498ea9118de7edae","Tesla Supercharger Burlington ")</f>
        <v>Tesla Supercharger Burlington </v>
      </c>
    </row>
    <row r="1431">
      <c r="A1431" s="1" t="s">
        <v>1412</v>
      </c>
      <c r="B1431" s="1"/>
      <c r="C1431" s="3" t="str">
        <f>HYPERLINK("http://foursquare.com/v/5b9473360a08ab002ce61b56","Taste Of Thai By Wipa ")</f>
        <v>Taste Of Thai By Wipa </v>
      </c>
    </row>
    <row r="1432">
      <c r="A1432" s="1" t="s">
        <v>1413</v>
      </c>
      <c r="B1432" s="1"/>
      <c r="C1432" s="3" t="str">
        <f>HYPERLINK("http://foursquare.com/v/52869068498e3289da673edf","Starbucks ")</f>
        <v>Starbucks </v>
      </c>
    </row>
    <row r="1433">
      <c r="A1433" s="1" t="s">
        <v>1414</v>
      </c>
      <c r="B1433" s="1"/>
      <c r="C1433" s="3" t="str">
        <f>HYPERLINK("http://foursquare.com/v/60cd95f0109f2865a095924b","Kura Revolving Sushi Bar ")</f>
        <v>Kura Revolving Sushi Bar </v>
      </c>
    </row>
    <row r="1434">
      <c r="A1434" s="1" t="s">
        <v>1415</v>
      </c>
      <c r="B1434" s="1"/>
      <c r="C1434" s="3" t="str">
        <f>HYPERLINK("http://foursquare.com/v/5d2a27cabc080d0023b24b77","Fern Thai On Main ")</f>
        <v>Fern Thai On Main </v>
      </c>
    </row>
    <row r="1435">
      <c r="A1435" s="1" t="s">
        <v>1416</v>
      </c>
      <c r="B1435" s="1"/>
      <c r="C1435" s="3" t="str">
        <f>HYPERLINK("http://foursquare.com/v/49ef9ffff964a520d3681fe3","Bellevue Aquatic Center ")</f>
        <v>Bellevue Aquatic Center </v>
      </c>
    </row>
    <row r="1436">
      <c r="A1436" s="1" t="s">
        <v>1417</v>
      </c>
      <c r="B1436" s="1"/>
      <c r="C1436" s="3" t="str">
        <f>HYPERLINK("http://foursquare.com/v/4b9bcd91f964a5200a2736e3","sunrise dental ")</f>
        <v>sunrise dental </v>
      </c>
    </row>
    <row r="1437">
      <c r="A1437" s="1" t="s">
        <v>1418</v>
      </c>
      <c r="B1437" s="1"/>
      <c r="C1437" s="3" t="str">
        <f>HYPERLINK("http://foursquare.com/v/4aebaf1af964a52060c421e3","Palace Korean Bar &amp; Grill ")</f>
        <v>Palace Korean Bar &amp; Grill </v>
      </c>
    </row>
    <row r="1438">
      <c r="A1438" s="1" t="s">
        <v>1419</v>
      </c>
      <c r="B1438" s="1"/>
      <c r="C1438" s="3" t="str">
        <f>HYPERLINK("http://foursquare.com/v/5a9586e356c89f2809ac7843","Starbucks Reserve SoDo ")</f>
        <v>Starbucks Reserve SoDo </v>
      </c>
    </row>
    <row r="1439">
      <c r="A1439" s="1" t="s">
        <v>1420</v>
      </c>
      <c r="B1439" s="1"/>
      <c r="C1439" s="3" t="str">
        <f>HYPERLINK("http://foursquare.com/v/45f555cef964a5200e441fe3","Seattle-Tacoma International Airport (SEA) ")</f>
        <v>Seattle-Tacoma International Airport (SEA) </v>
      </c>
    </row>
    <row r="1440">
      <c r="A1440" s="1" t="s">
        <v>1421</v>
      </c>
      <c r="B1440" s="1"/>
      <c r="C1440" s="3" t="str">
        <f>HYPERLINK("http://foursquare.com/v/4b439f6af964a5208fe425e3","Mardi Gras Hotel &amp; Casino ")</f>
        <v>Mardi Gras Hotel &amp; Casino </v>
      </c>
    </row>
    <row r="1441">
      <c r="A1441" s="1" t="s">
        <v>1422</v>
      </c>
      <c r="B1441" s="1"/>
      <c r="C1441" s="3" t="str">
        <f>HYPERLINK("http://foursquare.com/v/53b3723b498e24434d7bbdbf","Westgate Las Vegas Resort &amp; Casino ")</f>
        <v>Westgate Las Vegas Resort &amp; Casino </v>
      </c>
    </row>
    <row r="1442">
      <c r="A1442" s="1" t="s">
        <v>1423</v>
      </c>
      <c r="B1442" s="1"/>
      <c r="C1442" s="3" t="str">
        <f>HYPERLINK("http://foursquare.com/v/614cd5302f49ea446e39646f","West Hall ")</f>
        <v>West Hall </v>
      </c>
    </row>
    <row r="1443">
      <c r="A1443" s="1" t="s">
        <v>1424</v>
      </c>
      <c r="B1443" s="1"/>
      <c r="C1443" s="3" t="str">
        <f>HYPERLINK("http://foursquare.com/v/61e877df56a5a202dfc71f2a","Vegas Loop Tesla Tunnel ")</f>
        <v>Vegas Loop Tesla Tunnel </v>
      </c>
    </row>
    <row r="1444">
      <c r="A1444" s="1" t="s">
        <v>1425</v>
      </c>
      <c r="B1444" s="1"/>
      <c r="C1444" s="3" t="str">
        <f>HYPERLINK("http://foursquare.com/v/554697b1498e5269a9647dcc","Resorts World Las Vegas ")</f>
        <v>Resorts World Las Vegas </v>
      </c>
    </row>
    <row r="1445">
      <c r="A1445" s="1" t="s">
        <v>1426</v>
      </c>
      <c r="B1445" s="1"/>
      <c r="C1445" s="3" t="str">
        <f>HYPERLINK("http://foursquare.com/v/45f555cef964a5200e441fe3","Seattle-Tacoma International Airport (SEA) ")</f>
        <v>Seattle-Tacoma International Airport (SEA) </v>
      </c>
    </row>
    <row r="1446">
      <c r="A1446" s="1" t="s">
        <v>1427</v>
      </c>
      <c r="B1446" s="1"/>
      <c r="C1446" s="3" t="str">
        <f>HYPERLINK("http://foursquare.com/v/4b4cb6b9f964a52074bb26e3","Rain City Fencing Center ")</f>
        <v>Rain City Fencing Center </v>
      </c>
    </row>
    <row r="1447">
      <c r="A1447" s="1" t="s">
        <v>1428</v>
      </c>
      <c r="B1447" s="1"/>
      <c r="C1447" s="3" t="str">
        <f>HYPERLINK("http://foursquare.com/v/4c68a7f9710b2d7f74d85c73","The Farm at Swan's Trail ")</f>
        <v>The Farm at Swan's Trail </v>
      </c>
    </row>
    <row r="1448">
      <c r="A1448" s="1" t="s">
        <v>1429</v>
      </c>
      <c r="B1448" s="1"/>
      <c r="C1448" s="3" t="str">
        <f>HYPERLINK("http://foursquare.com/v/4b5fbd2df964a520c1ca29e3","Emerald City Trapeze ")</f>
        <v>Emerald City Trapeze </v>
      </c>
    </row>
    <row r="1449">
      <c r="A1449" s="1" t="s">
        <v>1430</v>
      </c>
      <c r="B1449" s="1"/>
      <c r="C1449" s="3" t="str">
        <f>HYPERLINK("http://foursquare.com/v/4ab43e8ef964a520897020e3","The UPS Store ")</f>
        <v>The UPS Store </v>
      </c>
    </row>
    <row r="1450">
      <c r="A1450" s="1" t="s">
        <v>1431</v>
      </c>
      <c r="B1450" s="1"/>
      <c r="C1450" s="3" t="str">
        <f>HYPERLINK("http://foursquare.com/v/47f0ffd8f964a520814e1fe3","Goodwill Seattle Outlet ")</f>
        <v>Goodwill Seattle Outlet </v>
      </c>
    </row>
    <row r="1451">
      <c r="A1451" s="1" t="s">
        <v>1432</v>
      </c>
      <c r="B1451" s="1"/>
      <c r="C1451" s="3" t="str">
        <f>HYPERLINK("http://foursquare.com/v/4c40e756d7fad13aa6bd06da","Oxbow Center for Sustainable Agriculture and the Environment ")</f>
        <v>Oxbow Center for Sustainable Agriculture and the Environment </v>
      </c>
    </row>
    <row r="1452">
      <c r="A1452" s="1" t="s">
        <v>1433</v>
      </c>
      <c r="B1452" s="1"/>
      <c r="C1452" s="3" t="str">
        <f>HYPERLINK("http://foursquare.com/v/6039e57986a2054d4b305a8f","Dough Zone Dumpling House ")</f>
        <v>Dough Zone Dumpling House </v>
      </c>
    </row>
    <row r="1453">
      <c r="A1453" s="1" t="s">
        <v>1434</v>
      </c>
      <c r="B1453" s="1" t="s">
        <v>1435</v>
      </c>
      <c r="C1453" s="3" t="str">
        <f>HYPERLINK("http://foursquare.com/v/52869068498e3289da673edf","Starbucks ")</f>
        <v>Starbucks </v>
      </c>
    </row>
    <row r="1454">
      <c r="A1454" s="1" t="s">
        <v>1436</v>
      </c>
      <c r="B1454" s="1"/>
      <c r="C1454" s="3" t="str">
        <f>HYPERLINK("http://foursquare.com/v/43f8d1f9f964a520cb2f1fe3","Lumen Field Event Center ")</f>
        <v>Lumen Field Event Center </v>
      </c>
    </row>
    <row r="1455">
      <c r="A1455" s="1" t="s">
        <v>1437</v>
      </c>
      <c r="B1455" s="1"/>
      <c r="C1455" s="3" t="str">
        <f>HYPERLINK("http://foursquare.com/v/59bb3bd27dc9e174b532bbd3","Kizuki Ramen &amp; Izakaya ")</f>
        <v>Kizuki Ramen &amp; Izakaya </v>
      </c>
    </row>
    <row r="1456">
      <c r="A1456" s="1" t="s">
        <v>1438</v>
      </c>
      <c r="B1456" s="1"/>
      <c r="C1456" s="3" t="str">
        <f>HYPERLINK("http://foursquare.com/v/578b01f0498e37a834305f2f","IKEA Bistro ")</f>
        <v>IKEA Bistro </v>
      </c>
    </row>
    <row r="1457">
      <c r="A1457" s="1" t="s">
        <v>1439</v>
      </c>
      <c r="B1457" s="1"/>
      <c r="C1457" s="3" t="str">
        <f>HYPERLINK("http://foursquare.com/v/5e95e5e4289261000877e281","Coal Creek Natural Area ")</f>
        <v>Coal Creek Natural Area </v>
      </c>
    </row>
    <row r="1458">
      <c r="A1458" s="1" t="s">
        <v>1440</v>
      </c>
      <c r="B1458" s="1"/>
      <c r="C1458" s="3" t="str">
        <f>HYPERLINK("http://foursquare.com/v/4cbe675d73ef199cb707d8a2","Christmas Creek Tree Farm ")</f>
        <v>Christmas Creek Tree Farm </v>
      </c>
    </row>
    <row r="1459">
      <c r="A1459" s="1" t="s">
        <v>1441</v>
      </c>
      <c r="B1459" s="1"/>
      <c r="C1459" s="3" t="str">
        <f>HYPERLINK("http://foursquare.com/v/4bc27309461576b0f47f7d32","City of SeaTac ")</f>
        <v>City of SeaTac </v>
      </c>
    </row>
    <row r="1460">
      <c r="A1460" s="1" t="s">
        <v>1442</v>
      </c>
      <c r="B1460" s="1"/>
      <c r="C1460" s="3" t="str">
        <f>HYPERLINK("http://foursquare.com/v/61f49961267b550d277cc833","Seven Hills Pub &amp; Grille ")</f>
        <v>Seven Hills Pub &amp; Grille </v>
      </c>
    </row>
    <row r="1461">
      <c r="A1461" s="1" t="s">
        <v>1443</v>
      </c>
      <c r="B1461" s="1"/>
      <c r="C1461" s="3" t="str">
        <f>HYPERLINK("http://foursquare.com/v/5bea20a1a22db7002cd4040c","Kyotes Bar &amp; Grill ")</f>
        <v>Kyotes Bar &amp; Grill </v>
      </c>
    </row>
    <row r="1462">
      <c r="A1462" s="1" t="s">
        <v>1444</v>
      </c>
      <c r="B1462" s="1"/>
      <c r="C1462" s="3" t="str">
        <f>HYPERLINK("http://foursquare.com/v/4b05daabf964a52072e422e3","Bridge Inn ")</f>
        <v>Bridge Inn </v>
      </c>
    </row>
    <row r="1463">
      <c r="A1463" s="1" t="s">
        <v>1445</v>
      </c>
      <c r="B1463" s="1"/>
      <c r="C1463" s="3" t="str">
        <f>HYPERLINK("http://foursquare.com/v/54c44a16498e259a3c2d018f","H-Mart ")</f>
        <v>H-Mart </v>
      </c>
    </row>
    <row r="1464">
      <c r="A1464" s="1" t="s">
        <v>1446</v>
      </c>
      <c r="B1464" s="1"/>
      <c r="C1464" s="3" t="str">
        <f>HYPERLINK("http://foursquare.com/v/54183edb498e3431272c464f","Jimmy John's ")</f>
        <v>Jimmy John's </v>
      </c>
    </row>
    <row r="1465">
      <c r="A1465" s="1" t="s">
        <v>1447</v>
      </c>
      <c r="B1465" s="1"/>
      <c r="C1465" s="3" t="str">
        <f>HYPERLINK("http://foursquare.com/v/4b6015cbf964a5205ad529e3","Silver Cloud Inn ")</f>
        <v>Silver Cloud Inn </v>
      </c>
    </row>
    <row r="1466">
      <c r="A1466" s="1" t="s">
        <v>1448</v>
      </c>
      <c r="B1466" s="1"/>
      <c r="C1466" s="3" t="str">
        <f>HYPERLINK("http://foursquare.com/v/4b0de6a6f964a520565223e3","Mukilteo Ferry Terminal ")</f>
        <v>Mukilteo Ferry Terminal </v>
      </c>
    </row>
    <row r="1467">
      <c r="A1467" s="1" t="s">
        <v>1449</v>
      </c>
      <c r="B1467" s="1"/>
      <c r="C1467" s="3" t="str">
        <f>HYPERLINK("http://foursquare.com/v/4b254c43f964a5208c6f24e3","Clinton Ferry Terminal ")</f>
        <v>Clinton Ferry Terminal </v>
      </c>
    </row>
    <row r="1468">
      <c r="A1468" s="1" t="s">
        <v>1450</v>
      </c>
      <c r="B1468" s="1"/>
      <c r="C1468" s="3" t="str">
        <f>HYPERLINK("http://foursquare.com/v/5bd3b3a78afbe0002d5e15b2","The Local 104 ")</f>
        <v>The Local 104 </v>
      </c>
    </row>
    <row r="1469">
      <c r="A1469" s="1" t="s">
        <v>1451</v>
      </c>
      <c r="B1469" s="1"/>
      <c r="C1469" s="3" t="str">
        <f>HYPERLINK("http://foursquare.com/v/49ef647df964a520ad681fe3","DeLaurenti Specialty Food &amp; Wine ")</f>
        <v>DeLaurenti Specialty Food &amp; Wine </v>
      </c>
    </row>
    <row r="1470">
      <c r="A1470" s="1" t="s">
        <v>1452</v>
      </c>
      <c r="B1470" s="1"/>
      <c r="C1470" s="3" t="str">
        <f>HYPERLINK("http://foursquare.com/v/4cf6a38e2d032c0f1e0375d3","Summit Central ")</f>
        <v>Summit Central </v>
      </c>
    </row>
    <row r="1471">
      <c r="A1471" s="1" t="s">
        <v>1453</v>
      </c>
      <c r="B1471" s="1"/>
      <c r="C1471" s="3" t="str">
        <f>HYPERLINK("http://foursquare.com/v/4a71028df964a520f7d81fe3","Target ")</f>
        <v>Target </v>
      </c>
    </row>
    <row r="1472">
      <c r="A1472" s="1" t="s">
        <v>1454</v>
      </c>
      <c r="B1472" s="1"/>
      <c r="C1472" s="3" t="str">
        <f>HYPERLINK("http://foursquare.com/v/52125b7d498e98bc9b4300a8","FedEx Ground Distribution Center ")</f>
        <v>FedEx Ground Distribution Center </v>
      </c>
    </row>
    <row r="1473">
      <c r="A1473" s="1" t="s">
        <v>1455</v>
      </c>
      <c r="B1473" s="1"/>
      <c r="C1473" s="3" t="str">
        <f>HYPERLINK("http://foursquare.com/v/52869068498e3289da673edf","Starbucks ")</f>
        <v>Starbucks </v>
      </c>
    </row>
    <row r="1474">
      <c r="A1474" s="1" t="s">
        <v>1456</v>
      </c>
      <c r="B1474" s="1"/>
      <c r="C1474" s="3" t="str">
        <f>HYPERLINK("http://foursquare.com/v/578b01f0498e37a834305f2f","IKEA Bistro ")</f>
        <v>IKEA Bistro </v>
      </c>
    </row>
    <row r="1475">
      <c r="A1475" s="1" t="s">
        <v>1457</v>
      </c>
      <c r="B1475" s="1"/>
      <c r="C1475" s="3" t="str">
        <f>HYPERLINK("http://foursquare.com/v/5edda25c99eb6d704238d042","Tesla Supercharger ")</f>
        <v>Tesla Supercharger </v>
      </c>
    </row>
    <row r="1476">
      <c r="A1476" s="1" t="s">
        <v>1458</v>
      </c>
      <c r="B1476" s="1"/>
      <c r="C1476" s="3" t="str">
        <f>HYPERLINK("http://foursquare.com/v/4b8d70ddf964a5200bfc32e3","Made In Oregon ")</f>
        <v>Made In Oregon </v>
      </c>
    </row>
    <row r="1477">
      <c r="A1477" s="1" t="s">
        <v>1459</v>
      </c>
      <c r="B1477" s="1" t="s">
        <v>1460</v>
      </c>
      <c r="C1477" s="3" t="str">
        <f>HYPERLINK("http://foursquare.com/v/51e6e447498e3947ed9ea15e","Punch Bowl Social ")</f>
        <v>Punch Bowl Social </v>
      </c>
    </row>
    <row r="1478">
      <c r="A1478" s="1" t="s">
        <v>1461</v>
      </c>
      <c r="B1478" s="1"/>
      <c r="C1478" s="3" t="str">
        <f>HYPERLINK("http://foursquare.com/v/51f97cab498e1f45a7b8c88d","Tesla Supercharger ")</f>
        <v>Tesla Supercharger </v>
      </c>
    </row>
    <row r="1479">
      <c r="A1479" s="1" t="s">
        <v>1462</v>
      </c>
      <c r="B1479" s="1"/>
      <c r="C1479" s="3" t="str">
        <f>HYPERLINK("http://foursquare.com/v/4bcf806e0ffdce721a8eb2c0","Red Lion Inn &amp; Suites McMinnville ")</f>
        <v>Red Lion Inn &amp; Suites McMinnville </v>
      </c>
    </row>
    <row r="1480">
      <c r="A1480" s="1" t="s">
        <v>1463</v>
      </c>
      <c r="B1480" s="1"/>
      <c r="C1480" s="3" t="str">
        <f>HYPERLINK("http://foursquare.com/v/4dc99177e4cd1818d5bb813b","Evergreen Wings &amp; Waves Waterpark ")</f>
        <v>Evergreen Wings &amp; Waves Waterpark </v>
      </c>
    </row>
    <row r="1481">
      <c r="A1481" s="1" t="s">
        <v>1464</v>
      </c>
      <c r="B1481" s="1"/>
      <c r="C1481" s="3" t="str">
        <f>HYPERLINK("http://foursquare.com/v/4a5d3863f964a52065bd1fe3","Washington Square ")</f>
        <v>Washington Square </v>
      </c>
    </row>
    <row r="1482">
      <c r="A1482" s="1" t="s">
        <v>1465</v>
      </c>
      <c r="B1482" s="1"/>
      <c r="C1482" s="3" t="str">
        <f>HYPERLINK("http://foursquare.com/v/5b071c78e1f0aa0039e2dc4d","Tesla Chargers ")</f>
        <v>Tesla Chargers </v>
      </c>
    </row>
    <row r="1483">
      <c r="A1483" s="1" t="s">
        <v>1466</v>
      </c>
      <c r="B1483" s="1"/>
      <c r="C1483" s="3" t="str">
        <f>HYPERLINK("http://foursquare.com/v/4a3ab616f964a52024a01fe3","Hilton ")</f>
        <v>Hilton </v>
      </c>
    </row>
    <row r="1484">
      <c r="A1484" s="1" t="s">
        <v>1467</v>
      </c>
      <c r="B1484" s="1"/>
      <c r="C1484" s="3" t="str">
        <f>HYPERLINK("http://foursquare.com/v/5744d50a498e1dd7e3b10914","The Daily Feast ")</f>
        <v>The Daily Feast </v>
      </c>
    </row>
    <row r="1485">
      <c r="A1485" s="1" t="s">
        <v>1468</v>
      </c>
      <c r="B1485" s="1"/>
      <c r="C1485" s="3" t="str">
        <f>HYPERLINK("http://foursquare.com/v/5edda25c99eb6d704238d042","Tesla Supercharger ")</f>
        <v>Tesla Supercharger </v>
      </c>
    </row>
  </sheetData>
  <drawing r:id="rId1"/>
</worksheet>
</file>